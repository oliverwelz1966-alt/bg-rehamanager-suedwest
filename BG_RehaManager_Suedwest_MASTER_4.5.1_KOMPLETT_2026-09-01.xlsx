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3.xml" ContentType="application/vnd.openxmlformats-officedocument.spreadsheetml.table+xml"/>
  <Override PartName="/xl/worksheets/sheet16.xml" ContentType="application/vnd.openxmlformats-officedocument.spreadsheetml.worksheet+xml"/>
  <Override PartName="/xl/tables/table4.xml" ContentType="application/vnd.openxmlformats-officedocument.spreadsheetml.table+xml"/>
  <Override PartName="/xl/worksheets/sheet17.xml" ContentType="application/vnd.openxmlformats-officedocument.spreadsheetml.worksheet+xml"/>
  <Override PartName="/xl/tables/table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7.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8.xml" ContentType="application/vnd.openxmlformats-officedocument.spreadsheetml.table+xml"/>
  <Override PartName="/xl/worksheets/sheet28.xml" ContentType="application/vnd.openxmlformats-officedocument.spreadsheetml.worksheet+xml"/>
  <Override PartName="/xl/tables/table9.xml" ContentType="application/vnd.openxmlformats-officedocument.spreadsheetml.table+xml"/>
  <Override PartName="/xl/worksheets/sheet29.xml" ContentType="application/vnd.openxmlformats-officedocument.spreadsheetml.worksheet+xml"/>
  <Override PartName="/xl/tables/table10.xml" ContentType="application/vnd.openxmlformats-officedocument.spreadsheetml.table+xml"/>
  <Override PartName="/xl/worksheets/sheet30.xml" ContentType="application/vnd.openxmlformats-officedocument.spreadsheetml.worksheet+xml"/>
  <Override PartName="/xl/tables/table11.xml" ContentType="application/vnd.openxmlformats-officedocument.spreadsheetml.table+xml"/>
  <Override PartName="/xl/worksheets/sheet31.xml" ContentType="application/vnd.openxmlformats-officedocument.spreadsheetml.worksheet+xml"/>
  <Override PartName="/xl/tables/table12.xml" ContentType="application/vnd.openxmlformats-officedocument.spreadsheetml.table+xml"/>
  <Override PartName="/xl/worksheets/sheet32.xml" ContentType="application/vnd.openxmlformats-officedocument.spreadsheetml.worksheet+xml"/>
  <Override PartName="/xl/tables/table13.xml" ContentType="application/vnd.openxmlformats-officedocument.spreadsheetml.table+xml"/>
  <Override PartName="/xl/worksheets/sheet33.xml" ContentType="application/vnd.openxmlformats-officedocument.spreadsheetml.worksheet+xml"/>
  <Override PartName="/xl/tables/table14.xml" ContentType="application/vnd.openxmlformats-officedocument.spreadsheetml.table+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tables/table16.xml" ContentType="application/vnd.openxmlformats-officedocument.spreadsheetml.table+xml"/>
  <Override PartName="/xl/worksheets/sheet36.xml" ContentType="application/vnd.openxmlformats-officedocument.spreadsheetml.worksheet+xml"/>
  <Override PartName="/xl/tables/table17.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worksheets/sheet39.xml" ContentType="application/vnd.openxmlformats-officedocument.spreadsheetml.worksheet+xml"/>
  <Override PartName="/xl/tables/table20.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c86b85c52542ef" /></Relationships>
</file>

<file path=xl/workbook.xml><?xml version="1.0" encoding="utf-8"?>
<x:workbook xmlns:x="http://schemas.openxmlformats.org/spreadsheetml/2006/main">
  <x:sheets>
    <x:sheet xmlns:r="http://schemas.openxmlformats.org/officeDocument/2006/relationships" name="MASTER 4.5 Übersicht" sheetId="1" r:id="R7fc2c220cf5a4142"/>
    <x:sheet xmlns:r="http://schemas.openxmlformats.org/officeDocument/2006/relationships" name="Neurologie A-E" sheetId="2" r:id="Rc10447a890cb4fb5"/>
    <x:sheet xmlns:r="http://schemas.openxmlformats.org/officeDocument/2006/relationships" name="Neurologie Phase F" sheetId="3" r:id="Rb185c343fc1b4374"/>
    <x:sheet xmlns:r="http://schemas.openxmlformats.org/officeDocument/2006/relationships" name="EUTB" sheetId="4" r:id="Ra1e0a49a93d347fb"/>
    <x:sheet xmlns:r="http://schemas.openxmlformats.org/officeDocument/2006/relationships" name="Ergänzungen 4.4" sheetId="5" r:id="Rbfeac08632b44ef2"/>
    <x:sheet xmlns:r="http://schemas.openxmlformats.org/officeDocument/2006/relationships" name="MASTER 4.4 Prüfprotokoll" sheetId="6" r:id="Reb1d19490a384f7a"/>
    <x:sheet xmlns:r="http://schemas.openxmlformats.org/officeDocument/2006/relationships" name="MASTERPRÜFUNG 4.4" sheetId="7" r:id="R551d9a7595104cb6"/>
    <x:sheet xmlns:r="http://schemas.openxmlformats.org/officeDocument/2006/relationships" name="Importregeln 4.4" sheetId="8" r:id="Rb603eba9757647a2"/>
    <x:sheet xmlns:r="http://schemas.openxmlformats.org/officeDocument/2006/relationships" name="Änderungen 4.4" sheetId="9" r:id="Rf9bc7f2e3f3b4b73"/>
    <x:sheet xmlns:r="http://schemas.openxmlformats.org/officeDocument/2006/relationships" name="Technik Anbieter 4.4x" sheetId="10" r:id="R984e0aaf24a046a9"/>
    <x:sheet xmlns:r="http://schemas.openxmlformats.org/officeDocument/2006/relationships" name="Technik Fallmatrix" sheetId="11" r:id="R4b9b3dcd5fa848f7"/>
    <x:sheet xmlns:r="http://schemas.openxmlformats.org/officeDocument/2006/relationships" name="Technik Filterlogik" sheetId="12" r:id="R89c55748cdbb4844"/>
    <x:sheet xmlns:r="http://schemas.openxmlformats.org/officeDocument/2006/relationships" name="Technik Prüfliste" sheetId="13" r:id="Rd013814dfabd4a20"/>
    <x:sheet xmlns:r="http://schemas.openxmlformats.org/officeDocument/2006/relationships" name="Geo-Prüfung 4.4x" sheetId="14" r:id="R3dca5fcf7a5f464c"/>
    <x:sheet xmlns:r="http://schemas.openxmlformats.org/officeDocument/2006/relationships" name="Technik Karte Geo 4.4x" sheetId="15" r:id="Rdb74e876b49e48a8"/>
    <x:sheet xmlns:r="http://schemas.openxmlformats.org/officeDocument/2006/relationships" name="Prüfkandidaten Geo" sheetId="16" r:id="Ra958759e2ce84f3c"/>
    <x:sheet xmlns:r="http://schemas.openxmlformats.org/officeDocument/2006/relationships" name="Kartenimport erweitert" sheetId="17" r:id="Rdd1fec2188ed42a5"/>
    <x:sheet xmlns:r="http://schemas.openxmlformats.org/officeDocument/2006/relationships" name="MASTER 4.4x GESAMT" sheetId="18" r:id="R159ebd541f364150"/>
    <x:sheet xmlns:r="http://schemas.openxmlformats.org/officeDocument/2006/relationships" name="Änderungen 4.4x Gesamt" sheetId="19" r:id="Rd1e8c35087ee4120"/>
    <x:sheet xmlns:r="http://schemas.openxmlformats.org/officeDocument/2006/relationships" name="Medizin Ergänzungen 4.4x" sheetId="20" r:id="R88d8188771954b9d"/>
    <x:sheet xmlns:r="http://schemas.openxmlformats.org/officeDocument/2006/relationships" name="LTA+Teilhabe 4.4x" sheetId="21" r:id="R9c7770e5cc70486c"/>
    <x:sheet xmlns:r="http://schemas.openxmlformats.org/officeDocument/2006/relationships" name="QA Geodaten 4.4x" sheetId="22" r:id="Rb3b7a27c2636491a"/>
    <x:sheet xmlns:r="http://schemas.openxmlformats.org/officeDocument/2006/relationships" name="Quellen 4.4x" sheetId="23" r:id="R5b80da97a9f54b20"/>
    <x:sheet xmlns:r="http://schemas.openxmlformats.org/officeDocument/2006/relationships" name="Gesamt Kartenimport 4.4x" sheetId="24" r:id="R812d74554e0d455e"/>
    <x:sheet xmlns:r="http://schemas.openxmlformats.org/officeDocument/2006/relationships" name="Kartenimport Gesamt 4.4x" sheetId="25" r:id="R4b90c3f370464e4a"/>
    <x:sheet xmlns:r="http://schemas.openxmlformats.org/officeDocument/2006/relationships" name="GESAMT 4.4x Übersicht" sheetId="26" r:id="R15563e06603a45e7"/>
    <x:sheet xmlns:r="http://schemas.openxmlformats.org/officeDocument/2006/relationships" name="Neuro-Psych 4.4x" sheetId="27" r:id="Rf4edc7056e074ebc"/>
    <x:sheet xmlns:r="http://schemas.openxmlformats.org/officeDocument/2006/relationships" name="Änderungen Gesamt 4.4x" sheetId="28" r:id="Ra97f9a90591a4096"/>
    <x:sheet xmlns:r="http://schemas.openxmlformats.org/officeDocument/2006/relationships" name="Ausschlüsse-Regeln 4.4x" sheetId="29" r:id="R2affabbf5eeb4ace"/>
    <x:sheet xmlns:r="http://schemas.openxmlformats.org/officeDocument/2006/relationships" name="Kartenimport FINAL 4.4x" sheetId="30" r:id="R5d257da9a2a64adf"/>
    <x:sheet xmlns:r="http://schemas.openxmlformats.org/officeDocument/2006/relationships" name="Pflege+Gutachten 4.4x" sheetId="31" r:id="Rd7cb2a881cc845a6"/>
    <x:sheet xmlns:r="http://schemas.openxmlformats.org/officeDocument/2006/relationships" name="Arbeitsvermittlung 4.4x" sheetId="32" r:id="R77adeed6eb0f4ce9"/>
    <x:sheet xmlns:r="http://schemas.openxmlformats.org/officeDocument/2006/relationships" name="Neuro-Psych FINAL 4.4x" sheetId="33" r:id="R5ba966ec12a448a2"/>
    <x:sheet xmlns:r="http://schemas.openxmlformats.org/officeDocument/2006/relationships" name="Änderungen FINAL 4.4x" sheetId="34" r:id="R3a9070e1aa7b4537"/>
    <x:sheet xmlns:r="http://schemas.openxmlformats.org/officeDocument/2006/relationships" name="Regeln FINAL 4.4x" sheetId="35" r:id="Rec4296bfb1134b0d"/>
    <x:sheet xmlns:r="http://schemas.openxmlformats.org/officeDocument/2006/relationships" name="Quellen FINAL 4.4x" sheetId="36" r:id="R8e5ae312804b4abb"/>
    <x:sheet xmlns:r="http://schemas.openxmlformats.org/officeDocument/2006/relationships" name="Abschlussprüfung Karte 4.4x" sheetId="37" r:id="Rd9a1c2da336140d8"/>
    <x:sheet xmlns:r="http://schemas.openxmlformats.org/officeDocument/2006/relationships" name="Manuelle Kartenprüfung 4.4x" sheetId="38" r:id="Rb32097fa31a84105"/>
    <x:sheet xmlns:r="http://schemas.openxmlformats.org/officeDocument/2006/relationships" name="Karte – jetzt manuell" sheetId="39" r:id="Rb04dee043dc3415d"/>
    <x:sheet xmlns:r="http://schemas.openxmlformats.org/officeDocument/2006/relationships" name="Fahrrad+Spezialrad 4.4x" sheetId="40" r:id="Refbcee6a62be42b3"/>
    <x:sheet xmlns:r="http://schemas.openxmlformats.org/officeDocument/2006/relationships" name="Wohnen Lifttechnik 4.4x" sheetId="41" r:id="R171aaccbf2f94352"/>
    <x:sheet xmlns:r="http://schemas.openxmlformats.org/officeDocument/2006/relationships" name="Neue Pins 31.08.2026" sheetId="42" r:id="R192ff0eccdb740f4"/>
    <x:sheet xmlns:r="http://schemas.openxmlformats.org/officeDocument/2006/relationships" name="Release 4.5" sheetId="43" r:id="Rb4ba2b5a1e00480b"/>
    <x:sheet xmlns:r="http://schemas.openxmlformats.org/officeDocument/2006/relationships" name="Arbeitsmedizin 4.5.1" sheetId="44" r:id="R64eb3d09edfa466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yyyy-mm-dd"/>
    <x:numFmt numFmtId="202" formatCode="0.0000000"/>
  </x:numFmts>
  <x:fonts count="50">
    <x:font>
      <x:sz val="11"/>
      <x:color theme="1"/>
      <x:name val="Calibri"/>
    </x:font>
    <x:font>
      <x:b/>
      <x:sz val="11"/>
      <x:color rgb="FFFFFFFF"/>
      <x:name val="Carlito"/>
    </x:font>
    <x:font>
      <x:sz val="11"/>
      <x:name val="Carlito"/>
    </x:font>
    <x:font>
      <x:b/>
      <x:color rgb="FFFFFFFF"/>
    </x:font>
    <x:font>
      <x:b/>
      <x:sz val="11"/>
      <x:color rgb="FFFFFFFF"/>
      <x:name val="Calibri"/>
    </x:font>
    <x:font>
      <x:b/>
      <x:sz val="11"/>
      <x:color theme="1"/>
      <x:name val="Calibri"/>
    </x:font>
    <x:font>
      <x:b/>
      <x:sz val="14"/>
      <x:color rgb="FFFFFFFF"/>
      <x:name val="Calibri"/>
    </x:font>
    <x:font>
      <x:i/>
      <x:sz val="11"/>
      <x:color rgb="FF1F1F1F"/>
      <x:name val="Calibri"/>
    </x:font>
    <x:font>
      <x:sz val="9"/>
      <x:color theme="1"/>
      <x:name val="Calibri"/>
    </x:font>
    <x:font>
      <x:b/>
      <x:sz val="16"/>
      <x:color rgb="FFFFFFFF"/>
      <x:name val="Calibri"/>
    </x:font>
    <x:font>
      <x:i/>
      <x:sz val="11"/>
      <x:color rgb="FF17365D"/>
      <x:name val="Calibri"/>
    </x:font>
    <x:font>
      <x:b/>
      <x:sz val="11"/>
      <x:color rgb="FF17365D"/>
      <x:name val="Calibri"/>
    </x:font>
    <x:font>
      <x:b/>
      <x:sz val="11"/>
      <x:color rgb="FF274E13"/>
      <x:name val="Calibri"/>
    </x:font>
    <x:font>
      <x:sz val="11"/>
      <x:color rgb="FF7F6000"/>
      <x:name val="Calibri"/>
    </x:font>
    <x:font>
      <x:i/>
      <x:sz val="11"/>
      <x:color rgb="FF555555"/>
      <x:name val="Calibri"/>
    </x:font>
    <x:font>
      <x:sz val="10"/>
      <x:color rgb="FF1F2937"/>
      <x:name val="Aptos"/>
    </x:font>
    <x:font>
      <x:b/>
      <x:sz val="10"/>
      <x:color rgb="FF1F2937"/>
      <x:name val="Aptos"/>
    </x:font>
    <x:font>
      <x:b/>
      <x:sz val="16"/>
      <x:color rgb="FFFFFFFF"/>
      <x:name val="Aptos Display"/>
    </x:font>
    <x:font>
      <x:i/>
      <x:sz val="10"/>
      <x:color rgb="FF284B63"/>
      <x:name val="Aptos"/>
    </x:font>
    <x:font>
      <x:b/>
      <x:sz val="10"/>
      <x:color rgb="FFFFFFFF"/>
      <x:name val="Aptos"/>
    </x:font>
    <x:font>
      <x:b/>
      <x:sz val="17"/>
      <x:color rgb="FFFFFFFF"/>
      <x:name val="Aptos Display"/>
    </x:font>
    <x:font>
      <x:b/>
      <x:i/>
      <x:color rgb="FF284B63"/>
    </x:font>
    <x:font>
      <x:i/>
      <x:sz val="11"/>
      <x:color rgb="FF284B63"/>
      <x:name val="Calibri"/>
    </x:font>
    <x:font>
      <x:i/>
      <x:sz val="10"/>
      <x:color rgb="FF1F2937"/>
      <x:name val="Aptos"/>
    </x:font>
    <x:font>
      <x:b/>
      <x:i/>
      <x:sz val="10"/>
      <x:color rgb="FF1F2937"/>
      <x:name val="Aptos"/>
    </x:font>
    <x:font>
      <x:b/>
      <x:i/>
      <x:sz val="10"/>
      <x:color rgb="FF284B63"/>
      <x:name val="Aptos"/>
    </x:font>
    <x:font>
      <x:sz val="10"/>
      <x:color theme="1"/>
      <x:name val="Aptos"/>
    </x:font>
    <x:font>
      <x:b/>
      <x:sz val="11"/>
      <x:color rgb="FFB42318"/>
      <x:name val="Calibri"/>
    </x:font>
    <x:font>
      <x:b/>
      <x:sz val="11"/>
      <x:color rgb="FF9A3412"/>
      <x:name val="Calibri"/>
    </x:font>
    <x:font>
      <x:b/>
      <x:sz val="11"/>
      <x:color rgb="FF8A6D3B"/>
      <x:name val="Calibri"/>
    </x:font>
    <x:font>
      <x:b/>
      <x:sz val="11"/>
      <x:color rgb="FF1E4620"/>
      <x:name val="Calibri"/>
    </x:font>
    <x:font>
      <x:sz val="10"/>
      <x:color rgb="FFB42318"/>
      <x:name val="Aptos"/>
    </x:font>
    <x:font>
      <x:sz val="11"/>
      <x:color rgb="FFB42318"/>
      <x:name val="Calibri"/>
    </x:font>
    <x:font>
      <x:b/>
      <x:sz val="10"/>
      <x:color rgb="FFB42318"/>
      <x:name val="Aptos"/>
    </x:font>
    <x:font>
      <x:sz val="10"/>
      <x:color rgb="FF9A3412"/>
      <x:name val="Aptos"/>
    </x:font>
    <x:font>
      <x:sz val="11"/>
      <x:color rgb="FF9A3412"/>
      <x:name val="Calibri"/>
    </x:font>
    <x:font>
      <x:b/>
      <x:sz val="10"/>
      <x:color rgb="FF9A3412"/>
      <x:name val="Aptos"/>
    </x:font>
    <x:font>
      <x:sz val="10"/>
      <x:color rgb="FF8A6D3B"/>
      <x:name val="Aptos"/>
    </x:font>
    <x:font>
      <x:sz val="11"/>
      <x:color rgb="FF8A6D3B"/>
      <x:name val="Calibri"/>
    </x:font>
    <x:font>
      <x:b/>
      <x:sz val="10"/>
      <x:color rgb="FF8A6D3B"/>
      <x:name val="Aptos"/>
    </x:font>
    <x:font>
      <x:sz val="10"/>
      <x:color rgb="FF1D4ED8"/>
      <x:name val="Aptos"/>
    </x:font>
    <x:font>
      <x:sz val="11"/>
      <x:color rgb="FF1D4ED8"/>
      <x:name val="Calibri"/>
    </x:font>
    <x:font>
      <x:b/>
      <x:sz val="10"/>
      <x:color rgb="FF1D4ED8"/>
      <x:name val="Aptos"/>
    </x:font>
    <x:font>
      <x:b/>
      <x:sz val="11"/>
      <x:color rgb="FF1D4ED8"/>
      <x:name val="Calibri"/>
    </x:font>
    <x:font>
      <x:sz val="11"/>
      <x:color rgb="FF1F2937"/>
      <x:name val="Calibri"/>
    </x:font>
    <x:font>
      <x:i/>
      <x:sz val="11"/>
      <x:color rgb="FF1F2937"/>
      <x:name val="Calibri"/>
    </x:font>
    <x:font>
      <x:i/>
      <x:sz val="11"/>
      <x:color rgb="FF29485E"/>
      <x:name val="Calibri"/>
    </x:font>
    <x:font>
      <x:b/>
      <x:sz val="11"/>
      <x:color rgb="FF203040"/>
      <x:name val="Calibri"/>
    </x:font>
    <x:font>
      <x:i/>
      <x:sz val="11"/>
      <x:color rgb="FF123247"/>
      <x:name val="Calibri"/>
    </x:font>
    <x:font>
      <x:b/>
      <x:sz val="11"/>
      <x:color rgb="FF123247"/>
      <x:name val="Calibri"/>
    </x:font>
  </x:fonts>
  <x:fills count="52">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548235"/>
      </x:patternFill>
    </x:fill>
    <x:fill>
      <x:patternFill patternType="solid">
        <x:fgColor rgb="FF1F4E78"/>
      </x:patternFill>
    </x:fill>
    <x:fill>
      <x:patternFill patternType="solid">
        <x:fgColor rgb="FF5B9BD5"/>
      </x:patternFill>
    </x:fill>
    <x:fill>
      <x:patternFill patternType="solid">
        <x:fgColor rgb="FF1F4E78"/>
      </x:patternFill>
    </x:fill>
    <x:fill>
      <x:patternFill patternType="solid">
        <x:fgColor rgb="FF24557F"/>
      </x:patternFill>
    </x:fill>
    <x:fill>
      <x:patternFill patternType="solid">
        <x:fgColor rgb="FFEEF5FB"/>
      </x:patternFill>
    </x:fill>
    <x:fill>
      <x:patternFill patternType="solid">
        <x:fgColor rgb="FF5B9BD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163A5F"/>
      </x:patternFill>
    </x:fill>
    <x:fill>
      <x:patternFill patternType="solid">
        <x:fgColor rgb="FFDCEAF7"/>
      </x:patternFill>
    </x:fill>
    <x:fill>
      <x:patternFill patternType="solid">
        <x:fgColor rgb="FF2E5E8C"/>
      </x:patternFill>
    </x:fill>
    <x:fill>
      <x:patternFill patternType="solid">
        <x:fgColor rgb="FFE9F2F9"/>
      </x:patternFill>
    </x:fill>
    <x:fill>
      <x:patternFill patternType="solid">
        <x:fgColor rgb="FF6B7280"/>
      </x:patternFill>
    </x:fill>
    <x:fill>
      <x:patternFill patternType="solid">
        <x:fgColor rgb="FFF3F4F6"/>
      </x:patternFill>
    </x:fill>
    <x:fill>
      <x:patternFill patternType="solid">
        <x:fgColor rgb="FF163A5F"/>
      </x:patternFill>
    </x:fill>
    <x:fill>
      <x:patternFill patternType="solid">
        <x:fgColor rgb="FF2E5E8C"/>
      </x:patternFill>
    </x:fill>
    <x:fill>
      <x:patternFill patternType="solid">
        <x:fgColor rgb="FFDCEAF7"/>
      </x:patternFill>
    </x:fill>
    <x:fill>
      <x:patternFill patternType="solid">
        <x:fgColor rgb="FFE9F2F9"/>
      </x:patternFill>
    </x:fill>
    <x:fill>
      <x:patternFill patternType="solid">
        <x:fgColor rgb="FFFFFFFF"/>
      </x:patternFill>
    </x:fill>
    <x:fill>
      <x:patternFill patternType="solid">
        <x:fgColor rgb="FF163A5F"/>
      </x:patternFill>
    </x:fill>
    <x:fill>
      <x:patternFill patternType="solid">
        <x:fgColor rgb="FFDCEAF7"/>
      </x:patternFill>
    </x:fill>
    <x:fill>
      <x:patternFill patternType="solid">
        <x:fgColor rgb="FF2E5E8C"/>
      </x:patternFill>
    </x:fill>
    <x:fill>
      <x:patternFill patternType="solid">
        <x:fgColor rgb="FFE5F4E8"/>
      </x:patternFill>
    </x:fill>
    <x:fill>
      <x:patternFill patternType="solid">
        <x:fgColor rgb="FF2E5E8C"/>
      </x:patternFill>
    </x:fill>
    <x:fill>
      <x:patternFill patternType="solid">
        <x:fgColor rgb="FFE8F0FE"/>
      </x:patternFill>
    </x:fill>
    <x:fill>
      <x:patternFill patternType="solid">
        <x:fgColor rgb="FFFDE2E2"/>
      </x:patternFill>
    </x:fill>
    <x:fill>
      <x:patternFill patternType="solid">
        <x:fgColor rgb="FFFCE8CC"/>
      </x:patternFill>
    </x:fill>
    <x:fill>
      <x:patternFill patternType="solid">
        <x:fgColor rgb="FFFFF3CD"/>
      </x:patternFill>
    </x:fill>
    <x:fill>
      <x:patternFill patternType="solid">
        <x:fgColor rgb="FFE5F4E8"/>
      </x:patternFill>
    </x:fill>
    <x:fill>
      <x:patternFill patternType="solid">
        <x:fgColor rgb="FF163A5F"/>
      </x:patternFill>
    </x:fill>
    <x:fill>
      <x:patternFill patternType="solid">
        <x:fgColor rgb="FFEEF6FB"/>
      </x:patternFill>
    </x:fill>
    <x:fill>
      <x:patternFill patternType="solid">
        <x:fgColor rgb="FFF4F7EE"/>
      </x:patternFill>
    </x:fill>
    <x:fill>
      <x:patternFill patternType="solid">
        <x:fgColor rgb="FF1F4E78"/>
      </x:patternFill>
    </x:fill>
    <x:fill>
      <x:patternFill patternType="solid">
        <x:fgColor rgb="FFD9EAF7"/>
      </x:patternFill>
    </x:fill>
    <x:fill>
      <x:patternFill patternType="solid">
        <x:fgColor rgb="FF2E5E8C"/>
      </x:patternFill>
    </x:fill>
    <x:fill>
      <x:patternFill patternType="solid">
        <x:fgColor rgb="FF183247"/>
      </x:patternFill>
    </x:fill>
    <x:fill>
      <x:patternFill patternType="solid">
        <x:fgColor rgb="FFDCE8F1"/>
      </x:patternFill>
    </x:fill>
    <x:fill>
      <x:patternFill patternType="solid">
        <x:fgColor rgb="FFE8EEF3"/>
      </x:patternFill>
    </x:fill>
    <x:fill>
      <x:patternFill patternType="solid">
        <x:fgColor rgb="FFE2F0D9"/>
      </x:patternFill>
    </x:fill>
    <x:fill>
      <x:patternFill patternType="solid">
        <x:fgColor rgb="FF123247"/>
      </x:patternFill>
    </x:fill>
    <x:fill>
      <x:patternFill patternType="solid">
        <x:fgColor rgb="FFDCE6F1"/>
      </x:patternFill>
    </x:fill>
    <x:fill>
      <x:patternFill patternType="solid">
        <x:fgColor rgb="FF476F8E"/>
      </x:patternFill>
    </x:fill>
  </x:fills>
  <x:borders count="8">
    <x:border/>
    <x:border/>
    <x:border>
      <x:left style="thin">
        <x:color rgb="FF9FB3C2"/>
      </x:left>
      <x:top style="thin">
        <x:color rgb="FF9FB3C2"/>
      </x:top>
      <x:bottom style="thin">
        <x:color rgb="FF9FB3C2"/>
      </x:bottom>
    </x:border>
    <x:border>
      <x:top style="thin">
        <x:color rgb="FF9FB3C2"/>
      </x:top>
      <x:bottom style="thin">
        <x:color rgb="FF9FB3C2"/>
      </x:bottom>
    </x:border>
    <x:border>
      <x:right style="thin">
        <x:color rgb="FF9FB3C2"/>
      </x:right>
      <x:top style="thin">
        <x:color rgb="FF9FB3C2"/>
      </x:top>
      <x:bottom style="thin">
        <x:color rgb="FF9FB3C2"/>
      </x:bottom>
    </x:border>
    <x:border>
      <x:bottom style="thin">
        <x:color rgb="FFD9E2E9"/>
      </x:bottom>
    </x:border>
    <x:border>
      <x:top style="thin">
        <x:color rgb="FFD9E2E9"/>
      </x:top>
      <x:bottom style="thin">
        <x:color rgb="FFD9E2E9"/>
      </x:bottom>
    </x:border>
    <x:border>
      <x:top style="thin">
        <x:color rgb="FFD9E2E9"/>
      </x:top>
    </x:border>
  </x:borders>
  <x:cellStyleXfs count="1">
    <x:xf numFmtId="0" fontId="0" fillId="0" borderId="0"/>
  </x:cellStyleXfs>
  <x:cellXfs count="416">
    <x:xf numFmtId="0" fontId="0" fillId="0" borderId="0" xfId="0"/>
    <x:xf numFmtId="0" fontId="3" fillId="5" borderId="0" xfId="0" applyAlignment="1">
      <x:alignment vertical="center" wrapText="1"/>
    </x:xf>
    <x:xf numFmtId="0" fontId="3" fillId="6" borderId="0" xfId="0"/>
    <x:xf numFmtId="0" fontId="1" fillId="2" borderId="1" xfId="0" applyAlignment="1">
      <x:alignment vertical="center" wrapText="1"/>
    </x:xf>
    <x:xf numFmtId="0" fontId="2" fillId="0" borderId="1" xfId="0" applyAlignment="1">
      <x:alignment vertical="top" wrapText="1"/>
    </x:xf>
    <x:xf numFmtId="0" fontId="2" fillId="0" borderId="1" xfId="0" applyAlignment="1">
      <x:alignment horizontal="center" vertical="top" wrapText="1"/>
    </x:xf>
    <x:xf numFmtId="0" fontId="1" fillId="2" borderId="1" xfId="0" applyAlignment="1">
      <x:alignment wrapText="1"/>
    </x:xf>
    <x:xf numFmtId="0" fontId="1" fillId="3" borderId="1" xfId="0" applyAlignment="1">
      <x:alignment wrapText="1"/>
    </x:xf>
    <x:xf numFmtId="0" fontId="1" fillId="4" borderId="1" xfId="0" applyAlignment="1">
      <x:alignment wrapText="1"/>
    </x:xf>
    <x:xf numFmtId="0" fontId="2" fillId="0" borderId="1" xfId="0" applyAlignment="1">
      <x:alignment wrapText="1"/>
    </x:xf>
    <x:xf numFmtId="0" fontId="0" fillId="0" borderId="0" xfId="0" applyAlignment="1">
      <x:alignment vertical="top" wrapText="1"/>
    </x:xf>
    <x:xf numFmtId="0" fontId="3" fillId="5" borderId="0" xfId="0" applyAlignment="1">
      <x:alignment vertical="top" wrapText="1"/>
    </x:xf>
    <x:xf numFmtId="0" fontId="0" fillId="0" borderId="1" xfId="0" applyNumberFormat="1" applyFont="1" applyFill="1" applyBorder="1"/>
    <x:xf numFmtId="0" fontId="3" fillId="2" borderId="1" xfId="0" applyNumberFormat="1" applyFont="1" applyFill="1" applyBorder="1" applyAlignment="1">
      <x:alignment vertical="center" wrapText="1"/>
    </x:xf>
    <x:xf numFmtId="0" fontId="3" fillId="6" borderId="1" xfId="0" applyNumberFormat="1" applyFont="1" applyFill="1" applyBorder="1"/>
    <x:xf numFmtId="0" fontId="1" fillId="2" borderId="1" xfId="0" applyNumberFormat="1" applyFont="1" applyFill="1" applyBorder="1" applyAlignment="1">
      <x:alignment vertical="center"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4"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x:xf numFmtId="0" fontId="3" fillId="2" borderId="0" xfId="0" applyNumberFormat="1" applyFont="1" applyFill="1" applyBorder="1" applyAlignment="1">
      <x:alignment vertical="center" wrapText="1"/>
    </x:xf>
    <x:xf numFmtId="0" fontId="3" fillId="6" borderId="0" xfId="0" applyNumberFormat="1" applyFont="1" applyFill="1" applyBorder="1"/>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3" fillId="6"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center" wrapText="1"/>
    </x:xf>
    <x:xf numFmtId="0" fontId="8" fillId="0"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4" fillId="13" borderId="0" xfId="0" applyNumberFormat="1" applyFont="1" applyFill="1" applyBorder="1" applyAlignment="1">
      <x:alignment horizontal="center" wrapText="1"/>
    </x:xf>
    <x:xf numFmtId="0" fontId="4" fillId="13"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4" fillId="13"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11" fillId="0" borderId="0" xfId="0" applyNumberFormat="1" applyFont="1" applyFill="1" applyBorder="1" applyAlignment="1">
      <x:alignment wrapText="1"/>
    </x:xf>
    <x:xf numFmtId="0" fontId="0" fillId="14" borderId="0" xfId="0" applyNumberFormat="1" applyFont="1" applyFill="1" applyBorder="1"/>
    <x:xf numFmtId="0" fontId="12" fillId="14" borderId="0" xfId="0" applyNumberFormat="1" applyFont="1" applyFill="1" applyBorder="1"/>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top" wrapText="1"/>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horizontal="left"/>
    </x:xf>
    <x:xf numFmtId="0" fontId="9" fillId="16" borderId="0" xfId="0" applyNumberFormat="1" applyFont="1" applyFill="1" applyBorder="1" applyAlignment="1">
      <x:alignment horizontal="left" vertical="center"/>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11" fillId="17" borderId="0" xfId="0" applyNumberFormat="1" applyFont="1" applyFill="1" applyBorder="1" applyAlignment="1">
      <x:alignment horizontal="center" wrapText="1"/>
    </x:xf>
    <x:xf numFmtId="0" fontId="11" fillId="17" borderId="0" xfId="0" applyNumberFormat="1" applyFont="1" applyFill="1" applyBorder="1" applyAlignment="1">
      <x:alignment horizontal="center" vertical="center" wrapText="1"/>
    </x:xf>
    <x:xf numFmtId="0" fontId="14" fillId="0" borderId="0" xfId="0" applyNumberFormat="1" applyFont="1" applyFill="1" applyBorder="1"/>
    <x:xf numFmtId="0" fontId="9" fillId="16" borderId="0" xfId="0" applyNumberFormat="1" applyFont="1" applyFill="1" applyBorder="1" applyAlignment="1">
      <x:alignment horizontal="left" vertical="center" wrapText="1"/>
    </x:xf>
    <x:xf numFmtId="0" fontId="14" fillId="0" borderId="0" xfId="0" applyNumberFormat="1" applyFont="1" applyFill="1" applyBorder="1" applyAlignment="1">
      <x:alignment wrapText="1"/>
    </x:xf>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11" fillId="12" borderId="0" xfId="0" applyNumberFormat="1" applyFont="1" applyFill="1" applyBorder="1"/>
    <x:xf numFmtId="0" fontId="11" fillId="12" borderId="0" xfId="0" applyNumberFormat="1" applyFont="1" applyFill="1" applyBorder="1" applyAlignment="1">
      <x:alignment wrapText="1"/>
    </x:xf>
    <x:xf numFmtId="0" fontId="11" fillId="12" borderId="0" xfId="0" applyNumberFormat="1" applyFont="1" applyFill="1" applyBorder="1" applyAlignment="1">
      <x:alignment horizontal="center" wrapText="1"/>
    </x:xf>
    <x:xf numFmtId="0" fontId="11" fillId="12" borderId="0" xfId="0" applyNumberFormat="1" applyFont="1" applyFill="1" applyBorder="1" applyAlignment="1">
      <x:alignment horizontal="center" vertical="center" wrapText="1"/>
    </x:xf>
    <x:xf numFmtId="0" fontId="9" fillId="11" borderId="0" xfId="0" applyNumberFormat="1" applyFont="1" applyFill="1" applyBorder="1" applyAlignment="1">
      <x:alignment horizontal="left" vertical="center" wrapText="1"/>
    </x:xf>
    <x:xf numFmtId="0" fontId="15" fillId="0" borderId="0" xfId="0" applyNumberFormat="1" applyFont="1" applyFill="1" applyBorder="1"/>
    <x:xf numFmtId="0" fontId="15" fillId="0" borderId="0" xfId="0" applyNumberFormat="1" applyFont="1" applyFill="1" applyBorder="1" applyAlignment="1">
      <x:alignment vertical="top"/>
    </x:xf>
    <x:xf numFmtId="0" fontId="16" fillId="11" borderId="0" xfId="0" applyNumberFormat="1" applyFont="1" applyFill="1" applyBorder="1" applyAlignment="1">
      <x:alignment horizontal="left" vertical="center"/>
    </x:xf>
    <x:xf numFmtId="0" fontId="16" fillId="12"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0" fontId="16" fillId="11" borderId="0" xfId="0" applyNumberFormat="1" applyFont="1" applyFill="1" applyBorder="1" applyAlignment="1">
      <x:alignment horizontal="left" vertical="top"/>
    </x:xf>
    <x:xf numFmtId="0" fontId="16" fillId="12" borderId="0" xfId="0" applyNumberFormat="1" applyFont="1" applyFill="1" applyBorder="1" applyAlignment="1">
      <x:alignment horizontal="center" vertical="top" wrapText="1"/>
    </x:xf>
    <x:xf numFmtId="0" fontId="15" fillId="18" borderId="0" xfId="0" applyNumberFormat="1" applyFont="1" applyFill="1" applyBorder="1" applyAlignment="1">
      <x:alignment vertical="top"/>
    </x:xf>
    <x:xf numFmtId="0" fontId="17" fillId="18" borderId="0" xfId="0" applyNumberFormat="1" applyFont="1" applyFill="1" applyBorder="1" applyAlignment="1">
      <x:alignment vertical="top"/>
    </x:xf>
    <x:xf numFmtId="0" fontId="17" fillId="18" borderId="0" xfId="0" applyNumberFormat="1" applyFont="1" applyFill="1" applyBorder="1" applyAlignment="1">
      <x:alignment vertical="center"/>
    </x:xf>
    <x:xf numFmtId="0" fontId="16" fillId="18" borderId="0" xfId="0" applyNumberFormat="1" applyFont="1" applyFill="1" applyBorder="1" applyAlignment="1">
      <x:alignment horizontal="left" vertical="top"/>
    </x:xf>
    <x:xf numFmtId="0" fontId="17" fillId="18" borderId="0" xfId="0" applyNumberFormat="1" applyFont="1" applyFill="1" applyBorder="1" applyAlignment="1">
      <x:alignment horizontal="left" vertical="top"/>
    </x:xf>
    <x:xf numFmtId="0" fontId="17" fillId="18" borderId="0" xfId="0" applyNumberFormat="1" applyFont="1" applyFill="1" applyBorder="1" applyAlignment="1">
      <x:alignment horizontal="left" vertical="center"/>
    </x:xf>
    <x:xf numFmtId="0" fontId="15" fillId="19" borderId="0" xfId="0" applyNumberFormat="1" applyFont="1" applyFill="1" applyBorder="1" applyAlignment="1">
      <x:alignment vertical="top"/>
    </x:xf>
    <x:xf numFmtId="0" fontId="18" fillId="19" borderId="0" xfId="0" applyNumberFormat="1" applyFont="1" applyFill="1" applyBorder="1" applyAlignment="1">
      <x:alignment vertical="top"/>
    </x:xf>
    <x:xf numFmtId="0" fontId="18" fillId="19" borderId="0" xfId="0" applyNumberFormat="1" applyFont="1" applyFill="1" applyBorder="1" applyAlignment="1">
      <x:alignment vertical="top" wrapText="1"/>
    </x:xf>
    <x:xf numFmtId="0" fontId="15" fillId="20" borderId="0" xfId="0" applyNumberFormat="1" applyFont="1" applyFill="1" applyBorder="1" applyAlignment="1">
      <x:alignment vertical="top"/>
    </x:xf>
    <x:xf numFmtId="0" fontId="19" fillId="20" borderId="0" xfId="0" applyNumberFormat="1" applyFont="1" applyFill="1" applyBorder="1" applyAlignment="1">
      <x:alignment vertical="top"/>
    </x:xf>
    <x:xf numFmtId="0" fontId="19" fillId="20"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6" fillId="20" borderId="0" xfId="0" applyNumberFormat="1" applyFont="1" applyFill="1" applyBorder="1" applyAlignment="1">
      <x:alignment horizontal="center" vertical="top" wrapText="1"/>
    </x:xf>
    <x:xf numFmtId="0" fontId="19" fillId="20" borderId="0" xfId="0" applyNumberFormat="1" applyFont="1" applyFill="1" applyBorder="1" applyAlignment="1">
      <x:alignment horizontal="center" vertical="top" wrapText="1"/>
    </x:xf>
    <x:xf numFmtId="0" fontId="19" fillId="20" borderId="0" xfId="0" applyNumberFormat="1" applyFont="1" applyFill="1" applyBorder="1" applyAlignment="1">
      <x:alignment horizontal="center" vertical="center" wrapText="1"/>
    </x:xf>
    <x:xf numFmtId="200" fontId="15" fillId="0" borderId="0" xfId="0" applyNumberFormat="1" applyFont="1" applyFill="1" applyBorder="1" applyAlignment="1">
      <x:alignment vertical="top" wrapText="1"/>
    </x:xf>
    <x:xf numFmtId="0" fontId="15" fillId="20" borderId="0" xfId="0" applyNumberFormat="1" applyFont="1" applyFill="1" applyBorder="1" applyAlignment="1">
      <x:alignment vertical="top" wrapText="1"/>
    </x:xf>
    <x:xf numFmtId="0" fontId="15" fillId="21" borderId="0" xfId="0" applyNumberFormat="1" applyFont="1" applyFill="1" applyBorder="1" applyAlignment="1">
      <x:alignment vertical="top" wrapText="1"/>
    </x:xf>
    <x:xf numFmtId="0" fontId="9" fillId="22" borderId="0" xfId="0" applyNumberFormat="1" applyFont="1" applyFill="1" applyBorder="1" applyAlignment="1">
      <x:alignment horizontal="left" vertical="center" wrapText="1"/>
    </x:xf>
    <x:xf numFmtId="0" fontId="6" fillId="22" borderId="0" xfId="0" applyNumberFormat="1" applyFont="1" applyFill="1" applyBorder="1" applyAlignment="1">
      <x:alignment horizontal="left" vertical="center" wrapText="1"/>
    </x:xf>
    <x:xf numFmtId="0" fontId="0" fillId="23" borderId="0" xfId="0" applyNumberFormat="1" applyFont="1" applyFill="1" applyBorder="1" applyAlignment="1">
      <x:alignment wrapText="1"/>
    </x:xf>
    <x:xf numFmtId="0" fontId="11" fillId="23" borderId="0" xfId="0" applyNumberFormat="1" applyFont="1" applyFill="1" applyBorder="1" applyAlignment="1">
      <x:alignment horizontal="center" vertical="center" wrapText="1"/>
    </x:xf>
    <x:xf numFmtId="0" fontId="0" fillId="23" borderId="0" xfId="0" applyNumberFormat="1" applyFont="1" applyFill="1" applyBorder="1" applyAlignment="1">
      <x:alignment vertical="top" wrapText="1"/>
    </x:xf>
    <x:xf numFmtId="0" fontId="9" fillId="22" borderId="0" xfId="0" applyNumberFormat="1" applyFont="1" applyFill="1" applyBorder="1" applyAlignment="1">
      <x:alignment horizontal="left" vertical="center"/>
    </x:xf>
    <x:xf numFmtId="0" fontId="6" fillId="22" borderId="0" xfId="0" applyNumberFormat="1" applyFont="1" applyFill="1" applyBorder="1" applyAlignment="1">
      <x:alignment horizontal="left" vertical="center"/>
    </x:xf>
    <x:xf numFmtId="0" fontId="0" fillId="22" borderId="0" xfId="0" applyNumberFormat="1" applyFont="1" applyFill="1" applyBorder="1"/>
    <x:xf numFmtId="0" fontId="6" fillId="22" borderId="0" xfId="0" applyNumberFormat="1" applyFont="1" applyFill="1" applyBorder="1"/>
    <x:xf numFmtId="0" fontId="0" fillId="23" borderId="0" xfId="0" applyNumberFormat="1" applyFont="1" applyFill="1" applyBorder="1"/>
    <x:xf numFmtId="0" fontId="3" fillId="18" borderId="0" xfId="0" applyNumberFormat="1" applyFont="1" applyFill="1" applyBorder="1" applyAlignment="1">
      <x:alignment vertical="center" wrapText="1"/>
    </x:xf>
    <x:xf numFmtId="0" fontId="0" fillId="18" borderId="0" xfId="0" applyNumberFormat="1" applyFont="1" applyFill="1" applyBorder="1"/>
    <x:xf numFmtId="0" fontId="20" fillId="18" borderId="0" xfId="0" applyNumberFormat="1" applyFont="1" applyFill="1" applyBorder="1" applyAlignment="1">
      <x:alignment vertical="center" wrapText="1"/>
    </x:xf>
    <x:xf numFmtId="0" fontId="20" fillId="18" borderId="0" xfId="0" applyNumberFormat="1" applyFont="1" applyFill="1" applyBorder="1"/>
    <x:xf numFmtId="0" fontId="3" fillId="19" borderId="0" xfId="0" applyNumberFormat="1" applyFont="1" applyFill="1" applyBorder="1" applyAlignment="1">
      <x:alignment wrapText="1"/>
    </x:xf>
    <x:xf numFmtId="0" fontId="0" fillId="19" borderId="0" xfId="0" applyNumberFormat="1" applyFont="1" applyFill="1" applyBorder="1"/>
    <x:xf numFmtId="0" fontId="21" fillId="19" borderId="0" xfId="0" applyNumberFormat="1" applyFont="1" applyFill="1" applyBorder="1" applyAlignment="1">
      <x:alignment wrapText="1"/>
    </x:xf>
    <x:xf numFmtId="0" fontId="22" fillId="19" borderId="0" xfId="0" applyNumberFormat="1" applyFont="1" applyFill="1" applyBorder="1"/>
    <x:xf numFmtId="0" fontId="0" fillId="20" borderId="0" xfId="0" applyNumberFormat="1" applyFont="1" applyFill="1" applyBorder="1" applyAlignment="1">
      <x:alignment wrapText="1"/>
    </x:xf>
    <x:xf numFmtId="0" fontId="4" fillId="20" borderId="0" xfId="0" applyNumberFormat="1" applyFont="1" applyFill="1" applyBorder="1" applyAlignment="1">
      <x:alignment wrapText="1"/>
    </x:xf>
    <x:xf numFmtId="0" fontId="0" fillId="20" borderId="0" xfId="0" applyNumberFormat="1" applyFont="1" applyFill="1" applyBorder="1"/>
    <x:xf numFmtId="0" fontId="4" fillId="20" borderId="0" xfId="0" applyNumberFormat="1" applyFont="1" applyFill="1" applyBorder="1"/>
    <x:xf numFmtId="0" fontId="0" fillId="21" borderId="0" xfId="0" applyNumberFormat="1" applyFont="1" applyFill="1" applyBorder="1"/>
    <x:xf numFmtId="0" fontId="0" fillId="21" borderId="0" xfId="0" applyNumberFormat="1" applyFont="1" applyFill="1" applyBorder="1" applyAlignment="1">
      <x:alignment wrapText="1"/>
    </x:xf>
    <x:xf numFmtId="0" fontId="15" fillId="24" borderId="0" xfId="0" applyNumberFormat="1" applyFont="1" applyFill="1" applyBorder="1" applyAlignment="1">
      <x:alignment vertical="top"/>
    </x:xf>
    <x:xf numFmtId="0" fontId="17" fillId="24" borderId="0" xfId="0" applyNumberFormat="1" applyFont="1" applyFill="1" applyBorder="1" applyAlignment="1">
      <x:alignment vertical="top"/>
    </x:xf>
    <x:xf numFmtId="0" fontId="15" fillId="25" borderId="0" xfId="0" applyNumberFormat="1" applyFont="1" applyFill="1" applyBorder="1" applyAlignment="1">
      <x:alignment vertical="top"/>
    </x:xf>
    <x:xf numFmtId="0" fontId="19" fillId="25" borderId="0" xfId="0" applyNumberFormat="1" applyFont="1" applyFill="1" applyBorder="1" applyAlignment="1">
      <x:alignment vertical="top"/>
    </x:xf>
    <x:xf numFmtId="0" fontId="19" fillId="25" borderId="0" xfId="0" applyNumberFormat="1" applyFont="1" applyFill="1" applyBorder="1" applyAlignment="1">
      <x:alignment vertical="top" wrapText="1"/>
    </x:xf>
    <x:xf numFmtId="0" fontId="15" fillId="26" borderId="0" xfId="0" applyNumberFormat="1" applyFont="1" applyFill="1" applyBorder="1" applyAlignment="1">
      <x:alignment vertical="top"/>
    </x:xf>
    <x:xf numFmtId="0" fontId="18" fillId="26" borderId="0" xfId="0" applyNumberFormat="1" applyFont="1" applyFill="1" applyBorder="1" applyAlignment="1">
      <x:alignment vertical="top"/>
    </x:xf>
    <x:xf numFmtId="0" fontId="18" fillId="26" borderId="0" xfId="0" applyNumberFormat="1" applyFont="1" applyFill="1" applyBorder="1" applyAlignment="1">
      <x:alignment vertical="top" wrapText="1"/>
    </x:xf>
    <x:xf numFmtId="0" fontId="15" fillId="26" borderId="0" xfId="0" applyNumberFormat="1" applyFont="1" applyFill="1" applyBorder="1" applyAlignment="1">
      <x:alignment vertical="top" wrapText="1"/>
    </x:xf>
    <x:xf numFmtId="0" fontId="16" fillId="18" borderId="0" xfId="0" applyNumberFormat="1" applyFont="1" applyFill="1" applyBorder="1" applyAlignment="1">
      <x:alignment vertical="center"/>
    </x:xf>
    <x:xf numFmtId="0" fontId="23" fillId="19" borderId="0" xfId="0" applyNumberFormat="1" applyFont="1" applyFill="1" applyBorder="1" applyAlignment="1">
      <x:alignment vertical="top"/>
    </x:xf>
    <x:xf numFmtId="0" fontId="16" fillId="20" borderId="0" xfId="0" applyNumberFormat="1" applyFont="1" applyFill="1" applyBorder="1" applyAlignment="1">
      <x:alignment vertical="center" wrapText="1"/>
    </x:xf>
    <x:xf numFmtId="0" fontId="16" fillId="20" borderId="0" xfId="0" applyNumberFormat="1" applyFont="1" applyFill="1" applyBorder="1" applyAlignment="1">
      <x:alignment vertical="top"/>
    </x:xf>
    <x:xf numFmtId="0" fontId="16" fillId="20" borderId="0" xfId="0" applyNumberFormat="1" applyFont="1" applyFill="1" applyBorder="1" applyAlignment="1">
      <x:alignment vertical="top" wrapText="1"/>
    </x:xf>
    <x:xf numFmtId="0" fontId="16" fillId="24" borderId="0" xfId="0" applyNumberFormat="1" applyFont="1" applyFill="1" applyBorder="1" applyAlignment="1">
      <x:alignment vertical="center"/>
    </x:xf>
    <x:xf numFmtId="0" fontId="20" fillId="24" borderId="0" xfId="0" applyNumberFormat="1" applyFont="1" applyFill="1" applyBorder="1" applyAlignment="1">
      <x:alignment vertical="center"/>
    </x:xf>
    <x:xf numFmtId="0" fontId="23" fillId="26" borderId="0" xfId="0" applyNumberFormat="1" applyFont="1" applyFill="1" applyBorder="1" applyAlignment="1">
      <x:alignment vertical="top"/>
    </x:xf>
    <x:xf numFmtId="0" fontId="16" fillId="18" borderId="0" xfId="0" applyNumberFormat="1" applyFont="1" applyFill="1" applyBorder="1" applyAlignment="1">
      <x:alignment vertical="center" wrapText="1"/>
    </x:xf>
    <x:xf numFmtId="0" fontId="16" fillId="18" borderId="0" xfId="0" applyNumberFormat="1" applyFont="1" applyFill="1" applyBorder="1"/>
    <x:xf numFmtId="0" fontId="24" fillId="19" borderId="0" xfId="0" applyNumberFormat="1" applyFont="1" applyFill="1" applyBorder="1" applyAlignment="1">
      <x:alignment wrapText="1"/>
    </x:xf>
    <x:xf numFmtId="0" fontId="23" fillId="19" borderId="0" xfId="0" applyNumberFormat="1" applyFont="1" applyFill="1" applyBorder="1"/>
    <x:xf numFmtId="0" fontId="15" fillId="0" borderId="0" xfId="0" applyNumberFormat="1" applyFont="1" applyFill="1" applyBorder="1" applyAlignment="1">
      <x:alignment wrapText="1"/>
    </x:xf>
    <x:xf numFmtId="0" fontId="16" fillId="20" borderId="0" xfId="0" applyNumberFormat="1" applyFont="1" applyFill="1" applyBorder="1" applyAlignment="1">
      <x:alignment wrapText="1"/>
    </x:xf>
    <x:xf numFmtId="0" fontId="16" fillId="20" borderId="0" xfId="0" applyNumberFormat="1" applyFont="1" applyFill="1" applyBorder="1"/>
    <x:xf numFmtId="0" fontId="16" fillId="0" borderId="0" xfId="0" applyNumberFormat="1" applyFont="1" applyFill="1" applyBorder="1" applyAlignment="1">
      <x:alignment wrapText="1"/>
    </x:xf>
    <x:xf numFmtId="0" fontId="16" fillId="9" borderId="0" xfId="0" applyNumberFormat="1" applyFont="1" applyFill="1" applyBorder="1" applyAlignment="1">
      <x:alignment wrapText="1"/>
    </x:xf>
    <x:xf numFmtId="0" fontId="15" fillId="9" borderId="0" xfId="0" applyNumberFormat="1" applyFont="1" applyFill="1" applyBorder="1" applyAlignment="1">
      <x:alignment wrapText="1"/>
    </x:xf>
    <x:xf numFmtId="0" fontId="15" fillId="21" borderId="0" xfId="0" applyNumberFormat="1" applyFont="1" applyFill="1" applyBorder="1" applyAlignment="1">
      <x:alignment wrapText="1"/>
    </x:xf>
    <x:xf numFmtId="0" fontId="16" fillId="24" borderId="0" xfId="0" applyNumberFormat="1" applyFont="1" applyFill="1" applyBorder="1" applyAlignment="1">
      <x:alignment vertical="center" wrapText="1"/>
    </x:xf>
    <x:xf numFmtId="0" fontId="16" fillId="24" borderId="0" xfId="0" applyNumberFormat="1" applyFont="1" applyFill="1" applyBorder="1"/>
    <x:xf numFmtId="0" fontId="20" fillId="24" borderId="0" xfId="0" applyNumberFormat="1" applyFont="1" applyFill="1" applyBorder="1" applyAlignment="1">
      <x:alignment vertical="center" wrapText="1"/>
    </x:xf>
    <x:xf numFmtId="0" fontId="20" fillId="24" borderId="0" xfId="0" applyNumberFormat="1" applyFont="1" applyFill="1" applyBorder="1"/>
    <x:xf numFmtId="0" fontId="24" fillId="26" borderId="0" xfId="0" applyNumberFormat="1" applyFont="1" applyFill="1" applyBorder="1" applyAlignment="1">
      <x:alignment wrapText="1"/>
    </x:xf>
    <x:xf numFmtId="0" fontId="23" fillId="26" borderId="0" xfId="0" applyNumberFormat="1" applyFont="1" applyFill="1" applyBorder="1"/>
    <x:xf numFmtId="0" fontId="25" fillId="26" borderId="0" xfId="0" applyNumberFormat="1" applyFont="1" applyFill="1" applyBorder="1" applyAlignment="1">
      <x:alignment wrapText="1"/>
    </x:xf>
    <x:xf numFmtId="0" fontId="18" fillId="26" borderId="0" xfId="0" applyNumberFormat="1" applyFont="1" applyFill="1" applyBorder="1"/>
    <x:xf numFmtId="0" fontId="18" fillId="26" borderId="0" xfId="0" applyNumberFormat="1" applyFont="1" applyFill="1" applyBorder="1" applyAlignment="1">
      <x:alignment wrapText="1"/>
    </x:xf>
    <x:xf numFmtId="0" fontId="16" fillId="25" borderId="0" xfId="0" applyNumberFormat="1" applyFont="1" applyFill="1" applyBorder="1" applyAlignment="1">
      <x:alignment vertical="center" wrapText="1"/>
    </x:xf>
    <x:xf numFmtId="0" fontId="19" fillId="25" borderId="0" xfId="0" applyNumberFormat="1" applyFont="1" applyFill="1" applyBorder="1" applyAlignment="1">
      <x:alignment vertical="center" wrapText="1"/>
    </x:xf>
    <x:xf numFmtId="0" fontId="15" fillId="25" borderId="0" xfId="0" applyNumberFormat="1" applyFont="1" applyFill="1" applyBorder="1" applyAlignment="1">
      <x:alignment vertical="top" wrapText="1"/>
    </x:xf>
    <x:xf numFmtId="0" fontId="15" fillId="27" borderId="0" xfId="0" applyNumberFormat="1" applyFont="1" applyFill="1" applyBorder="1" applyAlignment="1">
      <x:alignment vertical="top"/>
    </x:xf>
    <x:xf numFmtId="0" fontId="15" fillId="27" borderId="0" xfId="0" applyNumberFormat="1" applyFont="1" applyFill="1" applyBorder="1" applyAlignment="1">
      <x:alignment vertical="top" wrapText="1"/>
    </x:xf>
    <x:xf numFmtId="0" fontId="16" fillId="25" borderId="0" xfId="0" applyNumberFormat="1" applyFont="1" applyFill="1" applyBorder="1" applyAlignment="1">
      <x:alignment wrapText="1"/>
    </x:xf>
    <x:xf numFmtId="0" fontId="19" fillId="25" borderId="0" xfId="0" applyNumberFormat="1" applyFont="1" applyFill="1" applyBorder="1" applyAlignment="1">
      <x:alignment wrapText="1"/>
    </x:xf>
    <x:xf numFmtId="0" fontId="16" fillId="25" borderId="0" xfId="0" applyNumberFormat="1" applyFont="1" applyFill="1" applyBorder="1"/>
    <x:xf numFmtId="0" fontId="19" fillId="25" borderId="0" xfId="0" applyNumberFormat="1" applyFont="1" applyFill="1" applyBorder="1"/>
    <x:xf numFmtId="0" fontId="15" fillId="25" borderId="0" xfId="0" applyNumberFormat="1" applyFont="1" applyFill="1" applyBorder="1" applyAlignment="1">
      <x:alignment wrapText="1"/>
    </x:xf>
    <x:xf numFmtId="0" fontId="15" fillId="27" borderId="0" xfId="0" applyNumberFormat="1" applyFont="1" applyFill="1" applyBorder="1" applyAlignment="1">
      <x:alignment wrapText="1"/>
    </x:xf>
    <x:xf numFmtId="0" fontId="15" fillId="27" borderId="0" xfId="0" applyNumberFormat="1" applyFont="1" applyFill="1" applyBorder="1"/>
    <x:xf numFmtId="0" fontId="20" fillId="28" borderId="0" xfId="0" applyNumberFormat="1" applyFont="1" applyFill="1" applyBorder="1" applyAlignment="1">
      <x:alignment vertical="center" wrapText="1"/>
    </x:xf>
    <x:xf numFmtId="0" fontId="20" fillId="28" borderId="0" xfId="0" applyNumberFormat="1" applyFont="1" applyFill="1" applyBorder="1"/>
    <x:xf numFmtId="0" fontId="25" fillId="28" borderId="0" xfId="0" applyNumberFormat="1" applyFont="1" applyFill="1" applyBorder="1" applyAlignment="1">
      <x:alignment wrapText="1"/>
    </x:xf>
    <x:xf numFmtId="0" fontId="18" fillId="28" borderId="0" xfId="0" applyNumberFormat="1" applyFont="1" applyFill="1" applyBorder="1" applyAlignment="1">
      <x:alignment wrapText="1"/>
    </x:xf>
    <x:xf numFmtId="0" fontId="15" fillId="28" borderId="0" xfId="0" applyNumberFormat="1" applyFont="1" applyFill="1" applyBorder="1" applyAlignment="1">
      <x:alignment wrapText="1"/>
    </x:xf>
    <x:xf numFmtId="0" fontId="15" fillId="28" borderId="0" xfId="0" applyNumberFormat="1" applyFont="1" applyFill="1" applyBorder="1"/>
    <x:xf numFmtId="0" fontId="19" fillId="28" borderId="0" xfId="0" applyNumberFormat="1" applyFont="1" applyFill="1" applyBorder="1" applyAlignment="1">
      <x:alignment wrapText="1"/>
    </x:xf>
    <x:xf numFmtId="0" fontId="19" fillId="28" borderId="0" xfId="0" applyNumberFormat="1" applyFont="1" applyFill="1" applyBorder="1"/>
    <x:xf numFmtId="0" fontId="16" fillId="28" borderId="0" xfId="0" applyNumberFormat="1" applyFont="1" applyFill="1" applyBorder="1" applyAlignment="1">
      <x:alignment wrapText="1"/>
    </x:xf>
    <x:xf numFmtId="0" fontId="16" fillId="28" borderId="0" xfId="0" applyNumberFormat="1" applyFont="1" applyFill="1" applyBorder="1"/>
    <x:xf numFmtId="0" fontId="0" fillId="28" borderId="0" xfId="0" applyNumberFormat="1" applyFont="1" applyFill="1" applyBorder="1"/>
    <x:xf numFmtId="0" fontId="16" fillId="28" borderId="0" xfId="0" applyNumberFormat="1" applyFont="1" applyFill="1" applyBorder="1" applyAlignment="1">
      <x:alignment vertical="center" wrapText="1"/>
    </x:xf>
    <x:xf numFmtId="0" fontId="24" fillId="28" borderId="0" xfId="0" applyNumberFormat="1" applyFont="1" applyFill="1" applyBorder="1" applyAlignment="1">
      <x:alignment wrapText="1"/>
    </x:xf>
    <x:xf numFmtId="0" fontId="23" fillId="28" borderId="0" xfId="0" applyNumberFormat="1" applyFont="1" applyFill="1" applyBorder="1" applyAlignment="1">
      <x:alignment wrapText="1"/>
    </x:xf>
    <x:xf numFmtId="0" fontId="16" fillId="28" borderId="0" xfId="0" applyNumberFormat="1" applyFont="1" applyFill="1" applyBorder="1" applyAlignment="1">
      <x:alignment vertical="center" wrapText="0"/>
    </x:xf>
    <x:xf numFmtId="0" fontId="16" fillId="28" borderId="0" xfId="0" applyNumberFormat="1" applyFont="1" applyFill="1" applyBorder="1" applyAlignment="1">
      <x:alignment wrapText="0"/>
    </x:xf>
    <x:xf numFmtId="0" fontId="24" fillId="28" borderId="0" xfId="0" applyNumberFormat="1" applyFont="1" applyFill="1" applyBorder="1" applyAlignment="1">
      <x:alignment wrapText="0"/>
    </x:xf>
    <x:xf numFmtId="0" fontId="23" fillId="28" borderId="0" xfId="0" applyNumberFormat="1" applyFont="1" applyFill="1" applyBorder="1" applyAlignment="1">
      <x:alignment wrapText="0"/>
    </x:xf>
    <x:xf numFmtId="0" fontId="15" fillId="28" borderId="0" xfId="0" applyNumberFormat="1" applyFont="1" applyFill="1" applyBorder="1" applyAlignment="1">
      <x:alignment wrapText="0"/>
    </x:xf>
    <x:xf numFmtId="0" fontId="20" fillId="28" borderId="0" xfId="0" applyNumberFormat="1" applyFont="1" applyFill="1" applyBorder="1" applyAlignment="1">
      <x:alignment vertical="center"/>
    </x:xf>
    <x:xf numFmtId="0" fontId="18" fillId="28" borderId="0" xfId="0" applyNumberFormat="1" applyFont="1" applyFill="1" applyBorder="1" applyAlignment="1">
      <x:alignment vertical="top" wrapText="1"/>
    </x:xf>
    <x:xf numFmtId="0" fontId="15" fillId="28" borderId="0" xfId="0" applyNumberFormat="1" applyFont="1" applyFill="1" applyBorder="1" applyAlignment="1">
      <x:alignment vertical="top"/>
    </x:xf>
    <x:xf numFmtId="0" fontId="19" fillId="28" borderId="0" xfId="0" applyNumberFormat="1" applyFont="1" applyFill="1" applyBorder="1" applyAlignment="1">
      <x:alignment vertical="center" wrapText="1"/>
    </x:xf>
    <x:xf numFmtId="0" fontId="15" fillId="28" borderId="0" xfId="0" applyNumberFormat="1" applyFont="1" applyFill="1" applyBorder="1" applyAlignment="1">
      <x:alignment vertical="top" wrapText="1"/>
    </x:xf>
    <x:xf numFmtId="0" fontId="16" fillId="28" borderId="0" xfId="0" applyNumberFormat="1" applyFont="1" applyFill="1" applyBorder="1" applyAlignment="1">
      <x:alignment vertical="top"/>
    </x:xf>
    <x:xf numFmtId="0" fontId="16" fillId="28" borderId="0" xfId="0" applyNumberFormat="1" applyFont="1" applyFill="1" applyBorder="1" applyAlignment="1">
      <x:alignment vertical="top" wrapText="1"/>
    </x:xf>
    <x:xf numFmtId="0" fontId="19" fillId="28" borderId="0" xfId="0" applyNumberFormat="1" applyFont="1" applyFill="1" applyBorder="1" applyAlignment="1">
      <x:alignment vertical="top" wrapText="1"/>
    </x:xf>
    <x:xf numFmtId="0" fontId="16" fillId="28" borderId="0" xfId="0" applyNumberFormat="1" applyFont="1" applyFill="1" applyBorder="1" applyAlignment="1">
      <x:alignment vertical="center"/>
    </x:xf>
    <x:xf numFmtId="0" fontId="23" fillId="28" borderId="0" xfId="0" applyNumberFormat="1" applyFont="1" applyFill="1" applyBorder="1" applyAlignment="1">
      <x:alignment vertical="top" wrapText="1"/>
    </x:xf>
    <x:xf numFmtId="0" fontId="23" fillId="28" borderId="0" xfId="0" applyNumberFormat="1" applyFont="1" applyFill="1" applyBorder="1" applyAlignment="1">
      <x:alignment vertical="top" wrapText="0"/>
    </x:xf>
    <x:xf numFmtId="0" fontId="15" fillId="28" borderId="0" xfId="0" applyNumberFormat="1" applyFont="1" applyFill="1" applyBorder="1" applyAlignment="1">
      <x:alignment vertical="top" wrapText="0"/>
    </x:xf>
    <x:xf numFmtId="0" fontId="16" fillId="28" borderId="0" xfId="0" applyNumberFormat="1" applyFont="1" applyFill="1" applyBorder="1" applyAlignment="1">
      <x:alignment vertical="top" wrapText="0"/>
    </x:xf>
    <x:xf numFmtId="0" fontId="16" fillId="24" borderId="0" xfId="0" applyNumberFormat="1" applyFont="1" applyFill="1" applyBorder="1" applyAlignment="1">
      <x:alignment vertical="center" wrapText="0"/>
    </x:xf>
    <x:xf numFmtId="0" fontId="16" fillId="24" borderId="0" xfId="0" applyNumberFormat="1" applyFont="1" applyFill="1" applyBorder="1" applyAlignment="1">
      <x:alignment wrapText="0"/>
    </x:xf>
    <x:xf numFmtId="0" fontId="20" fillId="24" borderId="0" xfId="0" applyNumberFormat="1" applyFont="1" applyFill="1" applyBorder="1" applyAlignment="1">
      <x:alignment vertical="center" wrapText="0"/>
    </x:xf>
    <x:xf numFmtId="0" fontId="20" fillId="24" borderId="0" xfId="0" applyNumberFormat="1" applyFont="1" applyFill="1" applyBorder="1" applyAlignment="1">
      <x:alignment wrapText="0"/>
    </x:xf>
    <x:xf numFmtId="0" fontId="24" fillId="26" borderId="0" xfId="0" applyNumberFormat="1" applyFont="1" applyFill="1" applyBorder="1" applyAlignment="1">
      <x:alignment wrapText="0"/>
    </x:xf>
    <x:xf numFmtId="0" fontId="23" fillId="26" borderId="0" xfId="0" applyNumberFormat="1" applyFont="1" applyFill="1" applyBorder="1" applyAlignment="1">
      <x:alignment wrapText="0"/>
    </x:xf>
    <x:xf numFmtId="0" fontId="25" fillId="26" borderId="0" xfId="0" applyNumberFormat="1" applyFont="1" applyFill="1" applyBorder="1" applyAlignment="1">
      <x:alignment wrapText="0"/>
    </x:xf>
    <x:xf numFmtId="0" fontId="18" fillId="26" borderId="0" xfId="0" applyNumberFormat="1" applyFont="1" applyFill="1" applyBorder="1" applyAlignment="1">
      <x:alignment wrapText="0"/>
    </x:xf>
    <x:xf numFmtId="0" fontId="16" fillId="25" borderId="0" xfId="0" applyNumberFormat="1" applyFont="1" applyFill="1" applyBorder="1" applyAlignment="1">
      <x:alignment wrapText="0"/>
    </x:xf>
    <x:xf numFmtId="0" fontId="19" fillId="25" borderId="0" xfId="0" applyNumberFormat="1" applyFont="1" applyFill="1" applyBorder="1" applyAlignment="1">
      <x:alignment wrapText="0"/>
    </x:xf>
    <x:xf numFmtId="0" fontId="15" fillId="27" borderId="0" xfId="0" applyNumberFormat="1" applyFont="1" applyFill="1" applyBorder="1" applyAlignment="1">
      <x:alignment wrapText="0"/>
    </x:xf>
    <x:xf numFmtId="0" fontId="23" fillId="26" borderId="0" xfId="0" applyNumberFormat="1" applyFont="1" applyFill="1" applyBorder="1" applyAlignment="1">
      <x:alignment vertical="top" wrapText="0"/>
    </x:xf>
    <x:xf numFmtId="0" fontId="18" fillId="26" borderId="0" xfId="0" applyNumberFormat="1" applyFont="1" applyFill="1" applyBorder="1" applyAlignment="1">
      <x:alignment vertical="top" wrapText="0"/>
    </x:xf>
    <x:xf numFmtId="0" fontId="16" fillId="25" borderId="0" xfId="0" applyNumberFormat="1" applyFont="1" applyFill="1" applyBorder="1" applyAlignment="1">
      <x:alignment vertical="center" wrapText="0"/>
    </x:xf>
    <x:xf numFmtId="0" fontId="19" fillId="25" borderId="0" xfId="0" applyNumberFormat="1" applyFont="1" applyFill="1" applyBorder="1" applyAlignment="1">
      <x:alignment vertical="center" wrapText="0"/>
    </x:xf>
    <x:xf numFmtId="0" fontId="16" fillId="25" borderId="0" xfId="0" applyNumberFormat="1" applyFont="1" applyFill="1" applyBorder="1" applyAlignment="1">
      <x:alignment vertical="top" wrapText="0"/>
    </x:xf>
    <x:xf numFmtId="0" fontId="19" fillId="25" borderId="0" xfId="0" applyNumberFormat="1" applyFont="1" applyFill="1" applyBorder="1" applyAlignment="1">
      <x:alignment vertical="top" wrapText="0"/>
    </x:xf>
    <x:xf numFmtId="0" fontId="15" fillId="27" borderId="0" xfId="0" applyNumberFormat="1" applyFont="1" applyFill="1" applyBorder="1" applyAlignment="1">
      <x:alignment vertical="top" wrapText="0"/>
    </x:xf>
    <x:xf numFmtId="0" fontId="15" fillId="19" borderId="0" xfId="0" applyNumberFormat="1" applyFont="1" applyFill="1" applyBorder="1" applyAlignment="1">
      <x:alignment vertical="top" wrapText="1"/>
    </x:xf>
    <x:xf numFmtId="0" fontId="20" fillId="18" borderId="0" xfId="0" applyNumberFormat="1" applyFont="1" applyFill="1" applyBorder="1" applyAlignment="1">
      <x:alignment vertical="center"/>
    </x:xf>
    <x:xf numFmtId="0" fontId="25" fillId="19" borderId="0" xfId="0" applyNumberFormat="1" applyFont="1" applyFill="1" applyBorder="1" applyAlignment="1">
      <x:alignment wrapText="1"/>
    </x:xf>
    <x:xf numFmtId="0" fontId="18" fillId="19" borderId="0" xfId="0" applyNumberFormat="1" applyFont="1" applyFill="1" applyBorder="1"/>
    <x:xf numFmtId="0" fontId="18" fillId="19" borderId="0" xfId="0" applyNumberFormat="1" applyFont="1" applyFill="1" applyBorder="1" applyAlignment="1">
      <x:alignment wrapText="1"/>
    </x:xf>
    <x:xf numFmtId="0" fontId="15" fillId="21" borderId="0" xfId="0" applyNumberFormat="1" applyFont="1" applyFill="1" applyBorder="1" applyAlignment="1">
      <x:alignment vertical="top"/>
    </x:xf>
    <x:xf numFmtId="0" fontId="19" fillId="20" borderId="0" xfId="0" applyNumberFormat="1" applyFont="1" applyFill="1" applyBorder="1" applyAlignment="1">
      <x:alignment wrapText="1"/>
    </x:xf>
    <x:xf numFmtId="0" fontId="19" fillId="20" borderId="0" xfId="0" applyNumberFormat="1" applyFont="1" applyFill="1" applyBorder="1"/>
    <x:xf numFmtId="0" fontId="15" fillId="20" borderId="0" xfId="0" applyNumberFormat="1" applyFont="1" applyFill="1" applyBorder="1" applyAlignment="1">
      <x:alignment wrapText="1"/>
    </x:xf>
    <x:xf numFmtId="0" fontId="15" fillId="21" borderId="0" xfId="0" applyNumberFormat="1" applyFont="1" applyFill="1" applyBorder="1"/>
    <x:xf numFmtId="0" fontId="16" fillId="18" borderId="0" xfId="0" applyNumberFormat="1" applyFont="1" applyFill="1" applyBorder="1" applyAlignment="1">
      <x:alignment vertical="center" wrapText="0"/>
    </x:xf>
    <x:xf numFmtId="0" fontId="16" fillId="18" borderId="0" xfId="0" applyNumberFormat="1" applyFont="1" applyFill="1" applyBorder="1" applyAlignment="1">
      <x:alignment wrapText="0"/>
    </x:xf>
    <x:xf numFmtId="0" fontId="20" fillId="18" borderId="0" xfId="0" applyNumberFormat="1" applyFont="1" applyFill="1" applyBorder="1" applyAlignment="1">
      <x:alignment vertical="center" wrapText="0"/>
    </x:xf>
    <x:xf numFmtId="0" fontId="20" fillId="18" borderId="0" xfId="0" applyNumberFormat="1" applyFont="1" applyFill="1" applyBorder="1" applyAlignment="1">
      <x:alignment wrapText="0"/>
    </x:xf>
    <x:xf numFmtId="0" fontId="24" fillId="19" borderId="0" xfId="0" applyNumberFormat="1" applyFont="1" applyFill="1" applyBorder="1" applyAlignment="1">
      <x:alignment wrapText="0"/>
    </x:xf>
    <x:xf numFmtId="0" fontId="23" fillId="19" borderId="0" xfId="0" applyNumberFormat="1" applyFont="1" applyFill="1" applyBorder="1" applyAlignment="1">
      <x:alignment wrapText="0"/>
    </x:xf>
    <x:xf numFmtId="0" fontId="25" fillId="19" borderId="0" xfId="0" applyNumberFormat="1" applyFont="1" applyFill="1" applyBorder="1" applyAlignment="1">
      <x:alignment wrapText="0"/>
    </x:xf>
    <x:xf numFmtId="0" fontId="18" fillId="19" borderId="0" xfId="0" applyNumberFormat="1" applyFont="1" applyFill="1" applyBorder="1" applyAlignment="1">
      <x:alignment wrapText="0"/>
    </x:xf>
    <x:xf numFmtId="0" fontId="16" fillId="20" borderId="0" xfId="0" applyNumberFormat="1" applyFont="1" applyFill="1" applyBorder="1" applyAlignment="1">
      <x:alignment wrapText="0"/>
    </x:xf>
    <x:xf numFmtId="0" fontId="19" fillId="20" borderId="0" xfId="0" applyNumberFormat="1" applyFont="1" applyFill="1" applyBorder="1" applyAlignment="1">
      <x:alignment wrapText="0"/>
    </x:xf>
    <x:xf numFmtId="0" fontId="15" fillId="21" borderId="0" xfId="0" applyNumberFormat="1" applyFont="1" applyFill="1" applyBorder="1" applyAlignment="1">
      <x:alignment wrapText="0"/>
    </x:xf>
    <x:xf numFmtId="0" fontId="23" fillId="19" borderId="0" xfId="0" applyNumberFormat="1" applyFont="1" applyFill="1" applyBorder="1" applyAlignment="1">
      <x:alignment vertical="top" wrapText="0"/>
    </x:xf>
    <x:xf numFmtId="0" fontId="18" fillId="19" borderId="0" xfId="0" applyNumberFormat="1" applyFont="1" applyFill="1" applyBorder="1" applyAlignment="1">
      <x:alignment vertical="top" wrapText="0"/>
    </x:xf>
    <x:xf numFmtId="0" fontId="16" fillId="20" borderId="0" xfId="0" applyNumberFormat="1" applyFont="1" applyFill="1" applyBorder="1" applyAlignment="1">
      <x:alignment vertical="center" wrapText="0"/>
    </x:xf>
    <x:xf numFmtId="0" fontId="19" fillId="20" borderId="0" xfId="0" applyNumberFormat="1" applyFont="1" applyFill="1" applyBorder="1" applyAlignment="1">
      <x:alignment vertical="center" wrapText="0"/>
    </x:xf>
    <x:xf numFmtId="0" fontId="16" fillId="20" borderId="0" xfId="0" applyNumberFormat="1" applyFont="1" applyFill="1" applyBorder="1" applyAlignment="1">
      <x:alignment vertical="top" wrapText="0"/>
    </x:xf>
    <x:xf numFmtId="0" fontId="19" fillId="20" borderId="0" xfId="0" applyNumberFormat="1" applyFont="1" applyFill="1" applyBorder="1" applyAlignment="1">
      <x:alignment vertical="top" wrapText="0"/>
    </x:xf>
    <x:xf numFmtId="0" fontId="15" fillId="21" borderId="0" xfId="0" applyNumberFormat="1" applyFont="1" applyFill="1" applyBorder="1" applyAlignment="1">
      <x:alignment vertical="top" wrapText="0"/>
    </x:xf>
    <x:xf numFmtId="0" fontId="0" fillId="29" borderId="0" xfId="0" applyNumberFormat="1" applyFont="1" applyFill="1" applyBorder="1"/>
    <x:xf numFmtId="0" fontId="17" fillId="29" borderId="0" xfId="0" applyNumberFormat="1" applyFont="1" applyFill="1" applyBorder="1"/>
    <x:xf numFmtId="0" fontId="0" fillId="30" borderId="0" xfId="0" applyNumberFormat="1" applyFont="1" applyFill="1" applyBorder="1"/>
    <x:xf numFmtId="0" fontId="0" fillId="30" borderId="0" xfId="0" applyNumberFormat="1" applyFont="1" applyFill="1" applyBorder="1" applyAlignment="1">
      <x:alignment wrapText="1"/>
    </x:xf>
    <x:xf numFmtId="0" fontId="19" fillId="29" borderId="0" xfId="0" applyNumberFormat="1" applyFont="1" applyFill="1" applyBorder="1"/>
    <x:xf numFmtId="0" fontId="26" fillId="30" borderId="0" xfId="0" applyNumberFormat="1" applyFont="1" applyFill="1" applyBorder="1" applyAlignment="1">
      <x:alignment wrapText="1"/>
    </x:xf>
    <x:xf numFmtId="0" fontId="26" fillId="0" borderId="0" xfId="0" applyNumberFormat="1" applyFont="1" applyFill="1" applyBorder="1"/>
    <x:xf numFmtId="0" fontId="26" fillId="31" borderId="0" xfId="0" applyNumberFormat="1" applyFont="1" applyFill="1" applyBorder="1"/>
    <x:xf numFmtId="0" fontId="19" fillId="31" borderId="0" xfId="0" applyNumberFormat="1" applyFont="1" applyFill="1" applyBorder="1"/>
    <x:xf numFmtId="0" fontId="19" fillId="31" borderId="0" xfId="0" applyNumberFormat="1" applyFont="1" applyFill="1" applyBorder="1" applyAlignment="1">
      <x:alignment wrapText="1"/>
    </x:xf>
    <x:xf numFmtId="0" fontId="26" fillId="0" borderId="0" xfId="0" applyNumberFormat="1" applyFont="1" applyFill="1" applyBorder="1" applyAlignment="1">
      <x:alignment wrapText="1"/>
    </x:xf>
    <x:xf numFmtId="0" fontId="26" fillId="32" borderId="0" xfId="0" applyNumberFormat="1" applyFont="1" applyFill="1" applyBorder="1" applyAlignment="1">
      <x:alignment wrapText="1"/>
    </x:xf>
    <x:xf numFmtId="0" fontId="17" fillId="18" borderId="0" xfId="0" applyNumberFormat="1" applyFont="1" applyFill="1" applyBorder="1"/>
    <x:xf numFmtId="0" fontId="0" fillId="19" borderId="0" xfId="0" applyNumberFormat="1" applyFont="1" applyFill="1" applyBorder="1" applyAlignment="1">
      <x:alignment wrapText="1"/>
    </x:xf>
    <x:xf numFmtId="0" fontId="19" fillId="18" borderId="0" xfId="0" applyNumberFormat="1" applyFont="1" applyFill="1" applyBorder="1"/>
    <x:xf numFmtId="0" fontId="26" fillId="19" borderId="0" xfId="0" applyNumberFormat="1" applyFont="1" applyFill="1" applyBorder="1" applyAlignment="1">
      <x:alignment wrapText="1"/>
    </x:xf>
    <x:xf numFmtId="0" fontId="26" fillId="20" borderId="0" xfId="0" applyNumberFormat="1" applyFont="1" applyFill="1" applyBorder="1"/>
    <x:xf numFmtId="0" fontId="15" fillId="33" borderId="0" xfId="0" applyNumberFormat="1" applyFont="1" applyFill="1" applyBorder="1" applyAlignment="1">
      <x:alignment wrapText="0"/>
    </x:xf>
    <x:xf numFmtId="0" fontId="19" fillId="33" borderId="0" xfId="0" applyNumberFormat="1" applyFont="1" applyFill="1" applyBorder="1" applyAlignment="1">
      <x:alignment wrapText="0"/>
    </x:xf>
    <x:xf numFmtId="0" fontId="15" fillId="34" borderId="0" xfId="0" applyNumberFormat="1" applyFont="1" applyFill="1" applyBorder="1" applyAlignment="1">
      <x:alignment wrapText="0"/>
    </x:xf>
    <x:xf numFmtId="0" fontId="15" fillId="34" borderId="0" xfId="0" applyNumberFormat="1" applyFont="1" applyFill="1" applyBorder="1" applyAlignment="1">
      <x:alignment wrapText="1"/>
    </x:xf>
    <x:xf numFmtId="0" fontId="0" fillId="33" borderId="0" xfId="0" applyNumberFormat="1" applyFont="1" applyFill="1" applyBorder="1"/>
    <x:xf numFmtId="0" fontId="4" fillId="33" borderId="0" xfId="0" applyNumberFormat="1" applyFont="1" applyFill="1" applyBorder="1"/>
    <x:xf numFmtId="0" fontId="0" fillId="35" borderId="0" xfId="0" applyNumberFormat="1" applyFont="1" applyFill="1" applyBorder="1"/>
    <x:xf numFmtId="0" fontId="27" fillId="35" borderId="0" xfId="0" applyNumberFormat="1" applyFont="1" applyFill="1" applyBorder="1"/>
    <x:xf numFmtId="0" fontId="0" fillId="36" borderId="0" xfId="0" applyNumberFormat="1" applyFont="1" applyFill="1" applyBorder="1"/>
    <x:xf numFmtId="0" fontId="28" fillId="36" borderId="0" xfId="0" applyNumberFormat="1" applyFont="1" applyFill="1" applyBorder="1"/>
    <x:xf numFmtId="0" fontId="0" fillId="37" borderId="0" xfId="0" applyNumberFormat="1" applyFont="1" applyFill="1" applyBorder="1"/>
    <x:xf numFmtId="0" fontId="29" fillId="37" borderId="0" xfId="0" applyNumberFormat="1" applyFont="1" applyFill="1" applyBorder="1"/>
    <x:xf numFmtId="0" fontId="0" fillId="38" borderId="0" xfId="0" applyNumberFormat="1" applyFont="1" applyFill="1" applyBorder="1"/>
    <x:xf numFmtId="0" fontId="30" fillId="38" borderId="0" xfId="0" applyNumberFormat="1" applyFont="1" applyFill="1" applyBorder="1"/>
    <x:xf numFmtId="0" fontId="0" fillId="34" borderId="0" xfId="0" applyNumberFormat="1" applyFont="1" applyFill="1" applyBorder="1"/>
    <x:xf numFmtId="0" fontId="0" fillId="34" borderId="0" xfId="0" applyNumberFormat="1" applyFont="1" applyFill="1" applyBorder="1" applyAlignment="1">
      <x:alignment wrapText="1"/>
    </x:xf>
    <x:xf numFmtId="0" fontId="26" fillId="35" borderId="0" xfId="0" applyNumberFormat="1" applyFont="1" applyFill="1" applyBorder="1" applyAlignment="1">
      <x:alignment wrapText="1"/>
    </x:xf>
    <x:xf numFmtId="0" fontId="31" fillId="35" borderId="0" xfId="0" applyNumberFormat="1" applyFont="1" applyFill="1" applyBorder="1" applyAlignment="1">
      <x:alignment wrapText="1"/>
    </x:xf>
    <x:xf numFmtId="0" fontId="32" fillId="35" borderId="0" xfId="0" applyNumberFormat="1" applyFont="1" applyFill="1" applyBorder="1"/>
    <x:xf numFmtId="0" fontId="33" fillId="35" borderId="0" xfId="0" applyNumberFormat="1" applyFont="1" applyFill="1" applyBorder="1" applyAlignment="1">
      <x:alignment wrapText="1"/>
    </x:xf>
    <x:xf numFmtId="0" fontId="26" fillId="36" borderId="0" xfId="0" applyNumberFormat="1" applyFont="1" applyFill="1" applyBorder="1" applyAlignment="1">
      <x:alignment wrapText="1"/>
    </x:xf>
    <x:xf numFmtId="0" fontId="34" fillId="36" borderId="0" xfId="0" applyNumberFormat="1" applyFont="1" applyFill="1" applyBorder="1" applyAlignment="1">
      <x:alignment wrapText="1"/>
    </x:xf>
    <x:xf numFmtId="0" fontId="35" fillId="36" borderId="0" xfId="0" applyNumberFormat="1" applyFont="1" applyFill="1" applyBorder="1"/>
    <x:xf numFmtId="0" fontId="36" fillId="36" borderId="0" xfId="0" applyNumberFormat="1" applyFont="1" applyFill="1" applyBorder="1" applyAlignment="1">
      <x:alignment wrapText="1"/>
    </x:xf>
    <x:xf numFmtId="0" fontId="26" fillId="37" borderId="0" xfId="0" applyNumberFormat="1" applyFont="1" applyFill="1" applyBorder="1" applyAlignment="1">
      <x:alignment wrapText="1"/>
    </x:xf>
    <x:xf numFmtId="0" fontId="37" fillId="37" borderId="0" xfId="0" applyNumberFormat="1" applyFont="1" applyFill="1" applyBorder="1" applyAlignment="1">
      <x:alignment wrapText="1"/>
    </x:xf>
    <x:xf numFmtId="0" fontId="38" fillId="37" borderId="0" xfId="0" applyNumberFormat="1" applyFont="1" applyFill="1" applyBorder="1"/>
    <x:xf numFmtId="0" fontId="39" fillId="37" borderId="0" xfId="0" applyNumberFormat="1" applyFont="1" applyFill="1" applyBorder="1" applyAlignment="1">
      <x:alignment wrapText="1"/>
    </x:xf>
    <x:xf numFmtId="0" fontId="26" fillId="34" borderId="0" xfId="0" applyNumberFormat="1" applyFont="1" applyFill="1" applyBorder="1" applyAlignment="1">
      <x:alignment wrapText="1"/>
    </x:xf>
    <x:xf numFmtId="0" fontId="40" fillId="34" borderId="0" xfId="0" applyNumberFormat="1" applyFont="1" applyFill="1" applyBorder="1" applyAlignment="1">
      <x:alignment wrapText="1"/>
    </x:xf>
    <x:xf numFmtId="0" fontId="41" fillId="34" borderId="0" xfId="0" applyNumberFormat="1" applyFont="1" applyFill="1" applyBorder="1"/>
    <x:xf numFmtId="0" fontId="42" fillId="34" borderId="0" xfId="0" applyNumberFormat="1" applyFont="1" applyFill="1" applyBorder="1" applyAlignment="1">
      <x:alignment wrapText="1"/>
    </x:xf>
    <x:xf numFmtId="0" fontId="43" fillId="34" borderId="0" xfId="0" applyNumberFormat="1" applyFont="1" applyFill="1" applyBorder="1"/>
    <x:xf numFmtId="0" fontId="19" fillId="39" borderId="0" xfId="0" applyNumberFormat="1" applyFont="1" applyFill="1" applyBorder="1"/>
    <x:xf numFmtId="0" fontId="0" fillId="39" borderId="0" xfId="0" applyNumberFormat="1" applyFont="1" applyFill="1" applyBorder="1"/>
    <x:xf numFmtId="0" fontId="17" fillId="39" borderId="0" xfId="0" applyNumberFormat="1" applyFont="1" applyFill="1" applyBorder="1"/>
    <x:xf numFmtId="0" fontId="19" fillId="33" borderId="0" xfId="0" applyNumberFormat="1" applyFont="1" applyFill="1" applyBorder="1" applyAlignment="1">
      <x:alignment wrapText="1"/>
    </x:xf>
    <x:xf numFmtId="0" fontId="15" fillId="20" borderId="0" xfId="0" applyNumberFormat="1" applyFont="1" applyFill="1" applyBorder="1" applyAlignment="1">
      <x:alignment wrapText="0"/>
    </x:xf>
    <x:xf numFmtId="0" fontId="0" fillId="32" borderId="0" xfId="0" applyNumberFormat="1" applyFont="1" applyFill="1" applyBorder="1"/>
    <x:xf numFmtId="0" fontId="30" fillId="32" borderId="0" xfId="0" applyNumberFormat="1" applyFont="1" applyFill="1" applyBorder="1"/>
    <x:xf numFmtId="0" fontId="44" fillId="0" borderId="0" xfId="0" applyNumberFormat="1" applyFont="1" applyFill="1" applyBorder="1"/>
    <x:xf numFmtId="0" fontId="44" fillId="0" borderId="0" xfId="0" applyNumberFormat="1" applyFont="1" applyFill="1" applyBorder="1" applyAlignment="1">
      <x:alignment wrapText="1"/>
    </x:xf>
    <x:xf numFmtId="0" fontId="44" fillId="0" borderId="0" xfId="0" applyNumberFormat="1" applyFont="1" applyFill="1" applyBorder="1" applyAlignment="1">
      <x:alignment vertical="top" wrapText="1"/>
    </x:xf>
    <x:xf numFmtId="0" fontId="44" fillId="40" borderId="0" xfId="0" applyNumberFormat="1" applyFont="1" applyFill="1" applyBorder="1" applyAlignment="1">
      <x:alignment vertical="top" wrapText="1"/>
    </x:xf>
    <x:xf numFmtId="0" fontId="44" fillId="41" borderId="0" xfId="0" applyNumberFormat="1" applyFont="1" applyFill="1" applyBorder="1" applyAlignment="1">
      <x:alignment vertical="top" wrapText="1"/>
    </x:xf>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wrapText="1"/>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45" fillId="43" borderId="0" xfId="0" applyNumberFormat="1" applyFont="1" applyFill="1" applyBorder="1"/>
    <x:xf numFmtId="0" fontId="45" fillId="43" borderId="0" xfId="0" applyNumberFormat="1" applyFont="1" applyFill="1" applyBorder="1" applyAlignment="1">
      <x:alignment wrapText="1"/>
    </x:xf>
    <x:xf numFmtId="0" fontId="45" fillId="43" borderId="0" xfId="0" applyNumberFormat="1" applyFont="1" applyFill="1" applyBorder="1" applyAlignment="1">
      <x:alignment vertical="center" wrapText="1"/>
    </x:xf>
    <x:xf numFmtId="0" fontId="0" fillId="44" borderId="0" xfId="0" applyNumberFormat="1" applyFont="1" applyFill="1" applyBorder="1"/>
    <x:xf numFmtId="0" fontId="4" fillId="44" borderId="0" xfId="0" applyNumberFormat="1" applyFont="1" applyFill="1" applyBorder="1"/>
    <x:xf numFmtId="0" fontId="4" fillId="44" borderId="0" xfId="0" applyNumberFormat="1" applyFont="1" applyFill="1" applyBorder="1" applyAlignment="1">
      <x:alignment wrapText="1"/>
    </x:xf>
    <x:xf numFmtId="0" fontId="4" fillId="44"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5" fillId="12" borderId="0" xfId="0" applyNumberFormat="1" applyFont="1" applyFill="1" applyBorder="1"/>
    <x:xf numFmtId="0" fontId="45" fillId="12" borderId="0" xfId="0" applyNumberFormat="1" applyFont="1" applyFill="1" applyBorder="1" applyAlignment="1">
      <x:alignment wrapText="1"/>
    </x:xf>
    <x:xf numFmtId="0" fontId="45" fillId="12" borderId="0" xfId="0" applyNumberFormat="1" applyFont="1" applyFill="1" applyBorder="1" applyAlignment="1">
      <x:alignment vertical="center" wrapText="1"/>
    </x:xf>
    <x:xf numFmtId="0" fontId="4" fillId="20" borderId="0" xfId="0" applyNumberFormat="1" applyFont="1" applyFill="1" applyBorder="1" applyAlignment="1">
      <x:alignment vertical="center" wrapText="1"/>
    </x:xf>
    <x:xf numFmtId="0" fontId="0" fillId="45" borderId="0" xfId="0" applyNumberFormat="1" applyFont="1" applyFill="1" applyBorder="1"/>
    <x:xf numFmtId="0" fontId="9" fillId="45" borderId="0" xfId="0" applyNumberFormat="1" applyFont="1" applyFill="1" applyBorder="1"/>
    <x:xf numFmtId="0" fontId="9" fillId="45" borderId="0" xfId="0" applyNumberFormat="1" applyFont="1" applyFill="1" applyBorder="1" applyAlignment="1">
      <x:alignment vertical="center"/>
    </x:xf>
    <x:xf numFmtId="0" fontId="0" fillId="46" borderId="0" xfId="0" applyNumberFormat="1" applyFont="1" applyFill="1" applyBorder="1"/>
    <x:xf numFmtId="0" fontId="46" fillId="46" borderId="0" xfId="0" applyNumberFormat="1" applyFont="1" applyFill="1" applyBorder="1"/>
    <x:xf numFmtId="0" fontId="0" fillId="47" borderId="0" xfId="0" applyNumberFormat="1" applyFont="1" applyFill="1" applyBorder="1"/>
    <x:xf numFmtId="0" fontId="47" fillId="47" borderId="0" xfId="0" applyNumberFormat="1" applyFont="1" applyFill="1" applyBorder="1"/>
    <x:xf numFmtId="0" fontId="9" fillId="45" borderId="0" xfId="0" applyNumberFormat="1" applyFont="1" applyFill="1" applyBorder="1" applyAlignment="1">
      <x:alignment vertical="center" wrapText="1"/>
    </x:xf>
    <x:xf numFmtId="0" fontId="46" fillId="46" borderId="0" xfId="0" applyNumberFormat="1" applyFont="1" applyFill="1" applyBorder="1" applyAlignment="1">
      <x:alignment wrapText="1"/>
    </x:xf>
    <x:xf numFmtId="0" fontId="47" fillId="47" borderId="0" xfId="0" applyNumberFormat="1" applyFont="1" applyFill="1" applyBorder="1" applyAlignment="1">
      <x:alignment wrapText="1"/>
    </x:xf>
    <x:xf numFmtId="0" fontId="31" fillId="48" borderId="0" xfId="0" applyNumberFormat="1" applyFont="1" applyFill="1" applyBorder="1" applyAlignment="1">
      <x:alignment wrapText="1"/>
    </x:xf>
    <x:xf numFmtId="0" fontId="33" fillId="48" borderId="0" xfId="0" applyNumberFormat="1" applyFont="1" applyFill="1" applyBorder="1" applyAlignment="1">
      <x:alignment wrapText="1"/>
    </x:xf>
    <x:xf numFmtId="0" fontId="27" fillId="48" borderId="0" xfId="0" applyNumberFormat="1" applyFont="1" applyFill="1" applyBorder="1"/>
    <x:xf numFmtId="0" fontId="32" fillId="48" borderId="0" xfId="0" applyNumberFormat="1" applyFont="1" applyFill="1" applyBorder="1"/>
    <x:xf numFmtId="0" fontId="37" fillId="48" borderId="0" xfId="0" applyNumberFormat="1" applyFont="1" applyFill="1" applyBorder="1" applyAlignment="1">
      <x:alignment wrapText="1"/>
    </x:xf>
    <x:xf numFmtId="0" fontId="39" fillId="48" borderId="0" xfId="0" applyNumberFormat="1" applyFont="1" applyFill="1" applyBorder="1" applyAlignment="1">
      <x:alignment wrapText="1"/>
    </x:xf>
    <x:xf numFmtId="0" fontId="29" fillId="48" borderId="0" xfId="0" applyNumberFormat="1" applyFont="1" applyFill="1" applyBorder="1"/>
    <x:xf numFmtId="0" fontId="38"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9" fillId="49" borderId="0" xfId="0" applyNumberFormat="1" applyFont="1" applyFill="1" applyBorder="1" applyAlignment="1">
      <x:alignment vertical="center"/>
    </x:xf>
    <x:xf numFmtId="0" fontId="0" fillId="50" borderId="0" xfId="0" applyNumberFormat="1" applyFont="1" applyFill="1" applyBorder="1"/>
    <x:xf numFmtId="0" fontId="48" fillId="50" borderId="0" xfId="0" applyNumberFormat="1" applyFont="1" applyFill="1" applyBorder="1"/>
    <x:xf numFmtId="0" fontId="48" fillId="50" borderId="0" xfId="0" applyNumberFormat="1" applyFont="1" applyFill="1" applyBorder="1" applyAlignment="1">
      <x:alignment wrapText="1"/>
    </x:xf>
    <x:xf numFmtId="0" fontId="0" fillId="51" borderId="0" xfId="0" applyNumberFormat="1" applyFont="1" applyFill="1" applyBorder="1"/>
    <x:xf numFmtId="0" fontId="4" fillId="51" borderId="0" xfId="0" applyNumberFormat="1" applyFont="1" applyFill="1" applyBorder="1"/>
    <x:xf numFmtId="0" fontId="4" fillId="51" borderId="2" xfId="0" applyNumberFormat="1" applyFont="1" applyFill="1" applyBorder="1"/>
    <x:xf numFmtId="0" fontId="4" fillId="51" borderId="3" xfId="0" applyNumberFormat="1" applyFont="1" applyFill="1" applyBorder="1"/>
    <x:xf numFmtId="0" fontId="4" fillId="51" borderId="4" xfId="0" applyNumberFormat="1" applyFont="1" applyFill="1" applyBorder="1"/>
    <x:xf numFmtId="0" fontId="4" fillId="51" borderId="2" xfId="0" applyNumberFormat="1" applyFont="1" applyFill="1" applyBorder="1" applyAlignment="1">
      <x:alignment wrapText="1"/>
    </x:xf>
    <x:xf numFmtId="0" fontId="4" fillId="51" borderId="3" xfId="0" applyNumberFormat="1" applyFont="1" applyFill="1" applyBorder="1" applyAlignment="1">
      <x:alignment wrapText="1"/>
    </x:xf>
    <x:xf numFmtId="0" fontId="4" fillId="51" borderId="4" xfId="0" applyNumberFormat="1" applyFont="1" applyFill="1" applyBorder="1" applyAlignment="1">
      <x:alignment wrapText="1"/>
    </x:xf>
    <x:xf numFmtId="0" fontId="4" fillId="51" borderId="2" xfId="0" applyNumberFormat="1" applyFont="1" applyFill="1" applyBorder="1" applyAlignment="1">
      <x:alignment vertical="center" wrapText="1"/>
    </x:xf>
    <x:xf numFmtId="0" fontId="4" fillId="51" borderId="3" xfId="0" applyNumberFormat="1" applyFont="1" applyFill="1" applyBorder="1" applyAlignment="1">
      <x:alignment vertical="center" wrapText="1"/>
    </x:xf>
    <x:xf numFmtId="0" fontId="4" fillId="51" borderId="4" xfId="0" applyNumberFormat="1" applyFont="1" applyFill="1" applyBorder="1" applyAlignment="1">
      <x:alignment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2" fontId="0" fillId="0" borderId="5" xfId="0" applyNumberFormat="1" applyFont="1" applyFill="1" applyBorder="1" applyAlignment="1">
      <x:alignment vertical="top"/>
    </x:xf>
    <x:xf numFmtId="202" fontId="0" fillId="0" borderId="6" xfId="0" applyNumberFormat="1" applyFont="1" applyFill="1" applyBorder="1" applyAlignment="1">
      <x:alignment vertical="top"/>
    </x:xf>
    <x:xf numFmtId="202" fontId="0" fillId="0" borderId="7" xfId="0" applyNumberFormat="1" applyFont="1" applyFill="1" applyBorder="1" applyAlignment="1">
      <x:alignment vertical="top"/>
    </x:xf>
    <x:xf numFmtId="0" fontId="49" fillId="0" borderId="0" xfId="0" applyNumberFormat="1" applyFont="1" applyFill="1" applyBorder="1" applyAlignment="1">
      <x:alignment wrapText="1"/>
    </x:xf>
  </x:cellXfs>
  <x:cellStyles count="1">
    <x:cellStyle name="Normal" xfId="0"/>
  </x:cellStyles>
  <x:dxfs count="44">
    <x:dxf>
      <x:font>
        <x:b/>
      </x:font>
      <x:fill>
        <x:patternFill>
          <x:bgColor rgb="FFE2F0D9"/>
        </x:patternFill>
      </x:fill>
    </x:dxf>
    <x:dxf>
      <x:fill>
        <x:patternFill>
          <x:bgColor rgb="FFFFF2CC"/>
        </x:patternFill>
      </x:fill>
    </x:dxf>
    <x:dxf>
      <x:fill>
        <x:patternFill>
          <x:bgColor rgb="FFFFF2CC"/>
        </x:patternFill>
      </x:fill>
    </x:dxf>
    <x:dxf>
      <x:font>
        <x:b/>
        <x:color rgb="FF274E13"/>
      </x:font>
      <x:fill>
        <x:patternFill>
          <x:bgColor rgb="FFE2F0D9"/>
        </x:patternFill>
      </x:fill>
    </x:dxf>
    <x:dxf>
      <x:font>
        <x:b/>
        <x:color rgb="FF9C0006"/>
      </x:font>
      <x:fill>
        <x:patternFill>
          <x:bgColor rgb="FFFCE4D6"/>
        </x:patternFill>
      </x:fill>
    </x:dxf>
    <x:dxf>
      <x:font>
        <x:color rgb="FF274E13"/>
      </x:font>
      <x:fill>
        <x:patternFill>
          <x:bgColor rgb="FFE2F0D9"/>
        </x:patternFill>
      </x:fill>
    </x:dxf>
    <x:dxf>
      <x:font>
        <x:b/>
        <x:color rgb="FF274E13"/>
      </x:font>
      <x:fill>
        <x:patternFill>
          <x:bgColor rgb="FFE2F0D9"/>
        </x:patternFill>
      </x:fill>
    </x:dxf>
    <x:dxf>
      <x:font>
        <x:b/>
        <x:color rgb="FF9C0006"/>
      </x:font>
      <x:fill>
        <x:patternFill>
          <x:bgColor rgb="FFFCE4D6"/>
        </x:patternFill>
      </x:fill>
    </x:dxf>
    <x:dxf>
      <x:font>
        <x:color rgb="FF274E13"/>
      </x:font>
      <x:fill>
        <x:patternFill>
          <x:bgColor rgb="FFE2F0D9"/>
        </x:patternFill>
      </x:fill>
    </x:dxf>
    <x:dxf>
      <x:font>
        <x:b/>
        <x:color rgb="FF274E13"/>
      </x:font>
      <x:fill>
        <x:patternFill>
          <x:bgColor rgb="FFE2F0D9"/>
        </x:patternFill>
      </x:fill>
    </x:dxf>
    <x:dxf>
      <x:font>
        <x:b/>
        <x:color rgb="FF9C0006"/>
      </x:font>
      <x:fill>
        <x:patternFill>
          <x:bgColor rgb="FFF4CCCC"/>
        </x:patternFill>
      </x:fill>
    </x:dxf>
    <x:dxf>
      <x:font>
        <x:b/>
        <x:color rgb="FF274E13"/>
      </x:font>
      <x:fill>
        <x:patternFill>
          <x:bgColor rgb="FFE2F0D9"/>
        </x:patternFill>
      </x:fill>
    </x:dxf>
    <x:dxf>
      <x:font>
        <x:b/>
        <x:color rgb="FF9C0006"/>
      </x:font>
      <x:fill>
        <x:patternFill>
          <x:bgColor rgb="FFF4CCCC"/>
        </x:patternFill>
      </x:fill>
    </x:dxf>
    <x:dxf>
      <x:font>
        <x:color rgb="FF006100"/>
      </x:font>
      <x:fill>
        <x:patternFill>
          <x:bgColor rgb="FFE2F0D9"/>
        </x:patternFill>
      </x:fill>
    </x:dxf>
    <x:dxf>
      <x:font>
        <x:color rgb="FF9C0006"/>
      </x:font>
      <x:fill>
        <x:patternFill>
          <x:bgColor rgb="FFFCE4D6"/>
        </x:patternFill>
      </x:fill>
    </x:dxf>
    <x:dxf>
      <x:font>
        <x:color rgb="FF1F4E78"/>
      </x:font>
      <x:fill>
        <x:patternFill>
          <x:bgColor rgb="FFDDEBF7"/>
        </x:patternFill>
      </x:fill>
    </x:dxf>
    <x:dxf>
      <x:font>
        <x:color rgb="FF006100"/>
      </x:font>
      <x:fill>
        <x:patternFill>
          <x:bgColor rgb="FFE2F0D9"/>
        </x:patternFill>
      </x:fill>
    </x:dxf>
    <x:dxf>
      <x:font>
        <x:color rgb="FF1F4E78"/>
      </x:font>
      <x:fill>
        <x:patternFill>
          <x:bgColor rgb="FFDDEBF7"/>
        </x:patternFill>
      </x:fill>
    </x:dxf>
    <x:dxf>
      <x:font>
        <x:b/>
      </x:font>
      <x:fill>
        <x:patternFill>
          <x:bgColor rgb="FFE5F4E8"/>
        </x:patternFill>
      </x:fill>
    </x:dxf>
    <x:dxf>
      <x:fill>
        <x:patternFill>
          <x:bgColor rgb="FFE9F2F9"/>
        </x:patternFill>
      </x:fill>
    </x:dxf>
    <x:dxf>
      <x:font>
        <x:b/>
      </x:font>
      <x:fill>
        <x:patternFill>
          <x:bgColor rgb="FFD8EAD2"/>
        </x:patternFill>
      </x:fill>
    </x:dxf>
    <x:dxf>
      <x:font>
        <x:b/>
      </x:font>
      <x:fill>
        <x:patternFill>
          <x:bgColor rgb="FFFFF3CD"/>
        </x:patternFill>
      </x:fill>
    </x:dxf>
    <x:dxf>
      <x:fill>
        <x:patternFill>
          <x:bgColor rgb="FFFDE8E7"/>
        </x:patternFill>
      </x:fill>
    </x:dxf>
    <x:dxf>
      <x:font>
        <x:b/>
      </x:font>
      <x:fill>
        <x:patternFill>
          <x:bgColor rgb="FFE5F4E8"/>
        </x:patternFill>
      </x:fill>
    </x:dxf>
    <x:dxf>
      <x:fill>
        <x:patternFill>
          <x:bgColor rgb="FFE9F2F9"/>
        </x:patternFill>
      </x:fill>
    </x:dxf>
    <x:dxf>
      <x:font>
        <x:b/>
      </x:font>
      <x:fill>
        <x:patternFill>
          <x:bgColor rgb="FFD8EAD2"/>
        </x:patternFill>
      </x:fill>
    </x:dxf>
    <x:dxf>
      <x:font>
        <x:b/>
      </x:font>
      <x:fill>
        <x:patternFill>
          <x:bgColor rgb="FFD8EAD2"/>
        </x:patternFill>
      </x:fill>
    </x:dxf>
    <x:dxf>
      <x:font>
        <x:b/>
      </x:font>
      <x:fill>
        <x:patternFill>
          <x:bgColor rgb="FFD8EAD2"/>
        </x:patternFill>
      </x:fill>
    </x:dxf>
    <x:dxf>
      <x:fill>
        <x:patternFill>
          <x:bgColor rgb="FFFFF3CD"/>
        </x:patternFill>
      </x:fill>
    </x:dxf>
    <x:dxf>
      <x:font>
        <x:b/>
      </x:font>
      <x:fill>
        <x:patternFill>
          <x:bgColor rgb="FFFFF3CD"/>
        </x:patternFill>
      </x:fill>
    </x:dxf>
    <x:dxf>
      <x:font>
        <x:b/>
      </x:font>
      <x:fill>
        <x:patternFill>
          <x:bgColor rgb="FFFDE2E2"/>
        </x:patternFill>
      </x:fill>
    </x:dxf>
    <x:dxf>
      <x:fill>
        <x:patternFill>
          <x:bgColor rgb="FFFFF3CD"/>
        </x:patternFill>
      </x:fill>
    </x:dxf>
    <x:dxf>
      <x:font>
        <x:b/>
      </x:font>
      <x:fill>
        <x:patternFill>
          <x:bgColor rgb="FFFDE2E2"/>
        </x:patternFill>
      </x:fill>
    </x:dxf>
    <x:dxf>
      <x:font>
        <x:b/>
      </x:font>
      <x:fill>
        <x:patternFill>
          <x:bgColor rgb="FFE5F4E8"/>
        </x:patternFill>
      </x:fill>
    </x:dxf>
    <x:dxf>
      <x:font>
        <x:b/>
      </x:font>
      <x:fill>
        <x:patternFill>
          <x:bgColor rgb="FFFFF3CD"/>
        </x:patternFill>
      </x:fill>
    </x:dxf>
    <x:dxf>
      <x:font>
        <x:b/>
      </x:font>
      <x:fill>
        <x:patternFill>
          <x:bgColor rgb="FFD9EAD3"/>
        </x:patternFill>
      </x:fill>
    </x:dxf>
    <x:dxf>
      <x:font>
        <x:b/>
      </x:font>
      <x:fill>
        <x:patternFill>
          <x:bgColor rgb="FFDDEBF7"/>
        </x:patternFill>
      </x:fill>
    </x:dxf>
    <x:dxf>
      <x:fill>
        <x:patternFill>
          <x:bgColor rgb="FFFFF2CC"/>
        </x:patternFill>
      </x:fill>
    </x:dxf>
    <x:dxf>
      <x:font>
        <x:b/>
      </x:font>
      <x:fill>
        <x:patternFill>
          <x:bgColor rgb="FFD9EAD3"/>
        </x:patternFill>
      </x:fill>
    </x:dxf>
    <x:dxf>
      <x:font>
        <x:b/>
      </x:font>
      <x:fill>
        <x:patternFill>
          <x:bgColor rgb="FFDDEBF7"/>
        </x:patternFill>
      </x:fill>
    </x:dxf>
    <x:dxf>
      <x:font>
        <x:b/>
      </x:font>
      <x:fill>
        <x:patternFill>
          <x:bgColor rgb="FFFCE4D6"/>
        </x:patternFill>
      </x:fill>
    </x:dxf>
    <x:dxf>
      <x:font>
        <x:b/>
      </x:font>
      <x:fill>
        <x:patternFill>
          <x:bgColor rgb="FFFCE4D6"/>
        </x:patternFill>
      </x:fill>
    </x:dxf>
    <x:dxf>
      <x:font>
        <x:b/>
      </x:font>
      <x:fill>
        <x:patternFill>
          <x:bgColor rgb="FFD9EAD3"/>
        </x:patternFill>
      </x:fill>
    </x:dxf>
    <x:dxf>
      <x:font>
        <x:b/>
      </x:font>
      <x:fill>
        <x:patternFill>
          <x:bgColor rgb="FFDDEBF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604baf6ca984377" /><Relationship Type="http://schemas.openxmlformats.org/officeDocument/2006/relationships/theme" Target="/xl/theme/theme1.xml" Id="R19afe04af8424d3b" /><Relationship Type="http://schemas.openxmlformats.org/officeDocument/2006/relationships/sharedStrings" Target="/xl/sharedStrings.xml" Id="R6afb3226eb474335" /><Relationship Type="http://schemas.openxmlformats.org/officeDocument/2006/relationships/worksheet" Target="/xl/worksheets/sheet1.xml" Id="R7fc2c220cf5a4142" /><Relationship Type="http://schemas.openxmlformats.org/officeDocument/2006/relationships/worksheet" Target="/xl/worksheets/sheet2.xml" Id="Rc10447a890cb4fb5" /><Relationship Type="http://schemas.openxmlformats.org/officeDocument/2006/relationships/worksheet" Target="/xl/worksheets/sheet3.xml" Id="Rb185c343fc1b4374" /><Relationship Type="http://schemas.openxmlformats.org/officeDocument/2006/relationships/worksheet" Target="/xl/worksheets/sheet4.xml" Id="Ra1e0a49a93d347fb" /><Relationship Type="http://schemas.openxmlformats.org/officeDocument/2006/relationships/worksheet" Target="/xl/worksheets/sheet5.xml" Id="Rbfeac08632b44ef2" /><Relationship Type="http://schemas.openxmlformats.org/officeDocument/2006/relationships/worksheet" Target="/xl/worksheets/sheet6.xml" Id="Reb1d19490a384f7a" /><Relationship Type="http://schemas.openxmlformats.org/officeDocument/2006/relationships/worksheet" Target="/xl/worksheets/sheet7.xml" Id="R551d9a7595104cb6" /><Relationship Type="http://schemas.openxmlformats.org/officeDocument/2006/relationships/worksheet" Target="/xl/worksheets/sheet8.xml" Id="Rb603eba9757647a2" /><Relationship Type="http://schemas.openxmlformats.org/officeDocument/2006/relationships/worksheet" Target="/xl/worksheets/sheet9.xml" Id="Rf9bc7f2e3f3b4b73" /><Relationship Type="http://schemas.openxmlformats.org/officeDocument/2006/relationships/worksheet" Target="/xl/worksheets/sheet10.xml" Id="R984e0aaf24a046a9" /><Relationship Type="http://schemas.openxmlformats.org/officeDocument/2006/relationships/worksheet" Target="/xl/worksheets/sheet11.xml" Id="R4b9b3dcd5fa848f7" /><Relationship Type="http://schemas.openxmlformats.org/officeDocument/2006/relationships/worksheet" Target="/xl/worksheets/sheet12.xml" Id="R89c55748cdbb4844" /><Relationship Type="http://schemas.openxmlformats.org/officeDocument/2006/relationships/worksheet" Target="/xl/worksheets/sheet13.xml" Id="Rd013814dfabd4a20" /><Relationship Type="http://schemas.openxmlformats.org/officeDocument/2006/relationships/worksheet" Target="/xl/worksheets/sheet14.xml" Id="R3dca5fcf7a5f464c" /><Relationship Type="http://schemas.openxmlformats.org/officeDocument/2006/relationships/worksheet" Target="/xl/worksheets/sheet15.xml" Id="Rdb74e876b49e48a8" /><Relationship Type="http://schemas.openxmlformats.org/officeDocument/2006/relationships/worksheet" Target="/xl/worksheets/sheet16.xml" Id="Ra958759e2ce84f3c" /><Relationship Type="http://schemas.openxmlformats.org/officeDocument/2006/relationships/worksheet" Target="/xl/worksheets/sheet17.xml" Id="Rdd1fec2188ed42a5" /><Relationship Type="http://schemas.openxmlformats.org/officeDocument/2006/relationships/worksheet" Target="/xl/worksheets/sheet18.xml" Id="R159ebd541f364150" /><Relationship Type="http://schemas.openxmlformats.org/officeDocument/2006/relationships/worksheet" Target="/xl/worksheets/sheet19.xml" Id="Rd1e8c35087ee4120" /><Relationship Type="http://schemas.openxmlformats.org/officeDocument/2006/relationships/worksheet" Target="/xl/worksheets/sheet20.xml" Id="R88d8188771954b9d" /><Relationship Type="http://schemas.openxmlformats.org/officeDocument/2006/relationships/worksheet" Target="/xl/worksheets/sheet21.xml" Id="R9c7770e5cc70486c" /><Relationship Type="http://schemas.openxmlformats.org/officeDocument/2006/relationships/worksheet" Target="/xl/worksheets/sheet22.xml" Id="Rb3b7a27c2636491a" /><Relationship Type="http://schemas.openxmlformats.org/officeDocument/2006/relationships/worksheet" Target="/xl/worksheets/sheet23.xml" Id="R5b80da97a9f54b20" /><Relationship Type="http://schemas.openxmlformats.org/officeDocument/2006/relationships/worksheet" Target="/xl/worksheets/sheet24.xml" Id="R812d74554e0d455e" /><Relationship Type="http://schemas.openxmlformats.org/officeDocument/2006/relationships/worksheet" Target="/xl/worksheets/sheet25.xml" Id="R4b90c3f370464e4a" /><Relationship Type="http://schemas.openxmlformats.org/officeDocument/2006/relationships/worksheet" Target="/xl/worksheets/sheet26.xml" Id="R15563e06603a45e7" /><Relationship Type="http://schemas.openxmlformats.org/officeDocument/2006/relationships/worksheet" Target="/xl/worksheets/sheet27.xml" Id="Rf4edc7056e074ebc" /><Relationship Type="http://schemas.openxmlformats.org/officeDocument/2006/relationships/worksheet" Target="/xl/worksheets/sheet28.xml" Id="Ra97f9a90591a4096" /><Relationship Type="http://schemas.openxmlformats.org/officeDocument/2006/relationships/worksheet" Target="/xl/worksheets/sheet29.xml" Id="R2affabbf5eeb4ace" /><Relationship Type="http://schemas.openxmlformats.org/officeDocument/2006/relationships/worksheet" Target="/xl/worksheets/sheet30.xml" Id="R5d257da9a2a64adf" /><Relationship Type="http://schemas.openxmlformats.org/officeDocument/2006/relationships/worksheet" Target="/xl/worksheets/sheet31.xml" Id="Rd7cb2a881cc845a6" /><Relationship Type="http://schemas.openxmlformats.org/officeDocument/2006/relationships/worksheet" Target="/xl/worksheets/sheet32.xml" Id="R77adeed6eb0f4ce9" /><Relationship Type="http://schemas.openxmlformats.org/officeDocument/2006/relationships/worksheet" Target="/xl/worksheets/sheet33.xml" Id="R5ba966ec12a448a2" /><Relationship Type="http://schemas.openxmlformats.org/officeDocument/2006/relationships/worksheet" Target="/xl/worksheets/sheet34.xml" Id="R3a9070e1aa7b4537" /><Relationship Type="http://schemas.openxmlformats.org/officeDocument/2006/relationships/worksheet" Target="/xl/worksheets/sheet35.xml" Id="Rec4296bfb1134b0d" /><Relationship Type="http://schemas.openxmlformats.org/officeDocument/2006/relationships/worksheet" Target="/xl/worksheets/sheet36.xml" Id="R8e5ae312804b4abb" /><Relationship Type="http://schemas.openxmlformats.org/officeDocument/2006/relationships/worksheet" Target="/xl/worksheets/sheet37.xml" Id="Rd9a1c2da336140d8" /><Relationship Type="http://schemas.openxmlformats.org/officeDocument/2006/relationships/worksheet" Target="/xl/worksheets/sheet38.xml" Id="Rb32097fa31a84105" /><Relationship Type="http://schemas.openxmlformats.org/officeDocument/2006/relationships/worksheet" Target="/xl/worksheets/sheet39.xml" Id="Rb04dee043dc3415d" /><Relationship Type="http://schemas.openxmlformats.org/officeDocument/2006/relationships/worksheet" Target="/xl/worksheets/sheet40.xml" Id="Refbcee6a62be42b3" /><Relationship Type="http://schemas.openxmlformats.org/officeDocument/2006/relationships/worksheet" Target="/xl/worksheets/sheet41.xml" Id="R171aaccbf2f94352" /><Relationship Type="http://schemas.openxmlformats.org/officeDocument/2006/relationships/worksheet" Target="/xl/worksheets/sheet42.xml" Id="R192ff0eccdb740f4" /><Relationship Type="http://schemas.openxmlformats.org/officeDocument/2006/relationships/worksheet" Target="/xl/worksheets/sheet43.xml" Id="Rb4ba2b5a1e00480b" /><Relationship Type="http://schemas.openxmlformats.org/officeDocument/2006/relationships/worksheet" Target="/xl/worksheets/sheet44.xml" Id="R64eb3d09edfa4665" /></Relationships>
</file>

<file path=xl/tables/table1.xml><?xml version="1.0" encoding="utf-8"?>
<x:table xmlns:x="http://schemas.openxmlformats.org/spreadsheetml/2006/main" id="1" name="TechnikAnbieterTable" displayName="TechnikAnbieterTable" ref="A5:S50" headerRowCount="1" totalsRowCount="0" totalsRowShown="0">
  <x:tableColumns count="19">
    <x:tableColumn id="1" name="ID"/>
    <x:tableColumn id="2" name="Anbieter"/>
    <x:tableColumn id="3" name="Ort / Region"/>
    <x:tableColumn id="4" name="Rolle"/>
    <x:tableColumn id="5" name="Priorität"/>
    <x:tableColumn id="6" name="Branchen"/>
    <x:tableColumn id="7" name="Funktionelle Einschränkung"/>
    <x:tableColumn id="8" name="Arbeitsplatzproblem / Tätigkeit"/>
    <x:tableColumn id="9" name="Lösungstypen"/>
    <x:tableColumn id="10" name="Analyse / Beratung"/>
    <x:tableColumn id="11" name="Konstruktion / Planung"/>
    <x:tableColumn id="12" name="Umbau / Nachrüstung"/>
    <x:tableColumn id="13" name="Montage / Inbetriebnahme"/>
    <x:tableColumn id="14" name="Safety / CE"/>
    <x:tableColumn id="15" name="BG-/Kostenträgerbezug"/>
    <x:tableColumn id="16" name="Einsatzhinweis"/>
    <x:tableColumn id="17" name="Website / Primärquelle"/>
    <x:tableColumn id="18" name="Status 4.4.x"/>
    <x:tableColumn id="19" name="Prüfdatum"/>
  </x:tableColumns>
  <x:tableStyleInfo name="TableStyleMedium2" showFirstColumn="0" showLastColumn="0" showRowStripes="1" showColumnStripes="0"/>
</x:table>
</file>

<file path=xl/tables/table2.xml><?xml version="1.0" encoding="utf-8"?>
<x:table xmlns:x="http://schemas.openxmlformats.org/spreadsheetml/2006/main" id="2" name="TechnikFallmatrixTable" displayName="TechnikFallmatrixTable" ref="A3:G16" headerRowCount="1" totalsRowCount="0" totalsRowShown="0">
  <x:tableColumns count="7">
    <x:tableColumn id="1" name="Branche"/>
    <x:tableColumn id="2" name="Funktionelle Einschränkung"/>
    <x:tableColumn id="3" name="Tätigkeit"/>
    <x:tableColumn id="4" name="Konkretes Problem"/>
    <x:tableColumn id="5" name="Lösungstyp"/>
    <x:tableColumn id="6" name="Geeignete Anbieter / Fachdienste"/>
    <x:tableColumn id="7" name="Steuerungshinweis"/>
  </x:tableColumns>
  <x:tableStyleInfo name="TableStyleMedium2" showFirstColumn="0" showLastColumn="0" showRowStripes="1" showColumnStripes="0"/>
</x:table>
</file>

<file path=xl/tables/table3.xml><?xml version="1.0" encoding="utf-8"?>
<x:table xmlns:x="http://schemas.openxmlformats.org/spreadsheetml/2006/main" id="3" name="TechnikKarteGeo44x" displayName="TechnikKarteGeo44x" ref="A4:AI51" headerRowCount="1" totalsRowCount="0" totalsRowShown="0">
  <x:tableColumns count="35">
    <x:tableColumn id="1" name="Parent-ID"/>
    <x:tableColumn id="2" name="Karten-ID"/>
    <x:tableColumn id="3" name="Anbieter"/>
    <x:tableColumn id="4" name="Importentscheidung"/>
    <x:tableColumn id="5" name="Priorität"/>
    <x:tableColumn id="6" name="Rolle"/>
    <x:tableColumn id="7" name="Branchen"/>
    <x:tableColumn id="8" name="Funktionelle Einschränkung"/>
    <x:tableColumn id="9" name="Arbeitsplatzproblem / Tätigkeit"/>
    <x:tableColumn id="10" name="Lösungstypen"/>
    <x:tableColumn id="11" name="Analyse / Beratung"/>
    <x:tableColumn id="12" name="Konstruktion / Planung"/>
    <x:tableColumn id="13" name="Umbau / Nachrüstung"/>
    <x:tableColumn id="14" name="Montage / Inbetriebnahme"/>
    <x:tableColumn id="15" name="Safety / CE"/>
    <x:tableColumn id="16" name="BG-/Kostenträgerbezug"/>
    <x:tableColumn id="17" name="Einsatzhinweis"/>
    <x:tableColumn id="18" name="Straße"/>
    <x:tableColumn id="19" name="PLZ"/>
    <x:tableColumn id="20" name="Ort"/>
    <x:tableColumn id="21" name="Bundesland"/>
    <x:tableColumn id="22" name="Land"/>
    <x:tableColumn id="23" name="Telefon"/>
    <x:tableColumn id="24" name="E-Mail"/>
    <x:tableColumn id="25" name="Website"/>
    <x:tableColumn id="26" name="Breitengrad"/>
    <x:tableColumn id="27" name="Längengrad"/>
    <x:tableColumn id="28" name="Geo-Status"/>
    <x:tableColumn id="29" name="Kartenstatus"/>
    <x:tableColumn id="30" name="Servicegebiet"/>
    <x:tableColumn id="31" name="Adress-/Kontaktquelle"/>
    <x:tableColumn id="32" name="Geoquelle"/>
    <x:tableColumn id="33" name="Prüfhinweis / Aktualität"/>
    <x:tableColumn id="34" name="Prüfdatum"/>
    <x:tableColumn id="35" name="Geocode-Query"/>
  </x:tableColumns>
  <x:tableStyleInfo name="TableStyleMedium2" showFirstColumn="0" showLastColumn="0" showRowStripes="1" showColumnStripes="0"/>
</x:table>
</file>

<file path=xl/tables/table4.xml><?xml version="1.0" encoding="utf-8"?>
<x:table xmlns:x="http://schemas.openxmlformats.org/spreadsheetml/2006/main" id="5" name="PruefkandidatenGeo44x" displayName="PruefkandidatenGeo44x" ref="A4:R10" headerRowCount="1" totalsRowCount="0" totalsRowShown="0">
  <x:tableColumns count="18">
    <x:tableColumn id="1" name="ID"/>
    <x:tableColumn id="2" name="Anbieter"/>
    <x:tableColumn id="3" name="Rolle"/>
    <x:tableColumn id="4" name="Priorität"/>
    <x:tableColumn id="5" name="Fachprofil"/>
    <x:tableColumn id="6" name="Straße"/>
    <x:tableColumn id="7" name="PLZ"/>
    <x:tableColumn id="8" name="Ort"/>
    <x:tableColumn id="9" name="Bundesland"/>
    <x:tableColumn id="10" name="Telefon"/>
    <x:tableColumn id="11" name="E-Mail"/>
    <x:tableColumn id="12" name="Website"/>
    <x:tableColumn id="13" name="Quellen-URL"/>
    <x:tableColumn id="14" name="Entscheidung"/>
    <x:tableColumn id="15" name="Begründung / Status"/>
    <x:tableColumn id="16" name="Geo-Status"/>
    <x:tableColumn id="17" name="Prüfdatum"/>
    <x:tableColumn id="18" name="Geocode-Query"/>
  </x:tableColumns>
  <x:tableStyleInfo name="TableStyleMedium2" showFirstColumn="0" showLastColumn="0" showRowStripes="1" showColumnStripes="0"/>
</x:table>
</file>

<file path=xl/tables/table5.xml><?xml version="1.0" encoding="utf-8"?>
<x:table xmlns:x="http://schemas.openxmlformats.org/spreadsheetml/2006/main" id="4" name="KartenimportErweitert44x" displayName="KartenimportErweitert44x" ref="A4:AI56" headerRowCount="1" totalsRowCount="0" totalsRowShown="0">
  <x:tableColumns count="35">
    <x:tableColumn id="1" name="Parent-ID"/>
    <x:tableColumn id="2" name="Karten-ID"/>
    <x:tableColumn id="3" name="Anbieter"/>
    <x:tableColumn id="4" name="Importentscheidung"/>
    <x:tableColumn id="5" name="Priorität"/>
    <x:tableColumn id="6" name="Rolle"/>
    <x:tableColumn id="7" name="Branchen"/>
    <x:tableColumn id="8" name="Funktionelle Einschränkung"/>
    <x:tableColumn id="9" name="Arbeitsplatzproblem / Tätigkeit"/>
    <x:tableColumn id="10" name="Lösungstypen"/>
    <x:tableColumn id="11" name="Analyse / Beratung"/>
    <x:tableColumn id="12" name="Konstruktion / Planung"/>
    <x:tableColumn id="13" name="Umbau / Nachrüstung"/>
    <x:tableColumn id="14" name="Montage / Inbetriebnahme"/>
    <x:tableColumn id="15" name="Safety / CE"/>
    <x:tableColumn id="16" name="BG-/Kostenträgerbezug"/>
    <x:tableColumn id="17" name="Einsatzhinweis"/>
    <x:tableColumn id="18" name="Straße"/>
    <x:tableColumn id="19" name="PLZ"/>
    <x:tableColumn id="20" name="Ort"/>
    <x:tableColumn id="21" name="Bundesland"/>
    <x:tableColumn id="22" name="Land"/>
    <x:tableColumn id="23" name="Telefon"/>
    <x:tableColumn id="24" name="E-Mail"/>
    <x:tableColumn id="25" name="Website"/>
    <x:tableColumn id="26" name="Breitengrad"/>
    <x:tableColumn id="27" name="Längengrad"/>
    <x:tableColumn id="28" name="Geo-Status"/>
    <x:tableColumn id="29" name="Kartenstatus"/>
    <x:tableColumn id="30" name="Servicegebiet"/>
    <x:tableColumn id="31" name="Adress-/Kontaktquelle"/>
    <x:tableColumn id="32" name="Geoquelle"/>
    <x:tableColumn id="33" name="Prüfhinweis / Aktualität"/>
    <x:tableColumn id="34" name="Prüfdatum"/>
    <x:tableColumn id="35" name="Geocode-Query"/>
  </x:tableColumns>
  <x:tableStyleInfo name="TableStyleMedium2" showFirstColumn="0" showLastColumn="0" showRowStripes="1" showColumnStripes="0"/>
</x:table>
</file>

<file path=xl/tables/table6.xml><?xml version="1.0" encoding="utf-8"?>
<x:table xmlns:x="http://schemas.openxmlformats.org/spreadsheetml/2006/main" id="10" name="Quellen44x" displayName="Quellen44x" ref="A3:E27" headerRowCount="1" totalsRowCount="0" totalsRowShown="0">
  <x:tableColumns count="5">
    <x:tableColumn id="1" name="Thema / Einrichtung"/>
    <x:tableColumn id="2" name="Quellentyp"/>
    <x:tableColumn id="3" name="URL"/>
    <x:tableColumn id="4" name="Verwendet für"/>
    <x:tableColumn id="5" name="Prüfdatum"/>
  </x:tableColumns>
  <x:tableStyleInfo name="TableStyleMedium2" showFirstColumn="0" showLastColumn="0" showRowStripes="1" showColumnStripes="0"/>
</x:table>
</file>

<file path=xl/tables/table7.xml><?xml version="1.0" encoding="utf-8"?>
<x:table xmlns:x="http://schemas.openxmlformats.org/spreadsheetml/2006/main" id="6" name="GesamtImport44x" displayName="GesamtImport44x" ref="A4:AE79" headerRowCount="1" totalsRowCount="0" totalsRowShown="0">
  <x:tableColumns count="31">
    <x:tableColumn id="1" name="ID"/>
    <x:tableColumn id="2" name="Name"/>
    <x:tableColumn id="3" name="Importentscheidung"/>
    <x:tableColumn id="4" name="Priorität"/>
    <x:tableColumn id="5" name="Hauptbereich"/>
    <x:tableColumn id="6" name="Kategorien"/>
    <x:tableColumn id="7" name="Rolle / Funktion"/>
    <x:tableColumn id="8" name="Straße"/>
    <x:tableColumn id="9" name="PLZ"/>
    <x:tableColumn id="10" name="Ort"/>
    <x:tableColumn id="11" name="Bundesland"/>
    <x:tableColumn id="12" name="Land"/>
    <x:tableColumn id="13" name="Telefon"/>
    <x:tableColumn id="14" name="Fax"/>
    <x:tableColumn id="15" name="E-Mail"/>
    <x:tableColumn id="16" name="Website"/>
    <x:tableColumn id="17" name="Ansprechpartner"/>
    <x:tableColumn id="18" name="Leistungen / Schwerpunkte"/>
    <x:tableColumn id="19" name="BG-/Kostenträgerbezug"/>
    <x:tableColumn id="20" name="Servicegebiet"/>
    <x:tableColumn id="21" name="Breitengrad"/>
    <x:tableColumn id="22" name="Längengrad"/>
    <x:tableColumn id="23" name="Geo-Status"/>
    <x:tableColumn id="24" name="Kartenstatus"/>
    <x:tableColumn id="25" name="Bestandsstatus"/>
    <x:tableColumn id="26" name="Verknüpft mit"/>
    <x:tableColumn id="27" name="Adress-/Kontaktquelle"/>
    <x:tableColumn id="28" name="Geoquelle"/>
    <x:tableColumn id="29" name="Prüfdatum"/>
    <x:tableColumn id="30" name="Geocode-Query"/>
    <x:tableColumn id="31" name="Hinweis"/>
  </x:tableColumns>
  <x:tableStyleInfo name="TableStyleMedium2" showFirstColumn="0" showLastColumn="0" showRowStripes="1" showColumnStripes="0"/>
</x:table>
</file>

<file path=xl/tables/table8.xml><?xml version="1.0" encoding="utf-8"?>
<x:table xmlns:x="http://schemas.openxmlformats.org/spreadsheetml/2006/main" id="7" name="NeuroPsych44x" displayName="NeuroPsych44x" ref="A3:R15" headerRowCount="1" totalsRowCount="0" totalsRowShown="0">
  <x:tableColumns count="18">
    <x:tableColumn id="1" name="Status"/>
    <x:tableColumn id="2" name="Priorität"/>
    <x:tableColumn id="3" name="Einrichtung"/>
    <x:tableColumn id="4" name="Ort/Region"/>
    <x:tableColumn id="5" name="Straße"/>
    <x:tableColumn id="6" name="PLZ"/>
    <x:tableColumn id="7" name="Telefon"/>
    <x:tableColumn id="8" name="Fax"/>
    <x:tableColumn id="9" name="E-Mail"/>
    <x:tableColumn id="10" name="Website"/>
    <x:tableColumn id="11" name="Ärzteteam / Kontakt"/>
    <x:tableColumn id="12" name="Schwerpunkte"/>
    <x:tableColumn id="13" name="Lat"/>
    <x:tableColumn id="14" name="Lon"/>
    <x:tableColumn id="15" name="Geo-Status"/>
    <x:tableColumn id="16" name="Quelle"/>
    <x:tableColumn id="17" name="Kartenaktion"/>
    <x:tableColumn id="18" name="Hinweis"/>
  </x:tableColumns>
  <x:tableStyleInfo name="TableStyleMedium2" showFirstColumn="0" showLastColumn="0" showRowStripes="1" showColumnStripes="0"/>
</x:table>
</file>

<file path=xl/tables/table9.xml><?xml version="1.0" encoding="utf-8"?>
<x:table xmlns:x="http://schemas.openxmlformats.org/spreadsheetml/2006/main" id="8" name="Aenderungen44x" displayName="Aenderungen44x" ref="A3:J32" headerRowCount="1" totalsRowCount="0" totalsRowShown="0">
  <x:tableColumns count="10">
    <x:tableColumn id="1" name="Bereich"/>
    <x:tableColumn id="2" name="Einrichtung / Regel"/>
    <x:tableColumn id="3" name="Aktion"/>
    <x:tableColumn id="4" name="Priorität"/>
    <x:tableColumn id="5" name="Neu/Bestand"/>
    <x:tableColumn id="6" name="Ort"/>
    <x:tableColumn id="7" name="Geo-Status"/>
    <x:tableColumn id="8" name="Verknüpfung / Besonderheit"/>
    <x:tableColumn id="9" name="Quelle"/>
    <x:tableColumn id="10" name="Prüfdatum"/>
  </x:tableColumns>
  <x:tableStyleInfo name="TableStyleMedium2" showFirstColumn="0" showLastColumn="0" showRowStripes="1" showColumnStripes="0"/>
</x:table>
</file>

<file path=xl/tables/table10.xml><?xml version="1.0" encoding="utf-8"?>
<x:table xmlns:x="http://schemas.openxmlformats.org/spreadsheetml/2006/main" id="9" name="Regeln44x" displayName="Regeln44x" ref="A3:F16" headerRowCount="1" totalsRowCount="0" totalsRowShown="0">
  <x:tableColumns count="6">
    <x:tableColumn id="1" name="Typ"/>
    <x:tableColumn id="2" name="Thema / Einrichtung"/>
    <x:tableColumn id="3" name="Verbindliche Regel"/>
    <x:tableColumn id="4" name="Begründung"/>
    <x:tableColumn id="5" name="Umsetzung"/>
    <x:tableColumn id="6" name="Status"/>
  </x:tableColumns>
  <x:tableStyleInfo name="TableStyleMedium2" showFirstColumn="0" showLastColumn="0" showRowStripes="1" showColumnStripes="0"/>
</x:table>
</file>

<file path=xl/tables/table11.xml><?xml version="1.0" encoding="utf-8"?>
<x:table xmlns:x="http://schemas.openxmlformats.org/spreadsheetml/2006/main" id="11" name="FinalImport44x" displayName="FinalImport44x" ref="A4:AE110" headerRowCount="1" totalsRowCount="0" totalsRowShown="0">
  <x:tableColumns count="31">
    <x:tableColumn id="1" name="ID"/>
    <x:tableColumn id="2" name="Name"/>
    <x:tableColumn id="3" name="Importentscheidung"/>
    <x:tableColumn id="4" name="Priorität"/>
    <x:tableColumn id="5" name="Hauptbereich"/>
    <x:tableColumn id="6" name="Kategorien"/>
    <x:tableColumn id="7" name="Rolle / Funktion"/>
    <x:tableColumn id="8" name="Straße"/>
    <x:tableColumn id="9" name="PLZ"/>
    <x:tableColumn id="10" name="Ort"/>
    <x:tableColumn id="11" name="Bundesland"/>
    <x:tableColumn id="12" name="Land"/>
    <x:tableColumn id="13" name="Telefon"/>
    <x:tableColumn id="14" name="Fax"/>
    <x:tableColumn id="15" name="E-Mail"/>
    <x:tableColumn id="16" name="Website"/>
    <x:tableColumn id="17" name="Ansprechpartner"/>
    <x:tableColumn id="18" name="Leistungen / Schwerpunkte"/>
    <x:tableColumn id="19" name="BG-/Kostenträgerbezug"/>
    <x:tableColumn id="20" name="Servicegebiet"/>
    <x:tableColumn id="21" name="Breitengrad"/>
    <x:tableColumn id="22" name="Längengrad"/>
    <x:tableColumn id="23" name="Geo-Status"/>
    <x:tableColumn id="24" name="Kartenstatus"/>
    <x:tableColumn id="25" name="Bestandsstatus"/>
    <x:tableColumn id="26" name="Verknüpft mit"/>
    <x:tableColumn id="27" name="Adress-/Kontaktquelle"/>
    <x:tableColumn id="28" name="Geoquelle"/>
    <x:tableColumn id="29" name="Prüfdatum"/>
    <x:tableColumn id="30" name="Geocode-Query"/>
    <x:tableColumn id="31" name="Hinweis"/>
  </x:tableColumns>
  <x:tableStyleInfo name="TableStyleMedium2" showFirstColumn="0" showLastColumn="0" showRowStripes="1" showColumnStripes="0"/>
</x:table>
</file>

<file path=xl/tables/table12.xml><?xml version="1.0" encoding="utf-8"?>
<x:table xmlns:x="http://schemas.openxmlformats.org/spreadsheetml/2006/main" id="12" name="PflegeGutachten44x" displayName="PflegeGutachten44x" ref="A4:Q13" headerRowCount="1" totalsRowCount="0" totalsRowShown="0">
  <x:tableColumns count="17">
    <x:tableColumn id="1" name="Priorität"/>
    <x:tableColumn id="2" name="Status"/>
    <x:tableColumn id="3" name="Anbieter"/>
    <x:tableColumn id="4" name="Typ"/>
    <x:tableColumn id="5" name="Ort / Servicegebiet"/>
    <x:tableColumn id="6" name="SGB-VII-/BG-Bezug"/>
    <x:tableColumn id="7" name="Leistungen"/>
    <x:tableColumn id="8" name="Ansprechpartner"/>
    <x:tableColumn id="9" name="Straße"/>
    <x:tableColumn id="10" name="PLZ"/>
    <x:tableColumn id="11" name="Ort"/>
    <x:tableColumn id="12" name="Telefon"/>
    <x:tableColumn id="13" name="E-Mail"/>
    <x:tableColumn id="14" name="Website"/>
    <x:tableColumn id="15" name="Kartenmodus"/>
    <x:tableColumn id="16" name="Geo-Status"/>
    <x:tableColumn id="17" name="Hinweis"/>
  </x:tableColumns>
  <x:tableStyleInfo name="TableStyleMedium2" showFirstColumn="0" showLastColumn="0" showRowStripes="1" showColumnStripes="0"/>
</x:table>
</file>

<file path=xl/tables/table13.xml><?xml version="1.0" encoding="utf-8"?>
<x:table xmlns:x="http://schemas.openxmlformats.org/spreadsheetml/2006/main" id="13" name="Arbeitsvermittlung44x" displayName="Arbeitsvermittlung44x" ref="A4:T30" headerRowCount="1" totalsRowCount="0" totalsRowShown="0">
  <x:tableColumns count="20">
    <x:tableColumn id="1" name="Priorität"/>
    <x:tableColumn id="2" name="Status"/>
    <x:tableColumn id="3" name="Anbieter"/>
    <x:tableColumn id="4" name="Typ"/>
    <x:tableColumn id="5" name="Ort/Region"/>
    <x:tableColumn id="6" name="Jobakquise"/>
    <x:tableColumn id="7" name="Jobcoaching"/>
    <x:tableColumn id="8" name="Reha-/BG-Eignung"/>
    <x:tableColumn id="9" name="Leistungen"/>
    <x:tableColumn id="10" name="Straße"/>
    <x:tableColumn id="11" name="PLZ"/>
    <x:tableColumn id="12" name="Ort"/>
    <x:tableColumn id="13" name="Telefon"/>
    <x:tableColumn id="14" name="E-Mail"/>
    <x:tableColumn id="15" name="Website"/>
    <x:tableColumn id="16" name="Lat"/>
    <x:tableColumn id="17" name="Lon"/>
    <x:tableColumn id="18" name="Kartenmodus"/>
    <x:tableColumn id="19" name="Quelle/Status"/>
    <x:tableColumn id="20" name="Hinweis"/>
  </x:tableColumns>
  <x:tableStyleInfo name="TableStyleMedium2" showFirstColumn="0" showLastColumn="0" showRowStripes="1" showColumnStripes="0"/>
</x:table>
</file>

<file path=xl/tables/table14.xml><?xml version="1.0" encoding="utf-8"?>
<x:table xmlns:x="http://schemas.openxmlformats.org/spreadsheetml/2006/main" id="14" name="NeuroPsychFinal44x" displayName="NeuroPsychFinal44x" ref="A4:R20" headerRowCount="1" totalsRowCount="0" totalsRowShown="0">
  <x:tableColumns count="18">
    <x:tableColumn id="1" name="Status"/>
    <x:tableColumn id="2" name="Priorität"/>
    <x:tableColumn id="3" name="Einrichtung"/>
    <x:tableColumn id="4" name="Ort/Region"/>
    <x:tableColumn id="5" name="Straße"/>
    <x:tableColumn id="6" name="PLZ"/>
    <x:tableColumn id="7" name="Telefon"/>
    <x:tableColumn id="8" name="Fax"/>
    <x:tableColumn id="9" name="E-Mail"/>
    <x:tableColumn id="10" name="Website"/>
    <x:tableColumn id="11" name="Ärzteteam / Kontakt"/>
    <x:tableColumn id="12" name="Schwerpunkte"/>
    <x:tableColumn id="13" name="Lat"/>
    <x:tableColumn id="14" name="Lon"/>
    <x:tableColumn id="15" name="Geo-Status"/>
    <x:tableColumn id="16" name="Quelle"/>
    <x:tableColumn id="17" name="Kartenaktion"/>
    <x:tableColumn id="18" name="Hinweis"/>
  </x:tableColumns>
  <x:tableStyleInfo name="TableStyleMedium2" showFirstColumn="0" showLastColumn="0" showRowStripes="1" showColumnStripes="0"/>
</x:table>
</file>

<file path=xl/tables/table15.xml><?xml version="1.0" encoding="utf-8"?>
<x:table xmlns:x="http://schemas.openxmlformats.org/spreadsheetml/2006/main" id="15" name="AenderungenFinal44x" displayName="AenderungenFinal44x" ref="A4:J64" headerRowCount="1" totalsRowCount="0" totalsRowShown="0">
  <x:tableColumns count="10">
    <x:tableColumn id="1" name="Bereich"/>
    <x:tableColumn id="2" name="Einrichtung / Regel"/>
    <x:tableColumn id="3" name="Aktion"/>
    <x:tableColumn id="4" name="Priorität"/>
    <x:tableColumn id="5" name="Neu/Bestand"/>
    <x:tableColumn id="6" name="Ort"/>
    <x:tableColumn id="7" name="Geo-Status"/>
    <x:tableColumn id="8" name="Verknüpfung / Besonderheit"/>
    <x:tableColumn id="9" name="Quelle"/>
    <x:tableColumn id="10" name="Prüfdatum"/>
  </x:tableColumns>
  <x:tableStyleInfo name="TableStyleMedium2" showFirstColumn="0" showLastColumn="0" showRowStripes="1" showColumnStripes="0"/>
</x:table>
</file>

<file path=xl/tables/table16.xml><?xml version="1.0" encoding="utf-8"?>
<x:table xmlns:x="http://schemas.openxmlformats.org/spreadsheetml/2006/main" id="16" name="RegelnFinal44x" displayName="RegelnFinal44x" ref="A4:F23" headerRowCount="1" totalsRowCount="0" totalsRowShown="0">
  <x:tableColumns count="6">
    <x:tableColumn id="1" name="Typ"/>
    <x:tableColumn id="2" name="Thema / Einrichtung"/>
    <x:tableColumn id="3" name="Verbindliche Regel"/>
    <x:tableColumn id="4" name="Begründung"/>
    <x:tableColumn id="5" name="Umsetzung"/>
    <x:tableColumn id="6" name="Status"/>
  </x:tableColumns>
  <x:tableStyleInfo name="TableStyleMedium2" showFirstColumn="0" showLastColumn="0" showRowStripes="1" showColumnStripes="0"/>
</x:table>
</file>

<file path=xl/tables/table17.xml><?xml version="1.0" encoding="utf-8"?>
<x:table xmlns:x="http://schemas.openxmlformats.org/spreadsheetml/2006/main" id="17" name="QuellenFinal44x" displayName="QuellenFinal44x" ref="A4:E58" headerRowCount="1" totalsRowCount="0" totalsRowShown="0">
  <x:tableColumns count="5">
    <x:tableColumn id="1" name="Thema / Einrichtung"/>
    <x:tableColumn id="2" name="Quellentyp"/>
    <x:tableColumn id="3" name="URL"/>
    <x:tableColumn id="4" name="Verwendet für"/>
    <x:tableColumn id="5" name="Prüfdatum"/>
  </x:tableColumns>
  <x:tableStyleInfo name="TableStyleMedium2" showFirstColumn="0" showLastColumn="0" showRowStripes="1" showColumnStripes="0"/>
</x:table>
</file>

<file path=xl/tables/table18.xml><?xml version="1.0" encoding="utf-8"?>
<x:table xmlns:x="http://schemas.openxmlformats.org/spreadsheetml/2006/main" id="18" name="ManualMapAudit44x" displayName="ManualMapAudit44x" ref="A4:K99" headerRowCount="1" totalsRowCount="0" totalsRowShown="0">
  <x:tableColumns count="11">
    <x:tableColumn id="1" name="Quelle/Stand"/>
    <x:tableColumn id="2" name="Priorität"/>
    <x:tableColumn id="3" name="Einrichtung"/>
    <x:tableColumn id="4" name="Bereich/Kategorie"/>
    <x:tableColumn id="5" name="Adresse"/>
    <x:tableColumn id="6" name="Ort"/>
    <x:tableColumn id="7" name="Geo-Status"/>
    <x:tableColumn id="8" name="Manuelle Aktion"/>
    <x:tableColumn id="9" name="Hinweis"/>
    <x:tableColumn id="10" name="Kartenstatus/Quelle"/>
    <x:tableColumn id="11" name="ID"/>
  </x:tableColumns>
  <x:tableStyleInfo name="TableStyleMedium2" showFirstColumn="0" showLastColumn="0" showRowStripes="1" showColumnStripes="0"/>
</x:table>
</file>

<file path=xl/tables/table19.xml><?xml version="1.0" encoding="utf-8"?>
<x:table xmlns:x="http://schemas.openxmlformats.org/spreadsheetml/2006/main" id="20" name="ManualMapAudit44xColor" displayName="ManualMapAudit44xColor" ref="A4:M140" headerRowCount="1" totalsRowCount="0" totalsRowShown="0">
  <x:tableColumns count="13">
    <x:tableColumn id="1" name="Quelle/Stand"/>
    <x:tableColumn id="2" name="Priorität"/>
    <x:tableColumn id="3" name="Einrichtung"/>
    <x:tableColumn id="4" name="Bereich/Kategorie"/>
    <x:tableColumn id="5" name="Adresse"/>
    <x:tableColumn id="6" name="Ort"/>
    <x:tableColumn id="7" name="Geo-Status"/>
    <x:tableColumn id="8" name="Manuelle Aktion"/>
    <x:tableColumn id="9" name="Hinweis"/>
    <x:tableColumn id="10" name="Kartenstatus/Quelle"/>
    <x:tableColumn id="11" name="ID"/>
    <x:tableColumn id="12" name="Ampel"/>
    <x:tableColumn id="13" name="Kurzempfehlung"/>
  </x:tableColumns>
  <x:tableStyleInfo name="TableStyleMedium2" showFirstColumn="0" showLastColumn="0" showRowStripes="1" showColumnStripes="0"/>
</x:table>
</file>

<file path=xl/tables/table20.xml><?xml version="1.0" encoding="utf-8"?>
<x:table xmlns:x="http://schemas.openxmlformats.org/spreadsheetml/2006/main" id="19" name="ManualNow44x" displayName="ManualNow44x" ref="A4:I31" headerRowCount="1" totalsRowCount="0" totalsRowShown="0">
  <x:tableColumns count="9">
    <x:tableColumn id="1" name="Einrichtung"/>
    <x:tableColumn id="2" name="Bereich"/>
    <x:tableColumn id="3" name="Adresse"/>
    <x:tableColumn id="4" name="Ort"/>
    <x:tableColumn id="5" name="Was tun?"/>
    <x:tableColumn id="6" name="Warum wichtig?"/>
    <x:tableColumn id="7" name="Stand"/>
    <x:tableColumn id="8" name="Priorität"/>
    <x:tableColumn id="9" name="ID"/>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table" Target="/xl/tables/table1.xml" Id="R0f4fbe34a4f54232" /></Relationships>
</file>

<file path=xl/worksheets/_rels/sheet11.xml.rels>&#65279;<?xml version="1.0" encoding="utf-8"?><Relationships xmlns="http://schemas.openxmlformats.org/package/2006/relationships"><Relationship Type="http://schemas.openxmlformats.org/officeDocument/2006/relationships/table" Target="/xl/tables/table2.xml" Id="Rfc488df272ed4f34" /></Relationships>
</file>

<file path=xl/worksheets/_rels/sheet15.xml.rels>&#65279;<?xml version="1.0" encoding="utf-8"?><Relationships xmlns="http://schemas.openxmlformats.org/package/2006/relationships"><Relationship Type="http://schemas.openxmlformats.org/officeDocument/2006/relationships/table" Target="/xl/tables/table3.xml" Id="R2d0ed849870544a4" /></Relationships>
</file>

<file path=xl/worksheets/_rels/sheet16.xml.rels>&#65279;<?xml version="1.0" encoding="utf-8"?><Relationships xmlns="http://schemas.openxmlformats.org/package/2006/relationships"><Relationship Type="http://schemas.openxmlformats.org/officeDocument/2006/relationships/table" Target="/xl/tables/table4.xml" Id="R418bfa449a25419a" /></Relationships>
</file>

<file path=xl/worksheets/_rels/sheet17.xml.rels>&#65279;<?xml version="1.0" encoding="utf-8"?><Relationships xmlns="http://schemas.openxmlformats.org/package/2006/relationships"><Relationship Type="http://schemas.openxmlformats.org/officeDocument/2006/relationships/table" Target="/xl/tables/table5.xml" Id="R8efb8fa097c84f31" /></Relationships>
</file>

<file path=xl/worksheets/_rels/sheet23.xml.rels>&#65279;<?xml version="1.0" encoding="utf-8"?><Relationships xmlns="http://schemas.openxmlformats.org/package/2006/relationships"><Relationship Type="http://schemas.openxmlformats.org/officeDocument/2006/relationships/table" Target="/xl/tables/table6.xml" Id="R6455ea78b6ef4e83" /></Relationships>
</file>

<file path=xl/worksheets/_rels/sheet25.xml.rels>&#65279;<?xml version="1.0" encoding="utf-8"?><Relationships xmlns="http://schemas.openxmlformats.org/package/2006/relationships"><Relationship Type="http://schemas.openxmlformats.org/officeDocument/2006/relationships/table" Target="/xl/tables/table7.xml" Id="Rb2913558436c425f" /></Relationships>
</file>

<file path=xl/worksheets/_rels/sheet27.xml.rels>&#65279;<?xml version="1.0" encoding="utf-8"?><Relationships xmlns="http://schemas.openxmlformats.org/package/2006/relationships"><Relationship Type="http://schemas.openxmlformats.org/officeDocument/2006/relationships/table" Target="/xl/tables/table8.xml" Id="Ra69550e6ccd04452" /></Relationships>
</file>

<file path=xl/worksheets/_rels/sheet28.xml.rels>&#65279;<?xml version="1.0" encoding="utf-8"?><Relationships xmlns="http://schemas.openxmlformats.org/package/2006/relationships"><Relationship Type="http://schemas.openxmlformats.org/officeDocument/2006/relationships/table" Target="/xl/tables/table9.xml" Id="Rd2e38aef903c4e6a" /></Relationships>
</file>

<file path=xl/worksheets/_rels/sheet29.xml.rels>&#65279;<?xml version="1.0" encoding="utf-8"?><Relationships xmlns="http://schemas.openxmlformats.org/package/2006/relationships"><Relationship Type="http://schemas.openxmlformats.org/officeDocument/2006/relationships/table" Target="/xl/tables/table10.xml" Id="R36a1863aae6b42b4" /></Relationships>
</file>

<file path=xl/worksheets/_rels/sheet30.xml.rels>&#65279;<?xml version="1.0" encoding="utf-8"?><Relationships xmlns="http://schemas.openxmlformats.org/package/2006/relationships"><Relationship Type="http://schemas.openxmlformats.org/officeDocument/2006/relationships/table" Target="/xl/tables/table11.xml" Id="R136001c7c9a5444b" /></Relationships>
</file>

<file path=xl/worksheets/_rels/sheet31.xml.rels>&#65279;<?xml version="1.0" encoding="utf-8"?><Relationships xmlns="http://schemas.openxmlformats.org/package/2006/relationships"><Relationship Type="http://schemas.openxmlformats.org/officeDocument/2006/relationships/table" Target="/xl/tables/table12.xml" Id="Ref6f6bbcb1cd4575" /></Relationships>
</file>

<file path=xl/worksheets/_rels/sheet32.xml.rels>&#65279;<?xml version="1.0" encoding="utf-8"?><Relationships xmlns="http://schemas.openxmlformats.org/package/2006/relationships"><Relationship Type="http://schemas.openxmlformats.org/officeDocument/2006/relationships/table" Target="/xl/tables/table13.xml" Id="Rfeecac5ee6ab4e13" /></Relationships>
</file>

<file path=xl/worksheets/_rels/sheet33.xml.rels>&#65279;<?xml version="1.0" encoding="utf-8"?><Relationships xmlns="http://schemas.openxmlformats.org/package/2006/relationships"><Relationship Type="http://schemas.openxmlformats.org/officeDocument/2006/relationships/table" Target="/xl/tables/table14.xml" Id="Re51785cd5462465d" /></Relationships>
</file>

<file path=xl/worksheets/_rels/sheet34.xml.rels>&#65279;<?xml version="1.0" encoding="utf-8"?><Relationships xmlns="http://schemas.openxmlformats.org/package/2006/relationships"><Relationship Type="http://schemas.openxmlformats.org/officeDocument/2006/relationships/table" Target="/xl/tables/table15.xml" Id="Rd381a8af38a7494f" /></Relationships>
</file>

<file path=xl/worksheets/_rels/sheet35.xml.rels>&#65279;<?xml version="1.0" encoding="utf-8"?><Relationships xmlns="http://schemas.openxmlformats.org/package/2006/relationships"><Relationship Type="http://schemas.openxmlformats.org/officeDocument/2006/relationships/table" Target="/xl/tables/table16.xml" Id="R209e29d191884d71" /></Relationships>
</file>

<file path=xl/worksheets/_rels/sheet36.xml.rels>&#65279;<?xml version="1.0" encoding="utf-8"?><Relationships xmlns="http://schemas.openxmlformats.org/package/2006/relationships"><Relationship Type="http://schemas.openxmlformats.org/officeDocument/2006/relationships/table" Target="/xl/tables/table17.xml" Id="Rccd7643ebaa14cef" /></Relationships>
</file>

<file path=xl/worksheets/_rels/sheet38.xml.rels>&#65279;<?xml version="1.0" encoding="utf-8"?><Relationships xmlns="http://schemas.openxmlformats.org/package/2006/relationships"><Relationship Type="http://schemas.openxmlformats.org/officeDocument/2006/relationships/table" Target="/xl/tables/table18.xml" Id="R46babbe7ef524be1" /><Relationship Type="http://schemas.openxmlformats.org/officeDocument/2006/relationships/table" Target="/xl/tables/table19.xml" Id="R5b0dfb6929f84764" /></Relationships>
</file>

<file path=xl/worksheets/_rels/sheet39.xml.rels>&#65279;<?xml version="1.0" encoding="utf-8"?><Relationships xmlns="http://schemas.openxmlformats.org/package/2006/relationships"><Relationship Type="http://schemas.openxmlformats.org/officeDocument/2006/relationships/table" Target="/xl/tables/table20.xml" Id="Rd9defb77d3e6407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34" hidden="0" customWidth="1"/>
    <x:col min="2" max="2" width="13" hidden="0" customWidth="1"/>
    <x:col min="3" max="3" width="4" hidden="0" customWidth="1"/>
    <x:col min="4" max="4" width="34" hidden="0" customWidth="1"/>
    <x:col min="5" max="5" width="18" hidden="0" customWidth="1"/>
    <x:col min="6" max="6" width="40" hidden="0" customWidth="1"/>
    <x:col min="7" max="7" width="18" hidden="0" customWidth="1"/>
    <x:col min="8" max="8" width="18" hidden="0" customWidth="1"/>
  </x:cols>
  <x:sheetData>
    <x:row r="1" ht="30" customHeight="1">
      <x:c r="A1" s="245" t="str">
        <x:v>BG-RehaManager Südwest – MASTER 4.5 FINAL</x:v>
      </x:c>
      <x:c r="B1" s="245"/>
      <x:c r="C1" s="246"/>
      <x:c r="D1" s="246"/>
      <x:c r="E1" s="246"/>
      <x:c r="F1" s="246"/>
      <x:c r="G1" s="246"/>
      <x:c r="H1" s="246"/>
    </x:row>
    <x:row r="2" ht="22" customHeight="1">
      <x:c r="A2" s="249" t="str">
        <x:v>Medizin · Neurologie · Pflege · Berufliche Reha · Arbeitsvermittlung · Mobilität · Teilhabe · Technik | Release 4.5 · Stand 31.08.2026</x:v>
      </x:c>
      <x:c r="B2" s="249"/>
      <x:c r="C2" s="250"/>
      <x:c r="D2" s="250"/>
      <x:c r="E2" s="250"/>
      <x:c r="F2" s="250"/>
      <x:c r="G2" s="250"/>
      <x:c r="H2" s="250"/>
    </x:row>
    <x:row r="3" ht="18" customHeight="1">
      <x:c r="A3" s="229"/>
      <x:c r="B3" s="229"/>
      <x:c r="C3" s="229"/>
      <x:c r="D3" s="229"/>
      <x:c r="E3" s="229"/>
      <x:c r="F3" s="229"/>
      <x:c r="G3" s="229"/>
      <x:c r="H3" s="229"/>
    </x:row>
    <x:row r="4" ht="18" customHeight="1">
      <x:c r="A4" s="252" t="str">
        <x:v>Kennzahl</x:v>
      </x:c>
      <x:c r="B4" s="252" t="str">
        <x:v>Stand</x:v>
      </x:c>
      <x:c r="C4" s="229"/>
      <x:c r="D4" s="252" t="str">
        <x:v>Verbindliche Referenz-/Abschlussblätter</x:v>
      </x:c>
      <x:c r="E4" s="252"/>
      <x:c r="F4" s="252"/>
      <x:c r="G4" s="252"/>
      <x:c r="H4" s="252"/>
    </x:row>
    <x:row r="5" ht="18" customHeight="1">
      <x:c r="A5" s="229" t="str">
        <x:v>Aktive Neuaufnahmen</x:v>
      </x:c>
      <x:c r="B5" s="229" t="n">
        <x:v>104</x:v>
      </x:c>
      <x:c r="C5" s="229"/>
      <x:c r="D5" s="215" t="str">
        <x:v>GESAMT 4.4x Übersicht</x:v>
      </x:c>
      <x:c r="E5" s="215" t="str"/>
      <x:c r="F5" s="215" t="str">
        <x:v>Abschlussdashboard / Qualitätsstatus</x:v>
      </x:c>
      <x:c r="G5" s="215" t="str"/>
      <x:c r="H5" s="215" t="str"/>
    </x:row>
    <x:row r="6" ht="18" customHeight="1">
      <x:c r="A6" s="229" t="str">
        <x:v>Technik</x:v>
      </x:c>
      <x:c r="B6" s="229" t="n">
        <x:v>52</x:v>
      </x:c>
      <x:c r="C6" s="229"/>
      <x:c r="D6" s="215" t="str">
        <x:v>Kartenimport FINAL 4.4x</x:v>
      </x:c>
      <x:c r="E6" s="215" t="str"/>
      <x:c r="F6" s="215" t="str">
        <x:v>121 konsolidierte Import-/Änderungszeilen</x:v>
      </x:c>
      <x:c r="G6" s="215" t="str"/>
      <x:c r="H6" s="215" t="str"/>
    </x:row>
    <x:row r="7" ht="18" customHeight="1">
      <x:c r="A7" s="229" t="str">
        <x:v>Nichttechnische Neuaufnahmen</x:v>
      </x:c>
      <x:c r="B7" s="229" t="n">
        <x:v>52</x:v>
      </x:c>
      <x:c r="C7" s="229"/>
      <x:c r="D7" s="215" t="str">
        <x:v>Pflege+Gutachten 4.4x</x:v>
      </x:c>
      <x:c r="E7" s="215" t="str"/>
      <x:c r="F7" s="215" t="str">
        <x:v>9 Pflege-/Gutachtenstrukturen</x:v>
      </x:c>
      <x:c r="G7" s="215" t="str"/>
      <x:c r="H7" s="215" t="str"/>
    </x:row>
    <x:row r="8" ht="18" customHeight="1">
      <x:c r="A8" s="229" t="str">
        <x:v>Bestand aktualisieren/bestätigen</x:v>
      </x:c>
      <x:c r="B8" s="229" t="n">
        <x:v>17</x:v>
      </x:c>
      <x:c r="C8" s="229"/>
      <x:c r="D8" s="215" t="str">
        <x:v>Arbeitsvermittlung 4.4x</x:v>
      </x:c>
      <x:c r="E8" s="215" t="str"/>
      <x:c r="F8" s="215" t="str">
        <x:v>26 Ziel-/Netzwerk-/Prüfeinträge</x:v>
      </x:c>
      <x:c r="G8" s="215" t="str"/>
      <x:c r="H8" s="215" t="str"/>
    </x:row>
    <x:row r="9" ht="18" customHeight="1">
      <x:c r="A9" s="226" t="str">
        <x:v>A+ Neuaufnahmen</x:v>
      </x:c>
      <x:c r="B9" s="229" t="n">
        <x:v>47</x:v>
      </x:c>
      <x:c r="C9" s="229"/>
      <x:c r="D9" s="215" t="str">
        <x:v>Neuro-Psych FINAL 4.4x</x:v>
      </x:c>
      <x:c r="E9" s="215" t="str"/>
      <x:c r="F9" s="215" t="str">
        <x:v>16 selektive Schlüsselanbieter</x:v>
      </x:c>
      <x:c r="G9" s="215" t="str"/>
      <x:c r="H9" s="215" t="str"/>
    </x:row>
    <x:row r="10" ht="18" customHeight="1">
      <x:c r="A10" s="226" t="str">
        <x:v>Master-Import-/Änderungszeilen</x:v>
      </x:c>
      <x:c r="B10" s="229" t="n">
        <x:v>121</x:v>
      </x:c>
      <x:c r="C10" s="229"/>
      <x:c r="D10" s="215" t="str">
        <x:v>Änderungen FINAL 4.4x</x:v>
      </x:c>
      <x:c r="E10" s="215" t="str"/>
      <x:c r="F10" s="215" t="str">
        <x:v>vollständiges Änderungsprotokoll</x:v>
      </x:c>
      <x:c r="G10" s="215" t="str"/>
      <x:c r="H10" s="215" t="str"/>
    </x:row>
    <x:row r="11" ht="18" customHeight="1">
      <x:c r="A11" s="226"/>
      <x:c r="B11" s="229"/>
      <x:c r="C11" s="229"/>
      <x:c r="D11" s="215" t="str">
        <x:v>Regeln FINAL 4.4x</x:v>
      </x:c>
      <x:c r="E11" s="215" t="str"/>
      <x:c r="F11" s="215" t="str">
        <x:v>Evidenz-, Karten- und Merge-Regeln</x:v>
      </x:c>
      <x:c r="G11" s="215" t="str"/>
      <x:c r="H11" s="215" t="str"/>
    </x:row>
    <x:row r="12" ht="18" customHeight="1">
      <x:c r="A12" s="226"/>
      <x:c r="B12" s="229"/>
      <x:c r="C12" s="229"/>
      <x:c r="D12" s="215" t="str">
        <x:v>Quellen FINAL 4.4x</x:v>
      </x:c>
      <x:c r="E12" s="215" t="str"/>
      <x:c r="F12" s="215" t="str">
        <x:v>Primär-/Prüfquellen</x:v>
      </x:c>
      <x:c r="G12" s="215" t="str"/>
      <x:c r="H12" s="215" t="str"/>
    </x:row>
    <x:row r="13" ht="18" customHeight="1">
      <x:c r="A13" s="226"/>
      <x:c r="B13" s="226"/>
      <x:c r="C13" s="226"/>
      <x:c r="D13" s="226" t="str">
        <x:v>Fahrrad+Spezialrad 4.4x</x:v>
      </x:c>
      <x:c r="E13" s="226"/>
      <x:c r="F13" s="226" t="str">
        <x:v>10 verbindliche Spezialrad-/Fahrradanpassungs-Datensätze</x:v>
      </x:c>
      <x:c r="G13" s="226"/>
      <x:c r="H13" s="226"/>
    </x:row>
    <x:row r="14" ht="18" customHeight="1">
      <x:c r="A14" s="252" t="str">
        <x:v>Wichtiger Hinweis</x:v>
      </x:c>
      <x:c r="B14" s="252"/>
      <x:c r="C14" s="252"/>
      <x:c r="D14" s="252" t="str">
        <x:v>Wohnen Lifttechnik 4.4x</x:v>
      </x:c>
      <x:c r="E14" s="252"/>
      <x:c r="F14" s="252" t="str">
        <x:v>5 verbindliche Liftanbieter für technische Wohnraumanpassung</x:v>
      </x:c>
      <x:c r="G14" s="252"/>
      <x:c r="H14" s="252"/>
    </x:row>
    <x:row r="15" ht="28" customHeight="1">
      <x:c r="A15" s="189" t="str">
        <x:v>Für Release 4.5 ist die Webanwendung mit 531 eindeutigen Datensätzen der aktuelle Produktivstand. „Kartenimport FINAL 4.4x“ bleibt als eingefrorener fachlicher Referenz-/Änderungsstand erhalten; Version 4.5 konsolidiert diesen Bestand und ergänzt die Schlussrunde vom 31.08.2026 inklusive Fahrrad-/Spezialradanpassung und Wohnen/Lifttechnik.</x:v>
      </x:c>
      <x:c r="B15" s="189"/>
      <x:c r="C15" s="189"/>
      <x:c r="D15" s="189"/>
      <x:c r="E15" s="189"/>
      <x:c r="F15" s="189"/>
      <x:c r="G15" s="209"/>
      <x:c r="H15" s="209"/>
    </x:row>
    <x:row r="16" ht="28" customHeight="1">
      <x:c r="A16" s="209"/>
      <x:c r="B16" s="209"/>
      <x:c r="C16" s="209"/>
      <x:c r="D16" s="209" t="str">
        <x:v>Neue Pins 31.08.2026</x:v>
      </x:c>
      <x:c r="E16" s="209"/>
      <x:c r="F16" s="209" t="str">
        <x:v>14 neue reale Punkte für manuellen Geocode/Statuscheck</x:v>
      </x:c>
      <x:c r="G16" s="209"/>
      <x:c r="H16" s="209"/>
    </x:row>
    <x:row r="17" ht="28" customHeight="1">
      <x:c r="A17" s="189" t="str">
        <x:v>Web-App-Datensätze 4.5</x:v>
      </x:c>
      <x:c r="B17" s="189" t="n">
        <x:v>531</x:v>
      </x:c>
      <x:c r="C17" s="209"/>
      <x:c r="D17" s="209"/>
      <x:c r="E17" s="209"/>
      <x:c r="F17" s="209"/>
      <x:c r="G17" s="209"/>
      <x:c r="H17" s="209"/>
    </x:row>
    <x:row r="18" ht="18" customHeight="1">
      <x:c r="A18" s="215" t="str">
        <x:v>Webanwendung</x:v>
      </x:c>
      <x:c r="B18" s="215" t="str">
        <x:v>Version 4.5</x:v>
      </x:c>
      <x:c r="C18" s="229"/>
      <x:c r="D18" s="229"/>
      <x:c r="E18" s="229"/>
      <x:c r="F18" s="229"/>
      <x:c r="G18" s="229"/>
      <x:c r="H18" s="229"/>
    </x:row>
    <x:row r="19" ht="18" customHeight="1">
      <x:c r="A19" s="215" t="str">
        <x:v>Datenmaster</x:v>
      </x:c>
      <x:c r="B19" s="215" t="str">
        <x:v>Version 4.5</x:v>
      </x:c>
      <x:c r="C19" s="229"/>
      <x:c r="D19" s="229"/>
      <x:c r="E19" s="229"/>
      <x:c r="F19" s="229"/>
      <x:c r="G19" s="229"/>
      <x:c r="H19" s="229"/>
    </x:row>
    <x:row r="20" ht="18" customHeight="1">
      <x:c r="A20" s="215" t="str">
        <x:v>Referenzbasis</x:v>
      </x:c>
      <x:c r="B20" s="215" t="str">
        <x:v>4.4.x · eingefroren</x:v>
      </x:c>
      <x:c r="C20" s="229"/>
      <x:c r="D20" s="229"/>
      <x:c r="E20" s="229"/>
      <x:c r="F20" s="229"/>
      <x:c r="G20" s="229"/>
      <x:c r="H20" s="229"/>
    </x:row>
    <x:row r="21" ht="18" customHeight="1">
      <x:c r="A21" s="307" t="str">
        <x:v>Visuelle Arbeitsmarkierung</x:v>
      </x:c>
      <x:c r="B21" s="307"/>
      <x:c r="C21" s="307"/>
      <x:c r="D21" s="307"/>
      <x:c r="E21" s="307"/>
      <x:c r="F21" s="307"/>
      <x:c r="G21" s="307"/>
      <x:c r="H21" s="307"/>
    </x:row>
    <x:row r="22" ht="24" customHeight="1">
      <x:c r="A22" s="309" t="str">
        <x:v>Die farblich markierten Restarbeiten finden Sie in „Karte – jetzt manuell“, „Manuelle Kartenprüfung 4.4x“ und ergänzend „Neue Pins 31.08.2026“. Rot = sofort korrigieren, Orange = manuell setzen/prüfen, Gelb = Funktions-/UX-Test oder mittlere Priorität.</x:v>
      </x:c>
      <x:c r="B22" s="309"/>
      <x:c r="C22" s="309"/>
      <x:c r="D22" s="309"/>
      <x:c r="E22" s="309"/>
      <x:c r="F22" s="309"/>
      <x:c r="G22" s="309"/>
      <x:c r="H22" s="309"/>
    </x:row>
    <x:row r="23" ht="24" customHeight="1">
      <x:c r="A23" s="309"/>
      <x:c r="B23" s="309"/>
      <x:c r="C23" s="309"/>
      <x:c r="D23" s="309"/>
      <x:c r="E23" s="309"/>
      <x:c r="F23" s="309"/>
      <x:c r="G23" s="309"/>
      <x:c r="H23" s="309"/>
    </x:row>
    <x:row r="24" ht="24" customHeight="1">
      <x:c r="A24" s="309"/>
      <x:c r="B24" s="309"/>
      <x:c r="C24" s="309"/>
      <x:c r="D24" s="309"/>
      <x:c r="E24" s="309"/>
      <x:c r="F24" s="309"/>
      <x:c r="G24" s="309"/>
      <x:c r="H24" s="309"/>
    </x:row>
    <x:row r="25" ht="24" customHeight="1">
      <x:c r="A25" s="309"/>
      <x:c r="B25" s="309"/>
      <x:c r="C25" s="309"/>
      <x:c r="D25" s="309"/>
      <x:c r="E25" s="309"/>
      <x:c r="F25" s="309"/>
      <x:c r="G25" s="309"/>
      <x:c r="H25" s="309"/>
    </x:row>
    <x:row r="26" ht="18" customHeight="1">
      <x:c r="A26" s="229"/>
      <x:c r="B26" s="229"/>
      <x:c r="C26" s="229"/>
      <x:c r="D26" s="229"/>
      <x:c r="E26" s="229"/>
      <x:c r="F26" s="229"/>
      <x:c r="G26" s="229"/>
      <x:c r="H26" s="229"/>
    </x:row>
    <x:row r="27" ht="18" customHeight="1">
      <x:c r="A27" s="229"/>
      <x:c r="B27" s="229"/>
      <x:c r="C27" s="229"/>
      <x:c r="D27" s="229"/>
      <x:c r="E27" s="229"/>
      <x:c r="F27" s="229"/>
      <x:c r="G27" s="229"/>
      <x:c r="H27" s="229"/>
    </x:row>
    <x:row r="28" ht="18" customHeight="1">
      <x:c r="A28" s="229"/>
      <x:c r="B28" s="229"/>
      <x:c r="C28" s="229"/>
      <x:c r="D28" s="229"/>
      <x:c r="E28" s="229"/>
      <x:c r="F28" s="229"/>
      <x:c r="G28" s="229"/>
      <x:c r="H28" s="229"/>
    </x:row>
    <x:row r="29" ht="18" customHeight="1">
      <x:c r="A29" s="229"/>
      <x:c r="B29" s="229"/>
      <x:c r="C29" s="229"/>
      <x:c r="D29" s="229"/>
      <x:c r="E29" s="229"/>
      <x:c r="F29" s="229"/>
      <x:c r="G29" s="229"/>
      <x:c r="H29" s="229"/>
    </x:row>
    <x:row r="30" ht="18" customHeight="1">
      <x:c r="A30" s="229"/>
      <x:c r="B30" s="229"/>
      <x:c r="C30" s="229"/>
      <x:c r="D30" s="229"/>
      <x:c r="E30" s="229"/>
      <x:c r="F30" s="229"/>
      <x:c r="G30" s="229"/>
      <x:c r="H30" s="229"/>
    </x:row>
  </x:sheetData>
  <x:mergeCells>
    <x:mergeCell ref="A1:H1"/>
    <x:mergeCell ref="A2:H2"/>
    <x:mergeCell ref="D4:H4"/>
    <x:mergeCell ref="A14:H14"/>
    <x:mergeCell ref="A15:H17"/>
    <x:mergeCell ref="A21:H21"/>
    <x:mergeCell ref="A22:H25"/>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38" customWidth="1"/>
    <x:col min="3" max="3" width="30" customWidth="1"/>
    <x:col min="4" max="4" width="9" customWidth="1"/>
    <x:col min="5" max="5" width="9" customWidth="1"/>
    <x:col min="6" max="6" width="9" customWidth="1"/>
    <x:col min="7" max="7" width="9" customWidth="1"/>
    <x:col min="8" max="8" width="9" customWidth="1"/>
    <x:col min="9" max="9" width="16" customWidth="1"/>
    <x:col min="10" max="10" width="52" customWidth="1"/>
    <x:col min="11" max="11" width="44" customWidth="1"/>
    <x:col min="12" max="12" width="14" customWidth="1"/>
    <x:col min="13" max="13" width="32" customWidth="1"/>
    <x:col min="14" max="14" width="28" customWidth="1"/>
    <x:col min="15" max="15" width="9" customWidth="1"/>
    <x:col min="16" max="16" width="24" customWidth="1"/>
    <x:col min="17" max="17" width="18" customWidth="1"/>
    <x:col min="18" max="18" width="35" customWidth="1"/>
    <x:col min="19" max="19" width="42" customWidth="1"/>
    <x:col min="20" max="20" width="32" customWidth="1"/>
    <x:col min="21" max="21" width="28" customWidth="1"/>
    <x:col min="22" max="22" width="22" customWidth="1"/>
    <x:col min="23" max="23" width="34" customWidth="1"/>
    <x:col min="24" max="24" width="13" customWidth="1"/>
    <x:col min="25" max="25" width="13" customWidth="1"/>
    <x:col min="26" max="26" width="34" customWidth="1"/>
    <x:col min="27" max="27" width="13" customWidth="1"/>
    <x:col min="28" max="28" width="55" customWidth="1"/>
    <x:col min="29" max="29" width="48" customWidth="1"/>
    <x:col min="30" max="30" width="40" customWidth="1"/>
  </x:cols>
  <x:sheetData>
    <x:row r="1">
      <x:c r="A1" s="3" t="inlineStr">
        <x:is>
          <x:t xml:space="preserve">Bundesland</x:t>
        </x:is>
      </x:c>
      <x:c r="B1" s="3" t="inlineStr">
        <x:is>
          <x:t xml:space="preserve">Einrichtung</x:t>
        </x:is>
      </x:c>
      <x:c r="C1" s="3" t="inlineStr">
        <x:is>
          <x:t xml:space="preserve">Träger</x:t>
        </x:is>
      </x:c>
      <x:c r="D1" s="3" t="inlineStr">
        <x:is>
          <x:t xml:space="preserve">Phase A</x:t>
        </x:is>
      </x:c>
      <x:c r="E1" s="3" t="inlineStr">
        <x:is>
          <x:t xml:space="preserve">Phase B</x:t>
        </x:is>
      </x:c>
      <x:c r="F1" s="3" t="inlineStr">
        <x:is>
          <x:t xml:space="preserve">Phase C</x:t>
        </x:is>
      </x:c>
      <x:c r="G1" s="3" t="inlineStr">
        <x:is>
          <x:t xml:space="preserve">Phase D</x:t>
        </x:is>
      </x:c>
      <x:c r="H1" s="3" t="inlineStr">
        <x:is>
          <x:t xml:space="preserve">Phase E</x:t>
        </x:is>
      </x:c>
      <x:c r="I1" s="3" t="inlineStr">
        <x:is>
          <x:t xml:space="preserve">Phasenprofil</x:t>
        </x:is>
      </x:c>
      <x:c r="J1" s="3" t="inlineStr">
        <x:is>
          <x:t xml:space="preserve">Schwerpunkte / Zielgruppe</x:t>
        </x:is>
      </x:c>
      <x:c r="K1" s="3" t="inlineStr">
        <x:is>
          <x:t xml:space="preserve">Plätze / Kapazität</x:t>
        </x:is>
      </x:c>
      <x:c r="L1" s="3" t="inlineStr">
        <x:is>
          <x:t xml:space="preserve">davon Phase B</x:t>
        </x:is>
      </x:c>
      <x:c r="M1" s="3" t="inlineStr">
        <x:is>
          <x:t xml:space="preserve">Intensiv / Beatmung</x:t>
        </x:is>
      </x:c>
      <x:c r="N1" s="3" t="inlineStr">
        <x:is>
          <x:t xml:space="preserve">Straße</x:t>
        </x:is>
      </x:c>
      <x:c r="O1" s="3" t="inlineStr">
        <x:is>
          <x:t xml:space="preserve">PLZ</x:t>
        </x:is>
      </x:c>
      <x:c r="P1" s="3" t="inlineStr">
        <x:is>
          <x:t xml:space="preserve">Ort</x:t>
        </x:is>
      </x:c>
      <x:c r="Q1" s="3" t="inlineStr">
        <x:is>
          <x:t xml:space="preserve">Telefon</x:t>
        </x:is>
      </x:c>
      <x:c r="R1" s="3" t="inlineStr">
        <x:is>
          <x:t xml:space="preserve">E-Mail</x:t>
        </x:is>
      </x:c>
      <x:c r="S1" s="3" t="inlineStr">
        <x:is>
          <x:t xml:space="preserve">Website</x:t>
        </x:is>
      </x:c>
      <x:c r="T1" s="3" t="inlineStr">
        <x:is>
          <x:t xml:space="preserve">Ansprechpartner Aufnahme</x:t>
        </x:is>
      </x:c>
      <x:c r="U1" s="3" t="inlineStr">
        <x:is>
          <x:t xml:space="preserve">Funktion</x:t>
        </x:is>
      </x:c>
      <x:c r="V1" s="3" t="inlineStr">
        <x:is>
          <x:t xml:space="preserve">Direkttelefon</x:t>
        </x:is>
      </x:c>
      <x:c r="W1" s="3" t="inlineStr">
        <x:is>
          <x:t xml:space="preserve">Direkt-E-Mail</x:t>
        </x:is>
      </x:c>
      <x:c r="X1" s="3" t="inlineStr">
        <x:is>
          <x:t xml:space="preserve">Breitengrad</x:t>
        </x:is>
      </x:c>
      <x:c r="Y1" s="3" t="inlineStr">
        <x:is>
          <x:t xml:space="preserve">Längengrad</x:t>
        </x:is>
      </x:c>
      <x:c r="Z1" s="3" t="inlineStr">
        <x:is>
          <x:t xml:space="preserve">Geo-Status</x:t>
        </x:is>
      </x:c>
      <x:c r="AA1" s="3" t="inlineStr">
        <x:is>
          <x:t xml:space="preserve">Prüfdatum</x:t>
        </x:is>
      </x:c>
      <x:c r="AB1" s="3" t="inlineStr">
        <x:is>
          <x:t xml:space="preserve">Fachquelle</x:t>
        </x:is>
      </x:c>
      <x:c r="AC1" s="3" t="inlineStr">
        <x:is>
          <x:t xml:space="preserve">Geoquelle</x:t>
        </x:is>
      </x:c>
      <x:c r="AD1" s="3" t="inlineStr">
        <x:is>
          <x:t xml:space="preserve">Freigabe / Hinweis</x:t>
        </x:is>
      </x:c>
    </x:row>
    <x:row r="2">
      <x:c r="A2" s="4" t="inlineStr">
        <x:is>
          <x:t xml:space="preserve">BW</x:t>
        </x:is>
      </x:c>
      <x:c r="B2" s="4" t="inlineStr">
        <x:is>
          <x:t xml:space="preserve">Kliniken Schmieder Allensbach</x:t>
        </x:is>
      </x:c>
      <x:c r="C2" s="4" t="inlineStr">
        <x:is>
          <x:t xml:space="preserve">Kliniken Schmieder (Stiftung &amp; Co.) KG</x:t>
        </x:is>
      </x:c>
      <x:c r="D2" s="5" t="inlineStr">
        <x:is>
          <x:t xml:space="preserve">X</x:t>
        </x:is>
      </x:c>
      <x:c r="E2" s="5" t="inlineStr">
        <x:is>
          <x:t xml:space="preserve">X</x:t>
        </x:is>
      </x:c>
      <x:c r="F2" s="5" t="inlineStr">
        <x:is>
          <x:t xml:space="preserve">X</x:t>
        </x:is>
      </x:c>
      <x:c r="G2" s="5" t="inlineStr">
        <x:is>
          <x:t xml:space="preserve">X</x:t>
        </x:is>
      </x:c>
      <x:c r="H2" s="5" t="inlineStr">
        <x:is>
          <x:t xml:space="preserve">X</x:t>
        </x:is>
      </x:c>
      <x:c r="I2" s="4" t="inlineStr">
        <x:is>
          <x:t xml:space="preserve">A-D/E</x:t>
        </x:is>
      </x:c>
      <x:c r="J2" s="4" t="inlineStr">
        <x:is>
          <x:t xml:space="preserve">Akutneurologie; Frührehabilitation; Neurorehabilitation; berufliche Wiedereingliederung; SHT/Schlaganfall; Beatmungsbetten</x:t>
        </x:is>
      </x:c>
      <x:c r="K2" s="4" t="inlineStr">
        <x:is>
          <x:t xml:space="preserve">nicht phasenspezifisch komplett veröffentlicht</x:t>
        </x:is>
      </x:c>
      <x:c r="L2" s="4" t="n"/>
      <x:c r="M2" s="4" t="inlineStr">
        <x:is>
          <x:t xml:space="preserve">Phase B mit Beatmungsbetten</x:t>
        </x:is>
      </x:c>
      <x:c r="N2" s="4" t="inlineStr">
        <x:is>
          <x:t xml:space="preserve">Zum Tafelholz 8</x:t>
        </x:is>
      </x:c>
      <x:c r="O2" s="4" t="inlineStr">
        <x:is>
          <x:t xml:space="preserve">78476</x:t>
        </x:is>
      </x:c>
      <x:c r="P2" s="4" t="inlineStr">
        <x:is>
          <x:t xml:space="preserve">Allensbach</x:t>
        </x:is>
      </x:c>
      <x:c r="Q2" s="4" t="inlineStr">
        <x:is>
          <x:t xml:space="preserve">07533 808-0</x:t>
        </x:is>
      </x:c>
      <x:c r="R2" s="4" t="inlineStr">
        <x:is>
          <x:t xml:space="preserve">patientenmanagement@kliniken-schmieder.de</x:t>
        </x:is>
      </x:c>
      <x:c r="S2" s="4" t="inlineStr">
        <x:is>
          <x:t xml:space="preserve">https://www.kliniken-schmieder.de/kliniken-und-standorte/allensbach.html</x:t>
        </x:is>
      </x:c>
      <x:c r="T2" s="4" t="inlineStr">
        <x:is>
          <x:t xml:space="preserve">Dominik Stürmer</x:t>
        </x:is>
      </x:c>
      <x:c r="U2" s="4" t="inlineStr">
        <x:is>
          <x:t xml:space="preserve">Leitung Patienten- und Vertragspartnermanagement</x:t>
        </x:is>
      </x:c>
      <x:c r="V2" s="4" t="inlineStr">
        <x:is>
          <x:t xml:space="preserve">07533 808-1960</x:t>
        </x:is>
      </x:c>
      <x:c r="W2" s="4" t="inlineStr">
        <x:is>
          <x:t xml:space="preserve">patientenmanagement@kliniken-schmieder.de</x:t>
        </x:is>
      </x:c>
      <x:c r="X2" s="4" t="n">
        <x:v>47.715793</x:v>
      </x:c>
      <x:c r="Y2" s="4" t="n">
        <x:v>9.085269</x:v>
      </x:c>
      <x:c r="Z2" s="4" t="inlineStr">
        <x:is>
          <x:t xml:space="preserve">A - Einrichtungs-/Gebäudepunkt verifiziert</x:t>
        </x:is>
      </x:c>
      <x:c r="AA2" s="4" t="inlineStr">
        <x:is>
          <x:t xml:space="preserve">2026-08-23</x:t>
        </x:is>
      </x:c>
      <x:c r="AB2" s="4" t="inlineStr">
        <x:is>
          <x:t xml:space="preserve">https://www.kliniken-schmieder.de/kliniken-und-standorte/allensbach/behandlungsspektrum.html</x:t>
        </x:is>
      </x:c>
      <x:c r="AC2" s="4" t="inlineStr">
        <x:is>
          <x:t xml:space="preserve">https://www.outdooractive.com/en/poi/bodensee/kliniken-schmieder/18725272/</x:t>
        </x:is>
      </x:c>
      <x:c r="AD2" s="4" t="inlineStr">
        <x:is>
          <x:t xml:space="preserve">freigegeben</x:t>
        </x:is>
      </x:c>
    </x:row>
    <x:row r="3">
      <x:c r="A3" s="4" t="inlineStr">
        <x:is>
          <x:t xml:space="preserve">BW</x:t>
        </x:is>
      </x:c>
      <x:c r="B3" s="4" t="inlineStr">
        <x:is>
          <x:t xml:space="preserve">Kliniken Schmieder Heidelberg</x:t>
        </x:is>
      </x:c>
      <x:c r="C3" s="4" t="inlineStr">
        <x:is>
          <x:t xml:space="preserve">Kliniken Schmieder (Stiftung &amp; Co.) KG</x:t>
        </x:is>
      </x:c>
      <x:c r="D3" s="5" t="inlineStr">
        <x:is>
          <x:t xml:space="preserve">X</x:t>
        </x:is>
      </x:c>
      <x:c r="E3" s="5" t="inlineStr">
        <x:is>
          <x:t xml:space="preserve">X</x:t>
        </x:is>
      </x:c>
      <x:c r="F3" s="5" t="inlineStr">
        <x:is>
          <x:t xml:space="preserve">X</x:t>
        </x:is>
      </x:c>
      <x:c r="G3" s="5" t="inlineStr">
        <x:is>
          <x:t xml:space="preserve">X</x:t>
        </x:is>
      </x:c>
      <x:c r="H3" s="5" t="inlineStr">
        <x:is>
          <x:t xml:space="preserve">X</x:t>
        </x:is>
      </x:c>
      <x:c r="I3" s="4" t="inlineStr">
        <x:is>
          <x:t xml:space="preserve">A-D/E</x:t>
        </x:is>
      </x:c>
      <x:c r="J3" s="4" t="inlineStr">
        <x:is>
          <x:t xml:space="preserve">Akutneurologie; Phase-B-Frührehabilitation mit invasiver Beatmung; C/D/E; Tagesklinik</x:t>
        </x:is>
      </x:c>
      <x:c r="K3" s="4" t="inlineStr">
        <x:is>
          <x:t xml:space="preserve">286 Betten + 5 ambulante Rehaplätze (veröffentlichte Klinikbroschüre); 111 Phase B, 173 C/D, 2 A</x:t>
        </x:is>
      </x:c>
      <x:c r="L3" s="4" t="inlineStr">
        <x:is>
          <x:t xml:space="preserve">111</x:t>
        </x:is>
      </x:c>
      <x:c r="M3" s="4" t="inlineStr">
        <x:is>
          <x:t xml:space="preserve">8 Beatmungsbetten laut Klinikbroschüre</x:t>
        </x:is>
      </x:c>
      <x:c r="N3" s="4" t="inlineStr">
        <x:is>
          <x:t xml:space="preserve">Speyererhofweg 1</x:t>
        </x:is>
      </x:c>
      <x:c r="O3" s="4" t="inlineStr">
        <x:is>
          <x:t xml:space="preserve">69117</x:t>
        </x:is>
      </x:c>
      <x:c r="P3" s="4" t="inlineStr">
        <x:is>
          <x:t xml:space="preserve">Heidelberg</x:t>
        </x:is>
      </x:c>
      <x:c r="Q3" s="4" t="inlineStr">
        <x:is>
          <x:t xml:space="preserve">06221 6540-0</x:t>
        </x:is>
      </x:c>
      <x:c r="R3" s="4" t="inlineStr">
        <x:is>
          <x:t xml:space="preserve">patientenmanagement@kliniken-schmieder.de</x:t>
        </x:is>
      </x:c>
      <x:c r="S3" s="4" t="inlineStr">
        <x:is>
          <x:t xml:space="preserve">https://www.kliniken-schmieder.de/kliniken-und-standorte/heidelberg.html</x:t>
        </x:is>
      </x:c>
      <x:c r="T3" s="4" t="inlineStr">
        <x:is>
          <x:t xml:space="preserve">Dominik Stürmer / Phase-B-Disposition</x:t>
        </x:is>
      </x:c>
      <x:c r="U3" s="4" t="inlineStr">
        <x:is>
          <x:t xml:space="preserve">zentrales Patientenmanagement</x:t>
        </x:is>
      </x:c>
      <x:c r="V3" s="4" t="inlineStr">
        <x:is>
          <x:t xml:space="preserve">07533 808-1960</x:t>
        </x:is>
      </x:c>
      <x:c r="W3" s="4" t="inlineStr">
        <x:is>
          <x:t xml:space="preserve">patientenmanagement@kliniken-schmieder.de</x:t>
        </x:is>
      </x:c>
      <x:c r="X3" s="4" t="n">
        <x:v>49.394681</x:v>
      </x:c>
      <x:c r="Y3" s="4" t="n">
        <x:v>8.7086209</x:v>
      </x:c>
      <x:c r="Z3" s="4" t="inlineStr">
        <x:is>
          <x:t xml:space="preserve">A - Einrichtungspunkt verifiziert</x:t>
        </x:is>
      </x:c>
      <x:c r="AA3" s="4" t="inlineStr">
        <x:is>
          <x:t xml:space="preserve">2026-08-23</x:t>
        </x:is>
      </x:c>
      <x:c r="AB3" s="4" t="inlineStr">
        <x:is>
          <x:t xml:space="preserve">https://www.kliniken-schmieder.de/unser-profil/zuweiser.html</x:t>
        </x:is>
      </x:c>
      <x:c r="AC3" s="4" t="inlineStr">
        <x:is>
          <x:t xml:space="preserve">https://www.focus-gesundheit.de/top-rehaklinik/suche/besondere-expertise-risikopatienten?limit=25</x:t>
        </x:is>
      </x:c>
      <x:c r="AD3" s="4" t="inlineStr">
        <x:is>
          <x:t xml:space="preserve">freigegeben; Bettenzahl aus veröffentlichter Klinikbroschüre</x:t>
        </x:is>
      </x:c>
    </x:row>
    <x:row r="4">
      <x:c r="A4" s="4" t="inlineStr">
        <x:is>
          <x:t xml:space="preserve">BW</x:t>
        </x:is>
      </x:c>
      <x:c r="B4" s="4" t="inlineStr">
        <x:is>
          <x:t xml:space="preserve">Kliniken Schmieder Stuttgart-Gerlingen</x:t>
        </x:is>
      </x:c>
      <x:c r="C4" s="4" t="inlineStr">
        <x:is>
          <x:t xml:space="preserve">Kliniken Schmieder (Stiftung &amp; Co.) KG</x:t>
        </x:is>
      </x:c>
      <x:c r="D4" s="5" t="inlineStr">
        <x:is>
          <x:t xml:space="preserve">X</x:t>
        </x:is>
      </x:c>
      <x:c r="E4" s="5" t="inlineStr">
        <x:is>
          <x:t xml:space="preserve">X</x:t>
        </x:is>
      </x:c>
      <x:c r="F4" s="5" t="inlineStr">
        <x:is>
          <x:t xml:space="preserve">X</x:t>
        </x:is>
      </x:c>
      <x:c r="G4" s="5" t="inlineStr">
        <x:is>
          <x:t xml:space="preserve">X</x:t>
        </x:is>
      </x:c>
      <x:c r="H4" s="5" t="inlineStr">
        <x:is>
          <x:t xml:space="preserve">X</x:t>
        </x:is>
      </x:c>
      <x:c r="I4" s="4" t="inlineStr">
        <x:is>
          <x:t xml:space="preserve">A*-D/E</x:t>
        </x:is>
      </x:c>
      <x:c r="J4" s="4" t="inlineStr">
        <x:is>
          <x:t xml:space="preserve">Phase A nur akutneurologische Komplikationen während Reha, keine Notaufnahme; B/C/D/E; Frühreha-Schwerpunkt</x:t>
        </x:is>
      </x:c>
      <x:c r="K4" s="4" t="inlineStr">
        <x:is>
          <x:t xml:space="preserve">Phase B: 78 Betten</x:t>
        </x:is>
      </x:c>
      <x:c r="L4" s="4" t="inlineStr">
        <x:is>
          <x:t xml:space="preserve">78</x:t>
        </x:is>
      </x:c>
      <x:c r="M4" s="4" t="inlineStr">
        <x:is>
          <x:t xml:space="preserve">2 Beatmungsbetten mit Monitoring</x:t>
        </x:is>
      </x:c>
      <x:c r="N4" s="4" t="inlineStr">
        <x:is>
          <x:t xml:space="preserve">Solitudestraße 20</x:t>
        </x:is>
      </x:c>
      <x:c r="O4" s="4" t="inlineStr">
        <x:is>
          <x:t xml:space="preserve">70839</x:t>
        </x:is>
      </x:c>
      <x:c r="P4" s="4" t="inlineStr">
        <x:is>
          <x:t xml:space="preserve">Gerlingen</x:t>
        </x:is>
      </x:c>
      <x:c r="Q4" s="4" t="inlineStr">
        <x:is>
          <x:t xml:space="preserve">07156 941-0</x:t>
        </x:is>
      </x:c>
      <x:c r="R4" s="4" t="inlineStr">
        <x:is>
          <x:t xml:space="preserve">patientenmanagement@kliniken-schmieder.de</x:t>
        </x:is>
      </x:c>
      <x:c r="S4" s="4" t="inlineStr">
        <x:is>
          <x:t xml:space="preserve">https://www.kliniken-schmieder.de/kliniken-und-standorte/gerlingen.html</x:t>
        </x:is>
      </x:c>
      <x:c r="T4" s="4" t="inlineStr">
        <x:is>
          <x:t xml:space="preserve">Dominik Stürmer</x:t>
        </x:is>
      </x:c>
      <x:c r="U4" s="4" t="inlineStr">
        <x:is>
          <x:t xml:space="preserve">zentrales Patientenmanagement</x:t>
        </x:is>
      </x:c>
      <x:c r="V4" s="4" t="inlineStr">
        <x:is>
          <x:t xml:space="preserve">07533 808-1960</x:t>
        </x:is>
      </x:c>
      <x:c r="W4" s="4" t="inlineStr">
        <x:is>
          <x:t xml:space="preserve">patientenmanagement@kliniken-schmieder.de</x:t>
        </x:is>
      </x:c>
      <x:c r="X4" s="4" t="n">
        <x:v>48.786646</x:v>
      </x:c>
      <x:c r="Y4" s="4" t="n">
        <x:v>9.0750969</x:v>
      </x:c>
      <x:c r="Z4" s="4" t="inlineStr">
        <x:is>
          <x:t xml:space="preserve">A - Einrichtungspunkt verifiziert</x:t>
        </x:is>
      </x:c>
      <x:c r="AA4" s="4" t="inlineStr">
        <x:is>
          <x:t xml:space="preserve">2026-08-23</x:t>
        </x:is>
      </x:c>
      <x:c r="AB4" s="4" t="inlineStr">
        <x:is>
          <x:t xml:space="preserve">https://www.kliniken-schmieder.de/kliniken-und-standorte/gerlingen/medizinische-schwerpunkte.html</x:t>
        </x:is>
      </x:c>
      <x:c r="AC4" s="4" t="inlineStr">
        <x:is>
          <x:t xml:space="preserve">https://www.focus-gesundheit.de/top-rehaklinik/suche/besondere-expertise-risikopatienten?limit=25</x:t>
        </x:is>
      </x:c>
      <x:c r="AD4" s="4" t="inlineStr">
        <x:is>
          <x:t xml:space="preserve">freigegeben; Phase A mit Einschränkung kennzeichnen</x:t>
        </x:is>
      </x:c>
    </x:row>
    <x:row r="5">
      <x:c r="A5" s="4" t="inlineStr">
        <x:is>
          <x:t xml:space="preserve">BW</x:t>
        </x:is>
      </x:c>
      <x:c r="B5" s="4" t="inlineStr">
        <x:is>
          <x:t xml:space="preserve">Kliniken Schmieder Gailingen</x:t>
        </x:is>
      </x:c>
      <x:c r="C5" s="4" t="inlineStr">
        <x:is>
          <x:t xml:space="preserve">Kliniken Schmieder (Stiftung &amp; Co.) KG</x:t>
        </x:is>
      </x:c>
      <x:c r="D5" s="5" t="n"/>
      <x:c r="E5" s="5" t="n"/>
      <x:c r="F5" s="5" t="inlineStr">
        <x:is>
          <x:t xml:space="preserve">X</x:t>
        </x:is>
      </x:c>
      <x:c r="G5" s="5" t="inlineStr">
        <x:is>
          <x:t xml:space="preserve">X</x:t>
        </x:is>
      </x:c>
      <x:c r="H5" s="5" t="inlineStr">
        <x:is>
          <x:t xml:space="preserve">X</x:t>
        </x:is>
      </x:c>
      <x:c r="I5" s="4" t="inlineStr">
        <x:is>
          <x:t xml:space="preserve">C-E</x:t>
        </x:is>
      </x:c>
      <x:c r="J5" s="4" t="inlineStr">
        <x:is>
          <x:t xml:space="preserve">Neurorehabilitation; Psychotherapeutische Neurologie; MS; Berufstherapie/Arbeitserprobung</x:t>
        </x:is>
      </x:c>
      <x:c r="K5" s="4" t="inlineStr">
        <x:is>
          <x:t xml:space="preserve">270 Betten gesamt laut aktuellem Klinikfolder</x:t>
        </x:is>
      </x:c>
      <x:c r="L5" s="4" t="n"/>
      <x:c r="M5" s="4" t="inlineStr">
        <x:is>
          <x:t xml:space="preserve">keine Phase B</x:t>
        </x:is>
      </x:c>
      <x:c r="N5" s="4" t="inlineStr">
        <x:is>
          <x:t xml:space="preserve">Auf dem Berg</x:t>
        </x:is>
      </x:c>
      <x:c r="O5" s="4" t="inlineStr">
        <x:is>
          <x:t xml:space="preserve">78262</x:t>
        </x:is>
      </x:c>
      <x:c r="P5" s="4" t="inlineStr">
        <x:is>
          <x:t xml:space="preserve">Gailingen am Hochrhein</x:t>
        </x:is>
      </x:c>
      <x:c r="Q5" s="4" t="inlineStr">
        <x:is>
          <x:t xml:space="preserve">07734 86-0</x:t>
        </x:is>
      </x:c>
      <x:c r="R5" s="4" t="inlineStr">
        <x:is>
          <x:t xml:space="preserve">patientenmanagement@kliniken-schmieder.de</x:t>
        </x:is>
      </x:c>
      <x:c r="S5" s="4" t="inlineStr">
        <x:is>
          <x:t xml:space="preserve">https://www.kliniken-schmieder.de/kliniken-und-standorte/gailingen.html</x:t>
        </x:is>
      </x:c>
      <x:c r="T5" s="4" t="inlineStr">
        <x:is>
          <x:t xml:space="preserve">Dominik Stürmer</x:t>
        </x:is>
      </x:c>
      <x:c r="U5" s="4" t="inlineStr">
        <x:is>
          <x:t xml:space="preserve">zentrales Patientenmanagement</x:t>
        </x:is>
      </x:c>
      <x:c r="V5" s="4" t="inlineStr">
        <x:is>
          <x:t xml:space="preserve">07533 808-1960</x:t>
        </x:is>
      </x:c>
      <x:c r="W5" s="4" t="inlineStr">
        <x:is>
          <x:t xml:space="preserve">patientenmanagement@kliniken-schmieder.de</x:t>
        </x:is>
      </x:c>
      <x:c r="X5" s="4" t="n">
        <x:v>47.7024821</x:v>
      </x:c>
      <x:c r="Y5" s="4" t="n">
        <x:v>8.752075400000001</x:v>
      </x:c>
      <x:c r="Z5" s="4" t="inlineStr">
        <x:is>
          <x:t xml:space="preserve">A - Einrichtungspunkt verifiziert</x:t>
        </x:is>
      </x:c>
      <x:c r="AA5" s="4" t="inlineStr">
        <x:is>
          <x:t xml:space="preserve">2026-08-23</x:t>
        </x:is>
      </x:c>
      <x:c r="AB5" s="4" t="inlineStr">
        <x:is>
          <x:t xml:space="preserve">https://www.kliniken-schmieder.de/kliniken-und-standorte/gailingen/behandlungsspektrum.html</x:t>
        </x:is>
      </x:c>
      <x:c r="AC5" s="4" t="inlineStr">
        <x:is>
          <x:t xml:space="preserve">https://www.focus-gesundheit.de/top-rehaklinik/suche/besondere-expertise-risikopatienten?limit=25</x:t>
        </x:is>
      </x:c>
      <x:c r="AD5" s="4" t="inlineStr">
        <x:is>
          <x:t xml:space="preserve">freigegeben</x:t>
        </x:is>
      </x:c>
    </x:row>
    <x:row r="6">
      <x:c r="A6" s="4" t="inlineStr">
        <x:is>
          <x:t xml:space="preserve">BW</x:t>
        </x:is>
      </x:c>
      <x:c r="B6" s="4" t="inlineStr">
        <x:is>
          <x:t xml:space="preserve">Kliniken Schmieder Konstanz</x:t>
        </x:is>
      </x:c>
      <x:c r="C6" s="4" t="inlineStr">
        <x:is>
          <x:t xml:space="preserve">Kliniken Schmieder (Stiftung &amp; Co.) KG</x:t>
        </x:is>
      </x:c>
      <x:c r="D6" s="5" t="n"/>
      <x:c r="E6" s="5" t="n"/>
      <x:c r="F6" s="5" t="inlineStr">
        <x:is>
          <x:t xml:space="preserve">X</x:t>
        </x:is>
      </x:c>
      <x:c r="G6" s="5" t="inlineStr">
        <x:is>
          <x:t xml:space="preserve">X</x:t>
        </x:is>
      </x:c>
      <x:c r="H6" s="5" t="inlineStr">
        <x:is>
          <x:t xml:space="preserve">X</x:t>
        </x:is>
      </x:c>
      <x:c r="I6" s="4" t="inlineStr">
        <x:is>
          <x:t xml:space="preserve">C-E</x:t>
        </x:is>
      </x:c>
      <x:c r="J6" s="4" t="inlineStr">
        <x:is>
          <x:t xml:space="preserve">Neurologische Reha; MS; Psychotherapeutische Neurologie; Berufstherapie mit kognitivem Schwerpunkt; Tagesklinik</x:t>
        </x:is>
      </x:c>
      <x:c r="K6" s="4" t="inlineStr">
        <x:is>
          <x:t xml:space="preserve">aktuelle phasenspezifische Platzzahl nicht separat veröffentlicht</x:t>
        </x:is>
      </x:c>
      <x:c r="L6" s="4" t="n"/>
      <x:c r="M6" s="4" t="inlineStr">
        <x:is>
          <x:t xml:space="preserve">keine Phase B</x:t>
        </x:is>
      </x:c>
      <x:c r="N6" s="4" t="inlineStr">
        <x:is>
          <x:t xml:space="preserve">Eichhornstraße 68</x:t>
        </x:is>
      </x:c>
      <x:c r="O6" s="4" t="inlineStr">
        <x:is>
          <x:t xml:space="preserve">78464</x:t>
        </x:is>
      </x:c>
      <x:c r="P6" s="4" t="inlineStr">
        <x:is>
          <x:t xml:space="preserve">Konstanz</x:t>
        </x:is>
      </x:c>
      <x:c r="Q6" s="4" t="inlineStr">
        <x:is>
          <x:t xml:space="preserve">07531 986-0</x:t>
        </x:is>
      </x:c>
      <x:c r="R6" s="4" t="inlineStr">
        <x:is>
          <x:t xml:space="preserve">patientenmanagement@kliniken-schmieder.de</x:t>
        </x:is>
      </x:c>
      <x:c r="S6" s="4" t="inlineStr">
        <x:is>
          <x:t xml:space="preserve">https://www.kliniken-schmieder.de/kliniken-und-standorte/konstanz.html</x:t>
        </x:is>
      </x:c>
      <x:c r="T6" s="4" t="inlineStr">
        <x:is>
          <x:t xml:space="preserve">Dominik Stürmer</x:t>
        </x:is>
      </x:c>
      <x:c r="U6" s="4" t="inlineStr">
        <x:is>
          <x:t xml:space="preserve">zentrales Patientenmanagement</x:t>
        </x:is>
      </x:c>
      <x:c r="V6" s="4" t="inlineStr">
        <x:is>
          <x:t xml:space="preserve">07533 808-1960</x:t>
        </x:is>
      </x:c>
      <x:c r="W6" s="4" t="inlineStr">
        <x:is>
          <x:t xml:space="preserve">patientenmanagement@kliniken-schmieder.de</x:t>
        </x:is>
      </x:c>
      <x:c r="X6" s="4" t="n">
        <x:v>47.6654239</x:v>
      </x:c>
      <x:c r="Y6" s="4" t="n">
        <x:v>9.2031265</x:v>
      </x:c>
      <x:c r="Z6" s="4" t="inlineStr">
        <x:is>
          <x:t xml:space="preserve">A - Einrichtungspunkt verifiziert</x:t>
        </x:is>
      </x:c>
      <x:c r="AA6" s="4" t="inlineStr">
        <x:is>
          <x:t xml:space="preserve">2026-08-23</x:t>
        </x:is>
      </x:c>
      <x:c r="AB6" s="4" t="inlineStr">
        <x:is>
          <x:t xml:space="preserve">https://www.kliniken-schmieder.de/kliniken-und-standorte/konstanz.html</x:t>
        </x:is>
      </x:c>
      <x:c r="AC6" s="4" t="inlineStr">
        <x:is>
          <x:t xml:space="preserve">https://www.focus-gesundheit.de/top-rehaklinik/suche/besondere-expertise-risikopatienten?limit=25</x:t>
        </x:is>
      </x:c>
      <x:c r="AD6" s="4" t="inlineStr">
        <x:is>
          <x:t xml:space="preserve">freigegeben; aktuelle Standortseite maßgeblich: C/D/E</x:t>
        </x:is>
      </x:c>
    </x:row>
    <x:row r="7">
      <x:c r="A7" s="4" t="inlineStr">
        <x:is>
          <x:t xml:space="preserve">BW</x:t>
        </x:is>
      </x:c>
      <x:c r="B7" s="4" t="inlineStr">
        <x:is>
          <x:t xml:space="preserve">Kliniken Schmieder Stuttgart - Neurologische Tagesklinik</x:t>
        </x:is>
      </x:c>
      <x:c r="C7" s="4" t="inlineStr">
        <x:is>
          <x:t xml:space="preserve">Kliniken Schmieder (Stiftung &amp; Co.) KG</x:t>
        </x:is>
      </x:c>
      <x:c r="D7" s="5" t="n"/>
      <x:c r="E7" s="5" t="n"/>
      <x:c r="F7" s="5" t="n"/>
      <x:c r="G7" s="5" t="inlineStr">
        <x:is>
          <x:t xml:space="preserve">X</x:t>
        </x:is>
      </x:c>
      <x:c r="H7" s="5" t="inlineStr">
        <x:is>
          <x:t xml:space="preserve">X</x:t>
        </x:is>
      </x:c>
      <x:c r="I7" s="4" t="inlineStr">
        <x:is>
          <x:t xml:space="preserve">D/E teilstationär</x:t>
        </x:is>
      </x:c>
      <x:c r="J7" s="4" t="inlineStr">
        <x:is>
          <x:t xml:space="preserve">Ganztägig ambulante neurologische Rehabilitation; Arbeitserprobung/berufliche Wiedereingliederung</x:t>
        </x:is>
      </x:c>
      <x:c r="K7" s="4" t="inlineStr">
        <x:is>
          <x:t xml:space="preserve">50 Behandlungsplätze laut Standortdarstellung</x:t>
        </x:is>
      </x:c>
      <x:c r="L7" s="4" t="n"/>
      <x:c r="M7" s="4" t="inlineStr">
        <x:is>
          <x:t xml:space="preserve">keine Phase B</x:t>
        </x:is>
      </x:c>
      <x:c r="N7" s="4" t="inlineStr">
        <x:is>
          <x:t xml:space="preserve">Rötestraße 18a</x:t>
        </x:is>
      </x:c>
      <x:c r="O7" s="4" t="inlineStr">
        <x:is>
          <x:t xml:space="preserve">70197</x:t>
        </x:is>
      </x:c>
      <x:c r="P7" s="4" t="inlineStr">
        <x:is>
          <x:t xml:space="preserve">Stuttgart</x:t>
        </x:is>
      </x:c>
      <x:c r="Q7" s="4" t="inlineStr">
        <x:is>
          <x:t xml:space="preserve">0711 6140-500</x:t>
        </x:is>
      </x:c>
      <x:c r="R7" s="4" t="inlineStr">
        <x:is>
          <x:t xml:space="preserve">nrz-stuttgart@kliniken-schmieder.de</x:t>
        </x:is>
      </x:c>
      <x:c r="S7" s="4" t="inlineStr">
        <x:is>
          <x:t xml:space="preserve">https://www.kliniken-schmieder.de/kliniken-und-standorte/stuttgart.html</x:t>
        </x:is>
      </x:c>
      <x:c r="T7" s="4" t="inlineStr">
        <x:is>
          <x:t xml:space="preserve">Tagesklinik Stuttgart</x:t>
        </x:is>
      </x:c>
      <x:c r="U7" s="4" t="inlineStr">
        <x:is>
          <x:t xml:space="preserve">Aufnahme/Disposition</x:t>
        </x:is>
      </x:c>
      <x:c r="V7" s="4" t="inlineStr">
        <x:is>
          <x:t xml:space="preserve">0711 6140-500</x:t>
        </x:is>
      </x:c>
      <x:c r="W7" s="4" t="inlineStr">
        <x:is>
          <x:t xml:space="preserve">nrz-stuttgart@kliniken-schmieder.de</x:t>
        </x:is>
      </x:c>
      <x:c r="X7" s="4" t="n">
        <x:v>48.7697131</x:v>
      </x:c>
      <x:c r="Y7" s="4" t="n">
        <x:v>9.157292699999999</x:v>
      </x:c>
      <x:c r="Z7" s="4" t="inlineStr">
        <x:is>
          <x:t xml:space="preserve">A - Einrichtungspunkt verifiziert</x:t>
        </x:is>
      </x:c>
      <x:c r="AA7" s="4" t="inlineStr">
        <x:is>
          <x:t xml:space="preserve">2026-08-23</x:t>
        </x:is>
      </x:c>
      <x:c r="AB7" s="4" t="inlineStr">
        <x:is>
          <x:t xml:space="preserve">https://www.kliniken-schmieder.de/behandlungsspektrum/schwerpunkte-der-kliniken.html</x:t>
        </x:is>
      </x:c>
      <x:c r="AC7" s="4" t="inlineStr">
        <x:is>
          <x:t xml:space="preserve">https://www.focus-gesundheit.de/top-rehaklinik/suche/besondere-expertise-risikopatienten?limit=25</x:t>
        </x:is>
      </x:c>
      <x:c r="AD7" s="4" t="inlineStr">
        <x:is>
          <x:t xml:space="preserve">freigegeben; teilstationär</x:t>
        </x:is>
      </x:c>
    </x:row>
    <x:row r="8">
      <x:c r="A8" s="4" t="inlineStr">
        <x:is>
          <x:t xml:space="preserve">BW</x:t>
        </x:is>
      </x:c>
      <x:c r="B8" s="4" t="inlineStr">
        <x:is>
          <x:t xml:space="preserve">Hegau-Jugendwerk Gailingen</x:t>
        </x:is>
      </x:c>
      <x:c r="C8" s="4" t="inlineStr">
        <x:is>
          <x:t xml:space="preserve">Gesundheitsverbund Landkreis Konstanz gGmbH</x:t>
        </x:is>
      </x:c>
      <x:c r="D8" s="5" t="n"/>
      <x:c r="E8" s="5" t="inlineStr">
        <x:is>
          <x:t xml:space="preserve">X</x:t>
        </x:is>
      </x:c>
      <x:c r="F8" s="5" t="inlineStr">
        <x:is>
          <x:t xml:space="preserve">X</x:t>
        </x:is>
      </x:c>
      <x:c r="G8" s="5" t="inlineStr">
        <x:is>
          <x:t xml:space="preserve">X</x:t>
        </x:is>
      </x:c>
      <x:c r="H8" s="5" t="inlineStr">
        <x:is>
          <x:t xml:space="preserve">X</x:t>
        </x:is>
      </x:c>
      <x:c r="I8" s="4" t="inlineStr">
        <x:is>
          <x:t xml:space="preserve">B-E</x:t>
        </x:is>
      </x:c>
      <x:c r="J8" s="4" t="inlineStr">
        <x:is>
          <x:t xml:space="preserve">Kinder, Jugendliche, junge Erwachsene; Frühreha bis schulische/berufliche Wiedereingliederung; medizinisch-berufliche Reha</x:t>
        </x:is>
      </x:c>
      <x:c r="K8" s="4" t="inlineStr">
        <x:is>
          <x:t xml:space="preserve">203 Betten gesamt (38 Krankenhaus, 165 Rehabilitation; veröffentlichte Trägerangabe)</x:t>
        </x:is>
      </x:c>
      <x:c r="L8" s="4" t="n"/>
      <x:c r="M8" s="4" t="inlineStr">
        <x:is>
          <x:t xml:space="preserve">Intensiv-/Frührehabilitation, Dysphagie-/Kanülenversorgung</x:t>
        </x:is>
      </x:c>
      <x:c r="N8" s="4" t="inlineStr">
        <x:is>
          <x:t xml:space="preserve">Kapellenstraße 31</x:t>
        </x:is>
      </x:c>
      <x:c r="O8" s="4" t="inlineStr">
        <x:is>
          <x:t xml:space="preserve">78262</x:t>
        </x:is>
      </x:c>
      <x:c r="P8" s="4" t="inlineStr">
        <x:is>
          <x:t xml:space="preserve">Gailingen am Hochrhein</x:t>
        </x:is>
      </x:c>
      <x:c r="Q8" s="4" t="inlineStr">
        <x:is>
          <x:t xml:space="preserve">07734 939-0</x:t>
        </x:is>
      </x:c>
      <x:c r="R8" s="4" t="inlineStr">
        <x:is>
          <x:t xml:space="preserve">info@hegau-jugendwerk.de</x:t>
        </x:is>
      </x:c>
      <x:c r="S8" s="4" t="inlineStr">
        <x:is>
          <x:t xml:space="preserve">https://hegau-jugendwerk.de/</x:t>
        </x:is>
      </x:c>
      <x:c r="T8" s="4" t="inlineStr">
        <x:is>
          <x:t xml:space="preserve">Patientenaufnahme / Belegungsmanagement</x:t>
        </x:is>
      </x:c>
      <x:c r="U8" s="4" t="inlineStr">
        <x:is>
          <x:t xml:space="preserve">Aufnahme und Kostenklärung</x:t>
        </x:is>
      </x:c>
      <x:c r="V8" s="4" t="inlineStr">
        <x:is>
          <x:t xml:space="preserve">07734 939-220</x:t>
        </x:is>
      </x:c>
      <x:c r="W8" s="4" t="inlineStr">
        <x:is>
          <x:t xml:space="preserve">info@hegau-jugendwerk.de</x:t>
        </x:is>
      </x:c>
      <x:c r="X8" s="4" t="n">
        <x:v>47.68934</x:v>
      </x:c>
      <x:c r="Y8" s="4" t="n">
        <x:v>8.761148</x:v>
      </x:c>
      <x:c r="Z8" s="4" t="inlineStr">
        <x:is>
          <x:t xml:space="preserve">B - Hausadresse/Einrichtungszugang verifiziert</x:t>
        </x:is>
      </x:c>
      <x:c r="AA8" s="4" t="inlineStr">
        <x:is>
          <x:t xml:space="preserve">2026-08-23</x:t>
        </x:is>
      </x:c>
      <x:c r="AB8" s="4" t="inlineStr">
        <x:is>
          <x:t xml:space="preserve">https://hegau-jugendwerk.de/patienten-begleitpersonen/aufnahme/neurologische-rehabilitationsphasen</x:t>
        </x:is>
      </x:c>
      <x:c r="AC8" s="4" t="inlineStr">
        <x:is>
          <x:t xml:space="preserve">https://www.outdooractive.com/de/route/wanderung/bodenseewest/spaziergang-am-rheinuferpark-gailingen/804166511/</x:t>
        </x:is>
      </x:c>
      <x:c r="AD8" s="4" t="inlineStr">
        <x:is>
          <x:t xml:space="preserve">freigegeben; wichtiger Jugend-/junger-Erwachsenen-Standort</x:t>
        </x:is>
      </x:c>
    </x:row>
    <x:row r="9">
      <x:c r="A9" s="4" t="inlineStr">
        <x:is>
          <x:t xml:space="preserve">BW</x:t>
        </x:is>
      </x:c>
      <x:c r="B9" s="4" t="inlineStr">
        <x:is>
          <x:t xml:space="preserve">BDH-Klinik Elzach</x:t>
        </x:is>
      </x:c>
      <x:c r="C9" s="4" t="inlineStr">
        <x:is>
          <x:t xml:space="preserve">BDH Bundesverband Rehabilitation e.V.</x:t>
        </x:is>
      </x:c>
      <x:c r="D9" s="5" t="n"/>
      <x:c r="E9" s="5" t="inlineStr">
        <x:is>
          <x:t xml:space="preserve">X</x:t>
        </x:is>
      </x:c>
      <x:c r="F9" s="5" t="inlineStr">
        <x:is>
          <x:t xml:space="preserve">X</x:t>
        </x:is>
      </x:c>
      <x:c r="G9" s="5" t="inlineStr">
        <x:is>
          <x:t xml:space="preserve">X</x:t>
        </x:is>
      </x:c>
      <x:c r="H9" s="5" t="n"/>
      <x:c r="I9" s="4" t="inlineStr">
        <x:is>
          <x:t xml:space="preserve">B-D/AHB</x:t>
        </x:is>
      </x:c>
      <x:c r="J9" s="4" t="inlineStr">
        <x:is>
          <x:t xml:space="preserve">Neurologische Frührehabilitation und Rehabilitation; SHT, Schlaganfall, hypoxische Hirnschädigung; Beatmungs-/Intensivpflege</x:t>
        </x:is>
      </x:c>
      <x:c r="K9" s="4" t="inlineStr">
        <x:is>
          <x:t xml:space="preserve">207 Plätze: 135 Phase B + 72 C/D/AHB</x:t>
        </x:is>
      </x:c>
      <x:c r="L9" s="4" t="inlineStr">
        <x:is>
          <x:t xml:space="preserve">135</x:t>
        </x:is>
      </x:c>
      <x:c r="M9" s="4" t="inlineStr">
        <x:is>
          <x:t xml:space="preserve">Intensivpflege- und Beatmungsstation</x:t>
        </x:is>
      </x:c>
      <x:c r="N9" s="4" t="inlineStr">
        <x:is>
          <x:t xml:space="preserve">Am Tannwald 1-3</x:t>
        </x:is>
      </x:c>
      <x:c r="O9" s="4" t="inlineStr">
        <x:is>
          <x:t xml:space="preserve">79215</x:t>
        </x:is>
      </x:c>
      <x:c r="P9" s="4" t="inlineStr">
        <x:is>
          <x:t xml:space="preserve">Elzach</x:t>
        </x:is>
      </x:c>
      <x:c r="Q9" s="4" t="inlineStr">
        <x:is>
          <x:t xml:space="preserve">07682 801-0</x:t>
        </x:is>
      </x:c>
      <x:c r="R9" s="4" t="n"/>
      <x:c r="S9" s="4" t="inlineStr">
        <x:is>
          <x:t xml:space="preserve">https://www.bdh-klinik-elzach.de/</x:t>
        </x:is>
      </x:c>
      <x:c r="T9" s="4" t="inlineStr">
        <x:is>
          <x:t xml:space="preserve">Franziska Nitz / Michaela Dufner</x:t>
        </x:is>
      </x:c>
      <x:c r="U9" s="4" t="inlineStr">
        <x:is>
          <x:t xml:space="preserve">Aufnahmesekretariat</x:t>
        </x:is>
      </x:c>
      <x:c r="V9" s="4" t="inlineStr">
        <x:is>
          <x:t xml:space="preserve">07682 801-1160</x:t>
        </x:is>
      </x:c>
      <x:c r="W9" s="4" t="n"/>
      <x:c r="X9" s="4" t="n">
        <x:v>48.17472</x:v>
      </x:c>
      <x:c r="Y9" s="4" t="n">
        <x:v>8.08</x:v>
      </x:c>
      <x:c r="Z9" s="4" t="inlineStr">
        <x:is>
          <x:t xml:space="preserve">A/B - Klinikstandort und Hausadresse verifiziert</x:t>
        </x:is>
      </x:c>
      <x:c r="AA9" s="4" t="inlineStr">
        <x:is>
          <x:t xml:space="preserve">2026-08-23</x:t>
        </x:is>
      </x:c>
      <x:c r="AB9" s="4" t="inlineStr">
        <x:is>
          <x:t xml:space="preserve">https://www.bdh-klinik-elzach.de/bdh-klinik-elzach/klinikportrait/index.php</x:t>
        </x:is>
      </x:c>
      <x:c r="AC9" s="4" t="inlineStr">
        <x:is>
          <x:t xml:space="preserve">https://de.wikipedia.org/wiki/BDH-Klinik_Elzach</x:t>
        </x:is>
      </x:c>
      <x:c r="AD9" s="4" t="inlineStr">
        <x:is>
          <x:t xml:space="preserve">freigegeben</x:t>
        </x:is>
      </x:c>
    </x:row>
    <x:row r="10">
      <x:c r="A10" s="4" t="inlineStr">
        <x:is>
          <x:t xml:space="preserve">BW</x:t>
        </x:is>
      </x:c>
      <x:c r="B10" s="4" t="inlineStr">
        <x:is>
          <x:t xml:space="preserve">Fachkliniken Wangen - Klinik für Neurologie</x:t>
        </x:is>
      </x:c>
      <x:c r="C10" s="4" t="inlineStr">
        <x:is>
          <x:t xml:space="preserve">Waldburg-Zeil Kliniken / Fachkliniken Wangen</x:t>
        </x:is>
      </x:c>
      <x:c r="D10" s="5" t="n"/>
      <x:c r="E10" s="5" t="inlineStr">
        <x:is>
          <x:t xml:space="preserve">X</x:t>
        </x:is>
      </x:c>
      <x:c r="F10" s="5" t="inlineStr">
        <x:is>
          <x:t xml:space="preserve">X</x:t>
        </x:is>
      </x:c>
      <x:c r="G10" s="5" t="n"/>
      <x:c r="H10" s="5" t="n"/>
      <x:c r="I10" s="4" t="inlineStr">
        <x:is>
          <x:t xml:space="preserve">B-C</x:t>
        </x:is>
      </x:c>
      <x:c r="J10" s="4" t="inlineStr">
        <x:is>
          <x:t xml:space="preserve">Schwere neurologische Erkrankungen; SHT; Schlaganfall; Epilepsie; Dysphagie; Neuropsychologie</x:t>
        </x:is>
      </x:c>
      <x:c r="K10" s="4" t="inlineStr">
        <x:is>
          <x:t xml:space="preserve">aktuelle phasenspezifische Platzzahl öffentlich nicht eindeutig ausgewiesen</x:t>
        </x:is>
      </x:c>
      <x:c r="L10" s="4" t="n"/>
      <x:c r="M10" s="4" t="inlineStr">
        <x:is>
          <x:t xml:space="preserve">Phase B Krankenhausstatus</x:t>
        </x:is>
      </x:c>
      <x:c r="N10" s="4" t="inlineStr">
        <x:is>
          <x:t xml:space="preserve">Am Vogelherd 14</x:t>
        </x:is>
      </x:c>
      <x:c r="O10" s="4" t="inlineStr">
        <x:is>
          <x:t xml:space="preserve">88239</x:t>
        </x:is>
      </x:c>
      <x:c r="P10" s="4" t="inlineStr">
        <x:is>
          <x:t xml:space="preserve">Wangen im Allgäu</x:t>
        </x:is>
      </x:c>
      <x:c r="Q10" s="4" t="inlineStr">
        <x:is>
          <x:t xml:space="preserve">07522 797-0</x:t>
        </x:is>
      </x:c>
      <x:c r="R10" s="4" t="inlineStr">
        <x:is>
          <x:t xml:space="preserve">info@fachkliniken-wangen.de</x:t>
        </x:is>
      </x:c>
      <x:c r="S10" s="4" t="inlineStr">
        <x:is>
          <x:t xml:space="preserve">https://www.fachkliniken-wangen.de/</x:t>
        </x:is>
      </x:c>
      <x:c r="T10" s="4" t="inlineStr">
        <x:is>
          <x:t xml:space="preserve">Klinik für Neurologie / Aufnahme</x:t>
        </x:is>
      </x:c>
      <x:c r="U10" s="4" t="inlineStr">
        <x:is>
          <x:t xml:space="preserve">funktionaler Aufnahmekontakt</x:t>
        </x:is>
      </x:c>
      <x:c r="V10" s="4" t="inlineStr">
        <x:is>
          <x:t xml:space="preserve">07522 797-1218</x:t>
        </x:is>
      </x:c>
      <x:c r="W10" s="4" t="inlineStr">
        <x:is>
          <x:t xml:space="preserve">info@neurologische-klinik-wangen.de</x:t>
        </x:is>
      </x:c>
      <x:c r="X10" s="4" t="n">
        <x:v>47.69884</x:v>
      </x:c>
      <x:c r="Y10" s="4" t="n">
        <x:v>9.8362</x:v>
      </x:c>
      <x:c r="Z10" s="4" t="inlineStr">
        <x:is>
          <x:t xml:space="preserve">B - Hausadresse verifiziert; adressbezogener Kartenpunkt</x:t>
        </x:is>
      </x:c>
      <x:c r="AA10" s="4" t="inlineStr">
        <x:is>
          <x:t xml:space="preserve">2026-08-23</x:t>
        </x:is>
      </x:c>
      <x:c r="AB10" s="4" t="inlineStr">
        <x:is>
          <x:t xml:space="preserve">https://www.fachkliniken-wangen.de/bibliothek/FK_Wangen/pdf/Klinikprofile/FKW_Neurologie__Klinikprofil.pdf</x:t>
        </x:is>
      </x:c>
      <x:c r="AC10" s="4" t="inlineStr">
        <x:is>
          <x:t xml:space="preserve">https://www.landesarchiv-bw.de/</x:t>
        </x:is>
      </x:c>
      <x:c r="AD10" s="4" t="inlineStr">
        <x:is>
          <x:t xml:space="preserve">freigegeben</x:t>
        </x:is>
      </x:c>
    </x:row>
    <x:row r="11">
      <x:c r="A11" s="4" t="inlineStr">
        <x:is>
          <x:t xml:space="preserve">BW</x:t>
        </x:is>
      </x:c>
      <x:c r="B11" s="4" t="inlineStr">
        <x:is>
          <x:t xml:space="preserve">Schlossklinik Bad Buchau - Neurologie</x:t>
        </x:is>
      </x:c>
      <x:c r="C11" s="4" t="inlineStr">
        <x:is>
          <x:t xml:space="preserve">Schlossklinik Bad Buchau gGmbH</x:t>
        </x:is>
      </x:c>
      <x:c r="D11" s="5" t="n"/>
      <x:c r="E11" s="5" t="n"/>
      <x:c r="F11" s="5" t="inlineStr">
        <x:is>
          <x:t xml:space="preserve">X</x:t>
        </x:is>
      </x:c>
      <x:c r="G11" s="5" t="inlineStr">
        <x:is>
          <x:t xml:space="preserve">X</x:t>
        </x:is>
      </x:c>
      <x:c r="H11" s="5" t="n"/>
      <x:c r="I11" s="4" t="inlineStr">
        <x:is>
          <x:t xml:space="preserve">C-D</x:t>
        </x:is>
      </x:c>
      <x:c r="J11" s="4" t="inlineStr">
        <x:is>
          <x:t xml:space="preserve">Neurologische Anschlussrehabilitation; Schlaganfall; SHT; neurochirurgische Erkrankungen; Sprach-/Sprech-/Schluckstörungen</x:t>
        </x:is>
      </x:c>
      <x:c r="K11" s="4" t="inlineStr">
        <x:is>
          <x:t xml:space="preserve">rund 90 Betten Neurologie</x:t>
        </x:is>
      </x:c>
      <x:c r="L11" s="4" t="n"/>
      <x:c r="M11" s="4" t="inlineStr">
        <x:is>
          <x:t xml:space="preserve">Trachealkanüle laut Phase-C-Anmeldung Ausschlusskriterium</x:t>
        </x:is>
      </x:c>
      <x:c r="N11" s="4" t="inlineStr">
        <x:is>
          <x:t xml:space="preserve">Schlossplatz 2</x:t>
        </x:is>
      </x:c>
      <x:c r="O11" s="4" t="inlineStr">
        <x:is>
          <x:t xml:space="preserve">88422</x:t>
        </x:is>
      </x:c>
      <x:c r="P11" s="4" t="inlineStr">
        <x:is>
          <x:t xml:space="preserve">Bad Buchau</x:t>
        </x:is>
      </x:c>
      <x:c r="Q11" s="4" t="inlineStr">
        <x:is>
          <x:t xml:space="preserve">07582 807-0</x:t>
        </x:is>
      </x:c>
      <x:c r="R11" s="4" t="inlineStr">
        <x:is>
          <x:t xml:space="preserve">info@schlossklinik-buchau.de</x:t>
        </x:is>
      </x:c>
      <x:c r="S11" s="4" t="inlineStr">
        <x:is>
          <x:t xml:space="preserve">https://schlossklinik-buchau.de/neurologie/</x:t>
        </x:is>
      </x:c>
      <x:c r="T11" s="4" t="inlineStr">
        <x:is>
          <x:t xml:space="preserve">Patientenaufnahme</x:t>
        </x:is>
      </x:c>
      <x:c r="U11" s="4" t="inlineStr">
        <x:is>
          <x:t xml:space="preserve">Aufnahme</x:t>
        </x:is>
      </x:c>
      <x:c r="V11" s="4" t="inlineStr">
        <x:is>
          <x:t xml:space="preserve">07582 807-518</x:t>
        </x:is>
      </x:c>
      <x:c r="W11" s="4" t="inlineStr">
        <x:is>
          <x:t xml:space="preserve">info@schlossklinik-buchau.de</x:t>
        </x:is>
      </x:c>
      <x:c r="X11" s="4" t="n">
        <x:v>48.06775</x:v>
      </x:c>
      <x:c r="Y11" s="4" t="n">
        <x:v>9.610950000000001</x:v>
      </x:c>
      <x:c r="Z11" s="4" t="inlineStr">
        <x:is>
          <x:t xml:space="preserve">A - Einrichtungspunkt verifiziert</x:t>
        </x:is>
      </x:c>
      <x:c r="AA11" s="4" t="inlineStr">
        <x:is>
          <x:t xml:space="preserve">2026-08-23</x:t>
        </x:is>
      </x:c>
      <x:c r="AB11" s="4" t="inlineStr">
        <x:is>
          <x:t xml:space="preserve">https://schlossklinik-buchau.de/neurologie/</x:t>
        </x:is>
      </x:c>
      <x:c r="AC11" s="4" t="inlineStr">
        <x:is>
          <x:t xml:space="preserve">https://mapcarta.com/de/N8059588740</x:t>
        </x:is>
      </x:c>
      <x:c r="AD11" s="4" t="inlineStr">
        <x:is>
          <x:t xml:space="preserve">freigegeben</x:t>
        </x:is>
      </x:c>
    </x:row>
    <x:row r="12">
      <x:c r="A12" s="4" t="inlineStr">
        <x:is>
          <x:t xml:space="preserve">BW</x:t>
        </x:is>
      </x:c>
      <x:c r="B12" s="4" t="inlineStr">
        <x:is>
          <x:t xml:space="preserve">Stephanuswerk Isny - Bildungszentrum</x:t>
        </x:is>
      </x:c>
      <x:c r="C12" s="4" t="inlineStr">
        <x:is>
          <x:t xml:space="preserve">Evangelische Heimstiftung GmbH</x:t>
        </x:is>
      </x:c>
      <x:c r="D12" s="5" t="n"/>
      <x:c r="E12" s="5" t="n"/>
      <x:c r="F12" s="5" t="n"/>
      <x:c r="G12" s="5" t="n"/>
      <x:c r="H12" s="5" t="inlineStr">
        <x:is>
          <x:t xml:space="preserve">X</x:t>
        </x:is>
      </x:c>
      <x:c r="I12" s="4" t="inlineStr">
        <x:is>
          <x:t xml:space="preserve">Phase E / berufliche Anschlussrehabilitation</x:t>
        </x:is>
      </x:c>
      <x:c r="J12" s="4" t="inlineStr">
        <x:is>
          <x:t xml:space="preserve">Berufliche Rehabilitation/LTA; Reha-Assessment, Eignungsabklärung, Arbeitserprobung, Ausbildung/Umschulung; ergänzender Phase-E-Baustein</x:t>
        </x:is>
      </x:c>
      <x:c r="K12" s="4" t="inlineStr">
        <x:is>
          <x:t xml:space="preserve">keine medizinischen Reha-Betten; Bildungs-/LTA-Angebot</x:t>
        </x:is>
      </x:c>
      <x:c r="L12" s="4" t="n"/>
      <x:c r="M12" s="4" t="inlineStr">
        <x:is>
          <x:t xml:space="preserve">keine medizinische Phase B</x:t>
        </x:is>
      </x:c>
      <x:c r="N12" s="4" t="inlineStr">
        <x:is>
          <x:t xml:space="preserve">Maierhöfener Straße 56</x:t>
        </x:is>
      </x:c>
      <x:c r="O12" s="4" t="inlineStr">
        <x:is>
          <x:t xml:space="preserve">88316</x:t>
        </x:is>
      </x:c>
      <x:c r="P12" s="4" t="inlineStr">
        <x:is>
          <x:t xml:space="preserve">Isny im Allgäu</x:t>
        </x:is>
      </x:c>
      <x:c r="Q12" s="4" t="inlineStr">
        <x:is>
          <x:t xml:space="preserve">07562 74-0</x:t>
        </x:is>
      </x:c>
      <x:c r="R12" s="4" t="inlineStr">
        <x:is>
          <x:t xml:space="preserve">bildungszentrum.stephanuswerk@ev-heimstiftung.de</x:t>
        </x:is>
      </x:c>
      <x:c r="S12" s="4" t="inlineStr">
        <x:is>
          <x:t xml:space="preserve">https://www.stephanuswerk-isny.de/bildungszentrum/</x:t>
        </x:is>
      </x:c>
      <x:c r="T12" s="4" t="inlineStr">
        <x:is>
          <x:t xml:space="preserve">Aufnahmebüro Bildungszentrum</x:t>
        </x:is>
      </x:c>
      <x:c r="U12" s="4" t="inlineStr">
        <x:is>
          <x:t xml:space="preserve">Aufnahme berufliche Rehabilitation</x:t>
        </x:is>
      </x:c>
      <x:c r="V12" s="4" t="inlineStr">
        <x:is>
          <x:t xml:space="preserve">07562 74-1700</x:t>
        </x:is>
      </x:c>
      <x:c r="W12" s="4" t="inlineStr">
        <x:is>
          <x:t xml:space="preserve">bildungszentrum.stephanuswerk@ev-heimstiftung.de</x:t>
        </x:is>
      </x:c>
      <x:c r="X12" s="4" t="n">
        <x:v>47.684787</x:v>
      </x:c>
      <x:c r="Y12" s="4" t="n">
        <x:v>10.038184</x:v>
      </x:c>
      <x:c r="Z12" s="4" t="inlineStr">
        <x:is>
          <x:t xml:space="preserve">B - Hausadresse verifiziert</x:t>
        </x:is>
      </x:c>
      <x:c r="AA12" s="4" t="inlineStr">
        <x:is>
          <x:t xml:space="preserve">2026-08-23</x:t>
        </x:is>
      </x:c>
      <x:c r="AB12" s="4" t="inlineStr">
        <x:is>
          <x:t xml:space="preserve">https://www.stephanuswerk-isny.de/bildungszentrum/</x:t>
        </x:is>
      </x:c>
      <x:c r="AC12" s="4" t="inlineStr">
        <x:is>
          <x:t xml:space="preserve">https://www.outdooractive.com/en/gastro/allgaeu/werkhaus-mit-tagescafe/39599302/</x:t>
        </x:is>
      </x:c>
      <x:c r="AD12" s="4" t="inlineStr">
        <x:is>
          <x:t xml:space="preserve">freigegeben; bewusst als Phase-E-/LTA-Ergänzung, nicht als medizinische A-D-Klinik</x:t>
        </x:is>
      </x:c>
    </x:row>
    <x:row r="13">
      <x:c r="A13" s="4" t="inlineStr">
        <x:is>
          <x:t xml:space="preserve">HE</x:t>
        </x:is>
      </x:c>
      <x:c r="B13" s="4" t="inlineStr">
        <x:is>
          <x:t xml:space="preserve">BDH-Klinik Braunfels</x:t>
        </x:is>
      </x:c>
      <x:c r="C13" s="4" t="inlineStr">
        <x:is>
          <x:t xml:space="preserve">BDH Bundesverband Rehabilitation e.V.</x:t>
        </x:is>
      </x:c>
      <x:c r="D13" s="5" t="inlineStr">
        <x:is>
          <x:t xml:space="preserve">X</x:t>
        </x:is>
      </x:c>
      <x:c r="E13" s="5" t="inlineStr">
        <x:is>
          <x:t xml:space="preserve">X</x:t>
        </x:is>
      </x:c>
      <x:c r="F13" s="5" t="inlineStr">
        <x:is>
          <x:t xml:space="preserve">X</x:t>
        </x:is>
      </x:c>
      <x:c r="G13" s="5" t="inlineStr">
        <x:is>
          <x:t xml:space="preserve">X</x:t>
        </x:is>
      </x:c>
      <x:c r="H13" s="5" t="inlineStr">
        <x:is>
          <x:t xml:space="preserve">X</x:t>
        </x:is>
      </x:c>
      <x:c r="I13" s="4" t="inlineStr">
        <x:is>
          <x:t xml:space="preserve">A-E</x:t>
        </x:is>
      </x:c>
      <x:c r="J13" s="4" t="inlineStr">
        <x:is>
          <x:t xml:space="preserve">Akutneurologie/Stroke Unit/Intensiv; Frühreha; neurologische Rehabilitation; berufliche Reintegration im BDH-Phasenmodell</x:t>
        </x:is>
      </x:c>
      <x:c r="K13" s="4" t="inlineStr">
        <x:is>
          <x:t xml:space="preserve">200 Betten gesamt: 62 Akut, 138 Reha</x:t>
        </x:is>
      </x:c>
      <x:c r="L13" s="4" t="n"/>
      <x:c r="M13" s="4" t="inlineStr">
        <x:is>
          <x:t xml:space="preserve">Beatmungsplätze/Intensivmedizin</x:t>
        </x:is>
      </x:c>
      <x:c r="N13" s="4" t="inlineStr">
        <x:is>
          <x:t xml:space="preserve">Hubertusstraße 3-7</x:t>
        </x:is>
      </x:c>
      <x:c r="O13" s="4" t="inlineStr">
        <x:is>
          <x:t xml:space="preserve">35619</x:t>
        </x:is>
      </x:c>
      <x:c r="P13" s="4" t="inlineStr">
        <x:is>
          <x:t xml:space="preserve">Braunfels</x:t>
        </x:is>
      </x:c>
      <x:c r="Q13" s="4" t="inlineStr">
        <x:is>
          <x:t xml:space="preserve">06442 936-0</x:t>
        </x:is>
      </x:c>
      <x:c r="R13" s="4" t="inlineStr">
        <x:is>
          <x:t xml:space="preserve">info@bdh-klinik-braunfels.de</x:t>
        </x:is>
      </x:c>
      <x:c r="S13" s="4" t="inlineStr">
        <x:is>
          <x:t xml:space="preserve">https://www.bdh-klinik-braunfels.de/</x:t>
        </x:is>
      </x:c>
      <x:c r="T13" s="4" t="inlineStr">
        <x:is>
          <x:t xml:space="preserve">Zentrale / Patientenaufnahme</x:t>
        </x:is>
      </x:c>
      <x:c r="U13" s="4" t="inlineStr">
        <x:is>
          <x:t xml:space="preserve">Aufnahmekontakt</x:t>
        </x:is>
      </x:c>
      <x:c r="V13" s="4" t="inlineStr">
        <x:is>
          <x:t xml:space="preserve">06442 936-0</x:t>
        </x:is>
      </x:c>
      <x:c r="W13" s="4" t="inlineStr">
        <x:is>
          <x:t xml:space="preserve">info@bdh-klinik-braunfels.de</x:t>
        </x:is>
      </x:c>
      <x:c r="X13" s="4" t="n">
        <x:v>50.51483</x:v>
      </x:c>
      <x:c r="Y13" s="4" t="n">
        <x:v>8.394539999999999</x:v>
      </x:c>
      <x:c r="Z13" s="4" t="inlineStr">
        <x:is>
          <x:t xml:space="preserve">A/B - Klinikstandort/Adresse verifiziert</x:t>
        </x:is>
      </x:c>
      <x:c r="AA13" s="4" t="inlineStr">
        <x:is>
          <x:t xml:space="preserve">2026-08-23</x:t>
        </x:is>
      </x:c>
      <x:c r="AB13" s="4" t="inlineStr">
        <x:is>
          <x:t xml:space="preserve">https://www.bdh-reha.de/de/kliniken/medizinische-leistungen.php</x:t>
        </x:is>
      </x:c>
      <x:c r="AC13" s="4" t="inlineStr">
        <x:is>
          <x:t xml:space="preserve">https://www.bdh-klinik-braunfels.de/bdh-klinik-braunfels/kontakt/</x:t>
        </x:is>
      </x:c>
      <x:c r="AD13" s="4" t="inlineStr">
        <x:is>
          <x:t xml:space="preserve">freigegeben</x:t>
        </x:is>
      </x:c>
    </x:row>
    <x:row r="14">
      <x:c r="A14" s="4" t="inlineStr">
        <x:is>
          <x:t xml:space="preserve">HE</x:t>
        </x:is>
      </x:c>
      <x:c r="B14" s="4" t="inlineStr">
        <x:is>
          <x:t xml:space="preserve">MEDIAN Klinik NRZ Wiesbaden</x:t>
        </x:is>
      </x:c>
      <x:c r="C14" s="4" t="inlineStr">
        <x:is>
          <x:t xml:space="preserve">MEDIAN Klinik NRZ Wiesbaden GmbH</x:t>
        </x:is>
      </x:c>
      <x:c r="D14" s="5" t="n"/>
      <x:c r="E14" s="5" t="inlineStr">
        <x:is>
          <x:t xml:space="preserve">X</x:t>
        </x:is>
      </x:c>
      <x:c r="F14" s="5" t="inlineStr">
        <x:is>
          <x:t xml:space="preserve">X</x:t>
        </x:is>
      </x:c>
      <x:c r="G14" s="5" t="inlineStr">
        <x:is>
          <x:t xml:space="preserve">X</x:t>
        </x:is>
      </x:c>
      <x:c r="H14" s="5" t="n"/>
      <x:c r="I14" s="4" t="inlineStr">
        <x:is>
          <x:t xml:space="preserve">B-D</x:t>
        </x:is>
      </x:c>
      <x:c r="J14" s="4" t="inlineStr">
        <x:is>
          <x:t xml:space="preserve">Neurologisch-neurochirurgische Frührehabilitation; Anschlussrehabilitation/AHB; Intervallrehabilitation</x:t>
        </x:is>
      </x:c>
      <x:c r="K14" s="4" t="inlineStr">
        <x:is>
          <x:t xml:space="preserve">129 Betten: 55 B, 47 C, 27 D</x:t>
        </x:is>
      </x:c>
      <x:c r="L14" s="4" t="inlineStr">
        <x:is>
          <x:t xml:space="preserve">55</x:t>
        </x:is>
      </x:c>
      <x:c r="M14" s="4" t="inlineStr">
        <x:is>
          <x:t xml:space="preserve">Phase B / neurologische Frührehabilitation</x:t>
        </x:is>
      </x:c>
      <x:c r="N14" s="4" t="inlineStr">
        <x:is>
          <x:t xml:space="preserve">Aukammallee 39</x:t>
        </x:is>
      </x:c>
      <x:c r="O14" s="4" t="inlineStr">
        <x:is>
          <x:t xml:space="preserve">65191</x:t>
        </x:is>
      </x:c>
      <x:c r="P14" s="4" t="inlineStr">
        <x:is>
          <x:t xml:space="preserve">Wiesbaden</x:t>
        </x:is>
      </x:c>
      <x:c r="Q14" s="4" t="inlineStr">
        <x:is>
          <x:t xml:space="preserve">0611 436816</x:t>
        </x:is>
      </x:c>
      <x:c r="R14" s="4" t="inlineStr">
        <x:is>
          <x:t xml:space="preserve">kontakt.nrz-wiesbaden@median-kliniken.de</x:t>
        </x:is>
      </x:c>
      <x:c r="S14" s="4" t="inlineStr">
        <x:is>
          <x:t xml:space="preserve">https://www.median-kliniken.de/de/klinik-nrz-wiesbaden/</x:t>
        </x:is>
      </x:c>
      <x:c r="T14" s="4" t="inlineStr">
        <x:is>
          <x:t xml:space="preserve">Casemanagement / Sozialdienst</x:t>
        </x:is>
      </x:c>
      <x:c r="U14" s="4" t="inlineStr">
        <x:is>
          <x:t xml:space="preserve">Aufnahme-/Fallmanagement</x:t>
        </x:is>
      </x:c>
      <x:c r="V14" s="4" t="inlineStr">
        <x:is>
          <x:t xml:space="preserve">0611 43-60</x:t>
        </x:is>
      </x:c>
      <x:c r="W14" s="4" t="inlineStr">
        <x:is>
          <x:t xml:space="preserve">Casemanagement.NRZ@median-kliniken.de</x:t>
        </x:is>
      </x:c>
      <x:c r="X14" s="4" t="n">
        <x:v>50.08754</x:v>
      </x:c>
      <x:c r="Y14" s="4" t="n">
        <x:v>8.274699999999999</x:v>
      </x:c>
      <x:c r="Z14" s="4" t="inlineStr">
        <x:is>
          <x:t xml:space="preserve">A/B - Klinikstandort/Adresse verifiziert</x:t>
        </x:is>
      </x:c>
      <x:c r="AA14" s="4" t="inlineStr">
        <x:is>
          <x:t xml:space="preserve">2026-08-23</x:t>
        </x:is>
      </x:c>
      <x:c r="AB14" s="4" t="inlineStr">
        <x:is>
          <x:t xml:space="preserve">https://www.median-kliniken.de/de/klinik-nrz-wiesbaden/unsere-klinik/</x:t>
        </x:is>
      </x:c>
      <x:c r="AC14" s="4" t="inlineStr">
        <x:is>
          <x:t xml:space="preserve">https://www.median-kliniken.de/de/klinik-nrz-wiesbaden/rechtliches/impressum/</x:t>
        </x:is>
      </x:c>
      <x:c r="AD14" s="4" t="inlineStr">
        <x:is>
          <x:t xml:space="preserve">freigegeben</x:t>
        </x:is>
      </x:c>
    </x:row>
    <x:row r="15">
      <x:c r="A15" s="4" t="inlineStr">
        <x:is>
          <x:t xml:space="preserve">HE</x:t>
        </x:is>
      </x:c>
      <x:c r="B15" s="4" t="inlineStr">
        <x:is>
          <x:t xml:space="preserve">Asklepios Neurologische Klinik Bad Salzhausen</x:t>
        </x:is>
      </x:c>
      <x:c r="C15" s="4" t="inlineStr">
        <x:is>
          <x:t xml:space="preserve">Asklepios Kliniken</x:t>
        </x:is>
      </x:c>
      <x:c r="D15" s="5" t="n"/>
      <x:c r="E15" s="5" t="inlineStr">
        <x:is>
          <x:t xml:space="preserve">X</x:t>
        </x:is>
      </x:c>
      <x:c r="F15" s="5" t="inlineStr">
        <x:is>
          <x:t xml:space="preserve">X</x:t>
        </x:is>
      </x:c>
      <x:c r="G15" s="5" t="inlineStr">
        <x:is>
          <x:t xml:space="preserve">X</x:t>
        </x:is>
      </x:c>
      <x:c r="H15" s="5" t="n"/>
      <x:c r="I15" s="4" t="inlineStr">
        <x:is>
          <x:t xml:space="preserve">B-D</x:t>
        </x:is>
      </x:c>
      <x:c r="J15" s="4" t="inlineStr">
        <x:is>
          <x:t xml:space="preserve">Neurologische Frührehabilitation; Weaning; Stroke Unit; stationäre neurologische Rehabilitation</x:t>
        </x:is>
      </x:c>
      <x:c r="K15" s="4" t="inlineStr">
        <x:is>
          <x:t xml:space="preserve">159 Betten laut aktueller Klinikseite; Versorgungsverträge teils höher ausgewiesen</x:t>
        </x:is>
      </x:c>
      <x:c r="L15" s="4" t="n"/>
      <x:c r="M15" s="4" t="inlineStr">
        <x:is>
          <x:t xml:space="preserve">zertifiziertes Weaning-Zentrum; Intensiv/Stroke Unit</x:t>
        </x:is>
      </x:c>
      <x:c r="N15" s="4" t="inlineStr">
        <x:is>
          <x:t xml:space="preserve">Am Hasensprung 6</x:t>
        </x:is>
      </x:c>
      <x:c r="O15" s="4" t="inlineStr">
        <x:is>
          <x:t xml:space="preserve">63667</x:t>
        </x:is>
      </x:c>
      <x:c r="P15" s="4" t="inlineStr">
        <x:is>
          <x:t xml:space="preserve">Nidda - Bad Salzhausen</x:t>
        </x:is>
      </x:c>
      <x:c r="Q15" s="4" t="inlineStr">
        <x:is>
          <x:t xml:space="preserve">06043 804-0</x:t>
        </x:is>
      </x:c>
      <x:c r="R15" s="4" t="inlineStr">
        <x:is>
          <x:t xml:space="preserve">info.badsalzhausen@asklepios.com</x:t>
        </x:is>
      </x:c>
      <x:c r="S15" s="4" t="inlineStr">
        <x:is>
          <x:t xml:space="preserve">https://www.asklepios.com/bad-salzhausen</x:t>
        </x:is>
      </x:c>
      <x:c r="T15" s="4" t="inlineStr">
        <x:is>
          <x:t xml:space="preserve">Annette Fuß</x:t>
        </x:is>
      </x:c>
      <x:c r="U15" s="4" t="inlineStr">
        <x:is>
          <x:t xml:space="preserve">Aufnahmemanagement</x:t>
        </x:is>
      </x:c>
      <x:c r="V15" s="4" t="inlineStr">
        <x:is>
          <x:t xml:space="preserve">06043 804-214</x:t>
        </x:is>
      </x:c>
      <x:c r="W15" s="4" t="n"/>
      <x:c r="X15" s="4" t="n">
        <x:v>50.419514</x:v>
      </x:c>
      <x:c r="Y15" s="4" t="n">
        <x:v>8.98856</x:v>
      </x:c>
      <x:c r="Z15" s="4" t="inlineStr">
        <x:is>
          <x:t xml:space="preserve">B - Hausadresse verifiziert</x:t>
        </x:is>
      </x:c>
      <x:c r="AA15" s="4" t="inlineStr">
        <x:is>
          <x:t xml:space="preserve">2026-08-23</x:t>
        </x:is>
      </x:c>
      <x:c r="AB15" s="4" t="inlineStr">
        <x:is>
          <x:t xml:space="preserve">https://www.asklepios.com/bad-salzhausen/abteilungen-spezialistinnen/abteilungen/neurologische-rehabilitation</x:t>
        </x:is>
      </x:c>
      <x:c r="AC15" s="4" t="inlineStr">
        <x:is>
          <x:t xml:space="preserve">https://www.dastelefonbuch.de/Details/Nidda/Krankenh%C3%A4user-und-Kliniken-Asklepios-Neurologische-Klinik-Nidda-Am-Hasensprung.html</x:t>
        </x:is>
      </x:c>
      <x:c r="AD15" s="4" t="inlineStr">
        <x:is>
          <x:t xml:space="preserve">freigegeben</x:t>
        </x:is>
      </x:c>
    </x:row>
    <x:row r="16">
      <x:c r="A16" s="4" t="inlineStr">
        <x:is>
          <x:t xml:space="preserve">HE</x:t>
        </x:is>
      </x:c>
      <x:c r="B16" s="4" t="inlineStr">
        <x:is>
          <x:t xml:space="preserve">Asklepios Paulinen Klinik - Neurologische Frührehabilitation</x:t>
        </x:is>
      </x:c>
      <x:c r="C16" s="4" t="inlineStr">
        <x:is>
          <x:t xml:space="preserve">Asklepios Paulinen Klinik Wiesbaden</x:t>
        </x:is>
      </x:c>
      <x:c r="D16" s="5" t="n"/>
      <x:c r="E16" s="5" t="inlineStr">
        <x:is>
          <x:t xml:space="preserve">X</x:t>
        </x:is>
      </x:c>
      <x:c r="F16" s="5" t="n"/>
      <x:c r="G16" s="5" t="n"/>
      <x:c r="H16" s="5" t="n"/>
      <x:c r="I16" s="4" t="inlineStr">
        <x:is>
          <x:t xml:space="preserve">B</x:t>
        </x:is>
      </x:c>
      <x:c r="J16" s="4" t="inlineStr">
        <x:is>
          <x:t xml:space="preserve">Neurologische Frührehabilitation Phase B; intensivpflichtige Patienten; Beatmungsentwöhnung</x:t>
        </x:is>
      </x:c>
      <x:c r="K16" s="4" t="inlineStr">
        <x:is>
          <x:t xml:space="preserve">aktuelle spezifische Phase-B-Platzzahl öffentlich nicht eindeutig ausgewiesen</x:t>
        </x:is>
      </x:c>
      <x:c r="L16" s="4" t="n"/>
      <x:c r="M16" s="4" t="inlineStr">
        <x:is>
          <x:t xml:space="preserve">Intensivmedizin und Weaning</x:t>
        </x:is>
      </x:c>
      <x:c r="N16" s="4" t="inlineStr">
        <x:is>
          <x:t xml:space="preserve">Geisenheimer Straße 10</x:t>
        </x:is>
      </x:c>
      <x:c r="O16" s="4" t="inlineStr">
        <x:is>
          <x:t xml:space="preserve">65197</x:t>
        </x:is>
      </x:c>
      <x:c r="P16" s="4" t="inlineStr">
        <x:is>
          <x:t xml:space="preserve">Wiesbaden</x:t>
        </x:is>
      </x:c>
      <x:c r="Q16" s="4" t="inlineStr">
        <x:is>
          <x:t xml:space="preserve">0611 847-2501</x:t>
        </x:is>
      </x:c>
      <x:c r="R16" s="4" t="n"/>
      <x:c r="S16" s="4" t="inlineStr">
        <x:is>
          <x:t xml:space="preserve">https://www.asklepios.com/wiesbaden/abteilungen-spezialistinnen/abteilungen/neurologische-fruehrehabilitation</x:t>
        </x:is>
      </x:c>
      <x:c r="T16" s="4" t="inlineStr">
        <x:is>
          <x:t xml:space="preserve">Klinik Neurologische Frührehabilitation</x:t>
        </x:is>
      </x:c>
      <x:c r="U16" s="4" t="inlineStr">
        <x:is>
          <x:t xml:space="preserve">fachbezogener Aufnahmekontakt</x:t>
        </x:is>
      </x:c>
      <x:c r="V16" s="4" t="inlineStr">
        <x:is>
          <x:t xml:space="preserve">0611 847-2501</x:t>
        </x:is>
      </x:c>
      <x:c r="W16" s="4" t="n"/>
      <x:c r="X16" s="4" t="n">
        <x:v>50.07278</x:v>
      </x:c>
      <x:c r="Y16" s="4" t="n">
        <x:v>8.226940000000001</x:v>
      </x:c>
      <x:c r="Z16" s="4" t="inlineStr">
        <x:is>
          <x:t xml:space="preserve">B - Hausadresse/GPS verifiziert</x:t>
        </x:is>
      </x:c>
      <x:c r="AA16" s="4" t="inlineStr">
        <x:is>
          <x:t xml:space="preserve">2026-08-23</x:t>
        </x:is>
      </x:c>
      <x:c r="AB16" s="4" t="inlineStr">
        <x:is>
          <x:t xml:space="preserve">https://www.asklepios.com/wiesbaden/abteilungen-spezialistinnen/abteilungen/neurologische-fruehrehabilitation</x:t>
        </x:is>
      </x:c>
      <x:c r="AC16" s="4" t="inlineStr">
        <x:is>
          <x:t xml:space="preserve">https://home.army.mil/wiesbaden/6015/9404/2473/WAHC_Guide_to_Services_and_Host_Nation_Care_FEB_20.pdf</x:t>
        </x:is>
      </x:c>
      <x:c r="AD16" s="4" t="inlineStr">
        <x:is>
          <x:t xml:space="preserve">freigegeben</x:t>
        </x:is>
      </x:c>
    </x:row>
    <x:row r="17">
      <x:c r="A17" s="4" t="inlineStr">
        <x:is>
          <x:t xml:space="preserve">HE</x:t>
        </x:is>
      </x:c>
      <x:c r="B17" s="4" t="inlineStr">
        <x:is>
          <x:t xml:space="preserve">Medical Park Bad Camberg</x:t>
        </x:is>
      </x:c>
      <x:c r="C17" s="4" t="inlineStr">
        <x:is>
          <x:t xml:space="preserve">Medical Park Bad Camberg GmbH &amp; Co. KG</x:t>
        </x:is>
      </x:c>
      <x:c r="D17" s="5" t="n"/>
      <x:c r="E17" s="5" t="inlineStr">
        <x:is>
          <x:t xml:space="preserve">X</x:t>
        </x:is>
      </x:c>
      <x:c r="F17" s="5" t="inlineStr">
        <x:is>
          <x:t xml:space="preserve">X</x:t>
        </x:is>
      </x:c>
      <x:c r="G17" s="5" t="inlineStr">
        <x:is>
          <x:t xml:space="preserve">X</x:t>
        </x:is>
      </x:c>
      <x:c r="H17" s="5" t="n"/>
      <x:c r="I17" s="4" t="inlineStr">
        <x:is>
          <x:t xml:space="preserve">B-D</x:t>
        </x:is>
      </x:c>
      <x:c r="J17" s="4" t="inlineStr">
        <x:is>
          <x:t xml:space="preserve">Neurologische Frührehabilitation; weiterführende neurologische Reha; SHT, Schlaganfall, neurochirurgische Zustände</x:t>
        </x:is>
      </x:c>
      <x:c r="K17" s="4" t="inlineStr">
        <x:is>
          <x:t xml:space="preserve">aktuelle Gesamt-/Phasenplatzzahl öffentlich nicht eindeutig ausgewiesen</x:t>
        </x:is>
      </x:c>
      <x:c r="L17" s="4" t="n"/>
      <x:c r="M17" s="4" t="inlineStr">
        <x:is>
          <x:t xml:space="preserve">Phase B Krankenhausleistung; Neurologische Intensivmedizin</x:t>
        </x:is>
      </x:c>
      <x:c r="N17" s="4" t="inlineStr">
        <x:is>
          <x:t xml:space="preserve">Obertorstraße 100-102</x:t>
        </x:is>
      </x:c>
      <x:c r="O17" s="4" t="inlineStr">
        <x:is>
          <x:t xml:space="preserve">65520</x:t>
        </x:is>
      </x:c>
      <x:c r="P17" s="4" t="inlineStr">
        <x:is>
          <x:t xml:space="preserve">Bad Camberg</x:t>
        </x:is>
      </x:c>
      <x:c r="Q17" s="4" t="inlineStr">
        <x:is>
          <x:t xml:space="preserve">06434 919-0</x:t>
        </x:is>
      </x:c>
      <x:c r="R17" s="4" t="inlineStr">
        <x:is>
          <x:t xml:space="preserve">badcamberg@medicalpark.de</x:t>
        </x:is>
      </x:c>
      <x:c r="S17" s="4" t="inlineStr">
        <x:is>
          <x:t xml:space="preserve">https://badcamberg.medicalpark.de/</x:t>
        </x:is>
      </x:c>
      <x:c r="T17" s="4" t="inlineStr">
        <x:is>
          <x:t xml:space="preserve">Zentrale Reservierung</x:t>
        </x:is>
      </x:c>
      <x:c r="U17" s="4" t="inlineStr">
        <x:is>
          <x:t xml:space="preserve">Aufnahme/Reservierung</x:t>
        </x:is>
      </x:c>
      <x:c r="V17" s="4" t="inlineStr">
        <x:is>
          <x:t xml:space="preserve">0800 8008 900</x:t>
        </x:is>
      </x:c>
      <x:c r="W17" s="4" t="inlineStr">
        <x:is>
          <x:t xml:space="preserve">reservierung-badcamberg@medicalpark.de</x:t>
        </x:is>
      </x:c>
      <x:c r="X17" s="4" t="n">
        <x:v>50.29748</x:v>
      </x:c>
      <x:c r="Y17" s="4" t="n">
        <x:v>8.282830000000001</x:v>
      </x:c>
      <x:c r="Z17" s="4" t="inlineStr">
        <x:is>
          <x:t xml:space="preserve">A - Klinikgebäude verifiziert</x:t>
        </x:is>
      </x:c>
      <x:c r="AA17" s="4" t="inlineStr">
        <x:is>
          <x:t xml:space="preserve">2026-08-23</x:t>
        </x:is>
      </x:c>
      <x:c r="AB17" s="4" t="inlineStr">
        <x:is>
          <x:t xml:space="preserve">https://badcamberg.medicalpark.de/</x:t>
        </x:is>
      </x:c>
      <x:c r="AC17" s="4" t="inlineStr">
        <x:is>
          <x:t xml:space="preserve">https://mapcarta.com/W25041806</x:t>
        </x:is>
      </x:c>
      <x:c r="AD17" s="4" t="inlineStr">
        <x:is>
          <x:t xml:space="preserve">freigegeben</x:t>
        </x:is>
      </x:c>
    </x:row>
    <x:row r="18">
      <x:c r="A18" s="4" t="inlineStr">
        <x:is>
          <x:t xml:space="preserve">HE</x:t>
        </x:is>
      </x:c>
      <x:c r="B18" s="4" t="inlineStr">
        <x:is>
          <x:t xml:space="preserve">Neurologische Klinik Westend Bad Wildungen</x:t>
        </x:is>
      </x:c>
      <x:c r="C18" s="4" t="inlineStr">
        <x:is>
          <x:t xml:space="preserve">Neurologische Klinik Westend</x:t>
        </x:is>
      </x:c>
      <x:c r="D18" s="5" t="n"/>
      <x:c r="E18" s="5" t="inlineStr">
        <x:is>
          <x:t xml:space="preserve">X</x:t>
        </x:is>
      </x:c>
      <x:c r="F18" s="5" t="inlineStr">
        <x:is>
          <x:t xml:space="preserve">X</x:t>
        </x:is>
      </x:c>
      <x:c r="G18" s="5" t="inlineStr">
        <x:is>
          <x:t xml:space="preserve">X</x:t>
        </x:is>
      </x:c>
      <x:c r="H18" s="5" t="n"/>
      <x:c r="I18" s="4" t="inlineStr">
        <x:is>
          <x:t xml:space="preserve">B; C/D fortführbar</x:t>
        </x:is>
      </x:c>
      <x:c r="J18" s="4" t="inlineStr">
        <x:is>
          <x:t xml:space="preserve">Neurologische Frührehabilitation; Intensiv-/IMC-Versorgung; weiterführende Rehabilitation C/D wird angeboten/fortgeführt</x:t>
        </x:is>
      </x:c>
      <x:c r="K18" s="4" t="inlineStr">
        <x:is>
          <x:t xml:space="preserve">ca. 140 Betten; davon 26 Intensiv und 24 IMC laut aktueller Stellen-/Klinikangabe</x:t>
        </x:is>
      </x:c>
      <x:c r="L18" s="4" t="n"/>
      <x:c r="M18" s="4" t="inlineStr">
        <x:is>
          <x:t xml:space="preserve">26 Intensiv + 24 IMC</x:t>
        </x:is>
      </x:c>
      <x:c r="N18" s="4" t="inlineStr">
        <x:is>
          <x:t xml:space="preserve">Dr.-Born-Straße 9</x:t>
        </x:is>
      </x:c>
      <x:c r="O18" s="4" t="inlineStr">
        <x:is>
          <x:t xml:space="preserve">34537</x:t>
        </x:is>
      </x:c>
      <x:c r="P18" s="4" t="inlineStr">
        <x:is>
          <x:t xml:space="preserve">Bad Wildungen</x:t>
        </x:is>
      </x:c>
      <x:c r="Q18" s="4" t="inlineStr">
        <x:is>
          <x:t xml:space="preserve">05621 794-0</x:t>
        </x:is>
      </x:c>
      <x:c r="R18" s="4" t="inlineStr">
        <x:is>
          <x:t xml:space="preserve">info@nkw-bw.de</x:t>
        </x:is>
      </x:c>
      <x:c r="S18" s="4" t="inlineStr">
        <x:is>
          <x:t xml:space="preserve">https://www.nkw-bw.de/</x:t>
        </x:is>
      </x:c>
      <x:c r="T18" s="4" t="inlineStr">
        <x:is>
          <x:t xml:space="preserve">Zentrale / Aufnahme</x:t>
        </x:is>
      </x:c>
      <x:c r="U18" s="4" t="inlineStr">
        <x:is>
          <x:t xml:space="preserve">Aufnahmekontakt</x:t>
        </x:is>
      </x:c>
      <x:c r="V18" s="4" t="inlineStr">
        <x:is>
          <x:t xml:space="preserve">05621 794-0</x:t>
        </x:is>
      </x:c>
      <x:c r="W18" s="4" t="inlineStr">
        <x:is>
          <x:t xml:space="preserve">info@nkw-bw.de</x:t>
        </x:is>
      </x:c>
      <x:c r="X18" s="4" t="n">
        <x:v>51.1123</x:v>
      </x:c>
      <x:c r="Y18" s="4" t="n">
        <x:v>9.108230000000001</x:v>
      </x:c>
      <x:c r="Z18" s="4" t="inlineStr">
        <x:is>
          <x:t xml:space="preserve">B - Hausadresse verifiziert</x:t>
        </x:is>
      </x:c>
      <x:c r="AA18" s="4" t="inlineStr">
        <x:is>
          <x:t xml:space="preserve">2026-08-23</x:t>
        </x:is>
      </x:c>
      <x:c r="AB18" s="4" t="inlineStr">
        <x:is>
          <x:t xml:space="preserve">https://www.nkw-bw.de/</x:t>
        </x:is>
      </x:c>
      <x:c r="AC18" s="4" t="inlineStr">
        <x:is>
          <x:t xml:space="preserve">https://www.nkw-bw.de/</x:t>
        </x:is>
      </x:c>
      <x:c r="AD18" s="4" t="inlineStr">
        <x:is>
          <x:t xml:space="preserve">freigegeben; C/D im Hinweis differenziert darstellen</x:t>
        </x:is>
      </x:c>
    </x:row>
    <x:row r="19">
      <x:c r="A19" s="4" t="inlineStr">
        <x:is>
          <x:t xml:space="preserve">RP</x:t>
        </x:is>
      </x:c>
      <x:c r="B19" s="4" t="inlineStr">
        <x:is>
          <x:t xml:space="preserve">BDH-Klinik Vallendar</x:t>
        </x:is>
      </x:c>
      <x:c r="C19" s="4" t="inlineStr">
        <x:is>
          <x:t xml:space="preserve">BDH Bundesverband Rehabilitation e.V.</x:t>
        </x:is>
      </x:c>
      <x:c r="D19" s="5" t="n"/>
      <x:c r="E19" s="5" t="inlineStr">
        <x:is>
          <x:t xml:space="preserve">X</x:t>
        </x:is>
      </x:c>
      <x:c r="F19" s="5" t="inlineStr">
        <x:is>
          <x:t xml:space="preserve">X</x:t>
        </x:is>
      </x:c>
      <x:c r="G19" s="5" t="inlineStr">
        <x:is>
          <x:t xml:space="preserve">X</x:t>
        </x:is>
      </x:c>
      <x:c r="H19" s="5" t="inlineStr">
        <x:is>
          <x:t xml:space="preserve">X</x:t>
        </x:is>
      </x:c>
      <x:c r="I19" s="4" t="inlineStr">
        <x:is>
          <x:t xml:space="preserve">B-E</x:t>
        </x:is>
      </x:c>
      <x:c r="J19" s="4" t="inlineStr">
        <x:is>
          <x:t xml:space="preserve">Frührehabilitation; C/D; medizinisch-berufliche Rehabilitation/Phase E; Beatmungsmedizin</x:t>
        </x:is>
      </x:c>
      <x:c r="K19" s="4" t="inlineStr">
        <x:is>
          <x:t xml:space="preserve">aktuelle phasenspezifische Gesamtplatzzahl öffentlich nicht eindeutig ausgewiesen</x:t>
        </x:is>
      </x:c>
      <x:c r="L19" s="4" t="n"/>
      <x:c r="M19" s="4" t="inlineStr">
        <x:is>
          <x:t xml:space="preserve">Frühreha mit intensivmedizinischer Betreuung/Beatmung</x:t>
        </x:is>
      </x:c>
      <x:c r="N19" s="4" t="inlineStr">
        <x:is>
          <x:t xml:space="preserve">Heerstraße 54a</x:t>
        </x:is>
      </x:c>
      <x:c r="O19" s="4" t="inlineStr">
        <x:is>
          <x:t xml:space="preserve">56179</x:t>
        </x:is>
      </x:c>
      <x:c r="P19" s="4" t="inlineStr">
        <x:is>
          <x:t xml:space="preserve">Vallendar</x:t>
        </x:is>
      </x:c>
      <x:c r="Q19" s="4" t="inlineStr">
        <x:is>
          <x:t xml:space="preserve">0261 6405-0</x:t>
        </x:is>
      </x:c>
      <x:c r="R19" s="4" t="inlineStr">
        <x:is>
          <x:t xml:space="preserve">aufnahme@bdh-klinik-vallendar.de</x:t>
        </x:is>
      </x:c>
      <x:c r="S19" s="4" t="inlineStr">
        <x:is>
          <x:t xml:space="preserve">https://www.bdh-klinik-vallendar.de/</x:t>
        </x:is>
      </x:c>
      <x:c r="T19" s="4" t="inlineStr">
        <x:is>
          <x:t xml:space="preserve">Alexandra Grunwald / Antje Balbach</x:t>
        </x:is>
      </x:c>
      <x:c r="U19" s="4" t="inlineStr">
        <x:is>
          <x:t xml:space="preserve">Patientenkoordination</x:t>
        </x:is>
      </x:c>
      <x:c r="V19" s="4" t="inlineStr">
        <x:is>
          <x:t xml:space="preserve">0261 6405-195</x:t>
        </x:is>
      </x:c>
      <x:c r="W19" s="4" t="inlineStr">
        <x:is>
          <x:t xml:space="preserve">aufnahme@bdh-klinik-vallendar.de</x:t>
        </x:is>
      </x:c>
      <x:c r="X19" s="4" t="n">
        <x:v>50.39986</x:v>
      </x:c>
      <x:c r="Y19" s="4" t="n">
        <x:v>7.61164</x:v>
      </x:c>
      <x:c r="Z19" s="4" t="inlineStr">
        <x:is>
          <x:t xml:space="preserve">A/B - Klinikstandort/Adresse verifiziert</x:t>
        </x:is>
      </x:c>
      <x:c r="AA19" s="4" t="inlineStr">
        <x:is>
          <x:t xml:space="preserve">2026-08-23</x:t>
        </x:is>
      </x:c>
      <x:c r="AB19" s="4" t="inlineStr">
        <x:is>
          <x:t xml:space="preserve">https://www.bdh-klinik-vallendar.de/bdh-klinik-vallendar/leistungen/reha-leistungen.php</x:t>
        </x:is>
      </x:c>
      <x:c r="AC19" s="4" t="inlineStr">
        <x:is>
          <x:t xml:space="preserve">https://www.bdh-klinik-vallendar.de/</x:t>
        </x:is>
      </x:c>
      <x:c r="AD19" s="4" t="inlineStr">
        <x:is>
          <x:t xml:space="preserve">freigegeben; Phase E/MBR besonders relevant</x:t>
        </x:is>
      </x:c>
    </x:row>
    <x:row r="20">
      <x:c r="A20" s="4" t="inlineStr">
        <x:is>
          <x:t xml:space="preserve">RP</x:t>
        </x:is>
      </x:c>
      <x:c r="B20" s="4" t="inlineStr">
        <x:is>
          <x:t xml:space="preserve">Westpfalz-Klinikum Kusel - Neurologische/neurochirurgische Frührehabilitation</x:t>
        </x:is>
      </x:c>
      <x:c r="C20" s="4" t="inlineStr">
        <x:is>
          <x:t xml:space="preserve">Westpfalz-Klinikum GmbH</x:t>
        </x:is>
      </x:c>
      <x:c r="D20" s="5" t="n"/>
      <x:c r="E20" s="5" t="inlineStr">
        <x:is>
          <x:t xml:space="preserve">X</x:t>
        </x:is>
      </x:c>
      <x:c r="F20" s="5" t="n"/>
      <x:c r="G20" s="5" t="n"/>
      <x:c r="H20" s="5" t="n"/>
      <x:c r="I20" s="4" t="inlineStr">
        <x:is>
          <x:t xml:space="preserve">B</x:t>
        </x:is>
      </x:c>
      <x:c r="J20" s="4" t="inlineStr">
        <x:is>
          <x:t xml:space="preserve">Neurologische und neurochirurgische Frührehabilitation; schwere neurologische Schädigungen; Direktverlegung Akutphase B</x:t>
        </x:is>
      </x:c>
      <x:c r="K20" s="4" t="inlineStr">
        <x:is>
          <x:t xml:space="preserve">aktuelle spezifische Bettenzahl öffentlich nicht eindeutig ausgewiesen</x:t>
        </x:is>
      </x:c>
      <x:c r="L20" s="4" t="n"/>
      <x:c r="M20" s="4" t="inlineStr">
        <x:is>
          <x:t xml:space="preserve">Akutphase B; intensivnahe Versorgung</x:t>
        </x:is>
      </x:c>
      <x:c r="N20" s="4" t="inlineStr">
        <x:is>
          <x:t xml:space="preserve">Im Flur 1</x:t>
        </x:is>
      </x:c>
      <x:c r="O20" s="4" t="inlineStr">
        <x:is>
          <x:t xml:space="preserve">66869</x:t>
        </x:is>
      </x:c>
      <x:c r="P20" s="4" t="inlineStr">
        <x:is>
          <x:t xml:space="preserve">Kusel</x:t>
        </x:is>
      </x:c>
      <x:c r="Q20" s="4" t="inlineStr">
        <x:is>
          <x:t xml:space="preserve">06381 93-5424</x:t>
        </x:is>
      </x:c>
      <x:c r="R20" s="4" t="inlineStr">
        <x:is>
          <x:t xml:space="preserve">fruehr@westpfalz-klinikum.de</x:t>
        </x:is>
      </x:c>
      <x:c r="S20" s="4" t="inlineStr">
        <x:is>
          <x:t xml:space="preserve">https://www.westpfalz-klinikum.de/</x:t>
        </x:is>
      </x:c>
      <x:c r="T20" s="4" t="inlineStr">
        <x:is>
          <x:t xml:space="preserve">Dr. Heiko Bittmann / Sekretariat Frührehabilitation</x:t>
        </x:is>
      </x:c>
      <x:c r="U20" s="4" t="inlineStr">
        <x:is>
          <x:t xml:space="preserve">Chefarzt / Anmeldung</x:t>
        </x:is>
      </x:c>
      <x:c r="V20" s="4" t="inlineStr">
        <x:is>
          <x:t xml:space="preserve">06381 93-5424</x:t>
        </x:is>
      </x:c>
      <x:c r="W20" s="4" t="inlineStr">
        <x:is>
          <x:t xml:space="preserve">fruehr@westpfalz-klinikum.de</x:t>
        </x:is>
      </x:c>
      <x:c r="X20" s="4" t="n">
        <x:v>49.546</x:v>
      </x:c>
      <x:c r="Y20" s="4" t="n">
        <x:v>7.37777</x:v>
      </x:c>
      <x:c r="Z20" s="4" t="inlineStr">
        <x:is>
          <x:t xml:space="preserve">B - Krankenhausstandort/Adresse verifiziert</x:t>
        </x:is>
      </x:c>
      <x:c r="AA20" s="4" t="inlineStr">
        <x:is>
          <x:t xml:space="preserve">2026-08-23</x:t>
        </x:is>
      </x:c>
      <x:c r="AB20" s="4" t="inlineStr">
        <x:is>
          <x:t xml:space="preserve">https://www.westpfalz-klinikum.de/</x:t>
        </x:is>
      </x:c>
      <x:c r="AC20" s="4" t="inlineStr">
        <x:is>
          <x:t xml:space="preserve">https://www.westpfalz-klinikum.de/</x:t>
        </x:is>
      </x:c>
      <x:c r="AD20" s="4" t="inlineStr">
        <x:is>
          <x:t xml:space="preserve">freigegeben</x:t>
        </x:is>
      </x:c>
    </x:row>
    <x:row r="21">
      <x:c r="A21" s="4" t="inlineStr">
        <x:is>
          <x:t xml:space="preserve">BW</x:t>
        </x:is>
      </x:c>
      <x:c r="B21" s="4" t="inlineStr">
        <x:is>
          <x:t xml:space="preserve">SRH Gesundheitszentrum Waldbronn</x:t>
        </x:is>
      </x:c>
      <x:c r="C21" s="4" t="inlineStr">
        <x:is>
          <x:t xml:space="preserve">SRH Gesundheitszentren Nordschwarzwald GmbH</x:t>
        </x:is>
      </x:c>
      <x:c r="D21" s="5" t="n"/>
      <x:c r="E21" s="5" t="n"/>
      <x:c r="F21" s="5" t="inlineStr">
        <x:is>
          <x:t xml:space="preserve">X</x:t>
        </x:is>
      </x:c>
      <x:c r="G21" s="5" t="inlineStr">
        <x:is>
          <x:t xml:space="preserve">X</x:t>
        </x:is>
      </x:c>
      <x:c r="H21" s="5" t="n"/>
      <x:c r="I21" s="4" t="inlineStr">
        <x:is>
          <x:t xml:space="preserve">C-D</x:t>
        </x:is>
      </x:c>
      <x:c r="J21" s="4" t="inlineStr">
        <x:is>
          <x:t xml:space="preserve">Neurologische Rehabilitation Phase C und D; Schlaganfall, SHT, Parkinson, MS; berufliche Reintegration</x:t>
        </x:is>
      </x:c>
      <x:c r="K21" s="4" t="inlineStr">
        <x:is>
          <x:t xml:space="preserve">aktuelle phasenspezifische Platzzahl öffentlich nicht separat ausgewiesen</x:t>
        </x:is>
      </x:c>
      <x:c r="L21" s="4" t="n"/>
      <x:c r="M21" s="4" t="inlineStr">
        <x:is>
          <x:t xml:space="preserve">keine Phase B</x:t>
        </x:is>
      </x:c>
      <x:c r="N21" s="4" t="inlineStr">
        <x:is>
          <x:t xml:space="preserve">Gisela-und-Hans-Ruland-Straße 1</x:t>
        </x:is>
      </x:c>
      <x:c r="O21" s="4" t="inlineStr">
        <x:is>
          <x:t xml:space="preserve">76337</x:t>
        </x:is>
      </x:c>
      <x:c r="P21" s="4" t="inlineStr">
        <x:is>
          <x:t xml:space="preserve">Waldbronn</x:t>
        </x:is>
      </x:c>
      <x:c r="Q21" s="4" t="inlineStr">
        <x:is>
          <x:t xml:space="preserve">07243 603-0</x:t>
        </x:is>
      </x:c>
      <x:c r="R21" s="4" t="inlineStr">
        <x:is>
          <x:t xml:space="preserve">patientenaufnahme.gns@srh.de</x:t>
        </x:is>
      </x:c>
      <x:c r="S21" s="4" t="inlineStr">
        <x:is>
          <x:t xml:space="preserve">https://www.gesundheitszentren-nordschwarzwald.de/fachabteilungen/unsere-fachbereiche/neurologie/</x:t>
        </x:is>
      </x:c>
      <x:c r="T21" s="4" t="inlineStr">
        <x:is>
          <x:t xml:space="preserve">Patientenaufnahme / Dr. Andreea-Oana Moser-Barsan</x:t>
        </x:is>
      </x:c>
      <x:c r="U21" s="4" t="inlineStr">
        <x:is>
          <x:t xml:space="preserve">Patientenaufnahme / Chefärztin Neurologie</x:t>
        </x:is>
      </x:c>
      <x:c r="V21" s="4" t="inlineStr">
        <x:is>
          <x:t xml:space="preserve">07083 926-4444 / 07243 603-2727</x:t>
        </x:is>
      </x:c>
      <x:c r="W21" s="4" t="inlineStr">
        <x:is>
          <x:t xml:space="preserve">patientenaufnahme.gns@srh.de</x:t>
        </x:is>
      </x:c>
      <x:c r="X21" s="4" t="n">
        <x:v>48.92585</x:v>
      </x:c>
      <x:c r="Y21" s="4" t="n">
        <x:v>8.4701</x:v>
      </x:c>
      <x:c r="Z21" s="4" t="inlineStr">
        <x:is>
          <x:t xml:space="preserve">A - Klinikgebäude verifiziert</x:t>
        </x:is>
      </x:c>
      <x:c r="AA21" s="4" t="inlineStr">
        <x:is>
          <x:t xml:space="preserve">2026-08-23</x:t>
        </x:is>
      </x:c>
      <x:c r="AB21" s="4" t="inlineStr">
        <x:is>
          <x:t xml:space="preserve">https://www.gesundheitszentren-nordschwarzwald.de/fachabteilungen/unsere-fachbereiche/neurologie/</x:t>
        </x:is>
      </x:c>
      <x:c r="AC21" s="4" t="inlineStr">
        <x:is>
          <x:t xml:space="preserve">https://mapcarta.com/de/W1012206495</x:t>
        </x:is>
      </x:c>
      <x:c r="AD21" s="4" t="inlineStr">
        <x:is>
          <x:t xml:space="preserve">neu ergänzt nach Vollständigkeitsabgleich</x:t>
        </x:is>
      </x:c>
    </x:row>
    <x:row r="22">
      <x:c r="A22" s="4" t="inlineStr">
        <x:is>
          <x:t xml:space="preserve">BW</x:t>
        </x:is>
      </x:c>
      <x:c r="B22" s="4" t="inlineStr">
        <x:is>
          <x:t xml:space="preserve">Olgabad Rehaklinik</x:t>
        </x:is>
      </x:c>
      <x:c r="C22" s="4" t="inlineStr">
        <x:is>
          <x:t xml:space="preserve">Olgabad Rehaklinik GmbH &amp; Co. KG</x:t>
        </x:is>
      </x:c>
      <x:c r="D22" s="5" t="n"/>
      <x:c r="E22" s="5" t="n"/>
      <x:c r="F22" s="5" t="inlineStr">
        <x:is>
          <x:t xml:space="preserve">X</x:t>
        </x:is>
      </x:c>
      <x:c r="G22" s="5" t="inlineStr">
        <x:is>
          <x:t xml:space="preserve">X</x:t>
        </x:is>
      </x:c>
      <x:c r="H22" s="5" t="n"/>
      <x:c r="I22" s="4" t="inlineStr">
        <x:is>
          <x:t xml:space="preserve">C-D / AHB</x:t>
        </x:is>
      </x:c>
      <x:c r="J22" s="4" t="inlineStr">
        <x:is>
          <x:t xml:space="preserve">Neurologische Rehabilitation nach Schlaganfall, SHT, MS; Zentrum für Schluckstörungen</x:t>
        </x:is>
      </x:c>
      <x:c r="K22" s="4" t="inlineStr">
        <x:is>
          <x:t xml:space="preserve">75-81 Betten gesamt je nach aktueller Veröffentlichung; keine phasenspezifische Aufteilung</x:t>
        </x:is>
      </x:c>
      <x:c r="L22" s="4" t="n"/>
      <x:c r="M22" s="4" t="inlineStr">
        <x:is>
          <x:t xml:space="preserve">keine Phase B</x:t>
        </x:is>
      </x:c>
      <x:c r="N22" s="4" t="inlineStr">
        <x:is>
          <x:t xml:space="preserve">Olgastraße 7-13</x:t>
        </x:is>
      </x:c>
      <x:c r="O22" s="4" t="inlineStr">
        <x:is>
          <x:t xml:space="preserve">75323</x:t>
        </x:is>
      </x:c>
      <x:c r="P22" s="4" t="inlineStr">
        <x:is>
          <x:t xml:space="preserve">Bad Wildbad</x:t>
        </x:is>
      </x:c>
      <x:c r="Q22" s="4" t="inlineStr">
        <x:is>
          <x:t xml:space="preserve">07081 1701-0</x:t>
        </x:is>
      </x:c>
      <x:c r="R22" s="4" t="inlineStr">
        <x:is>
          <x:t xml:space="preserve">info@olgabad.de</x:t>
        </x:is>
      </x:c>
      <x:c r="S22" s="4" t="inlineStr">
        <x:is>
          <x:t xml:space="preserve">https://www.olgabad-rehaklinik.de/</x:t>
        </x:is>
      </x:c>
      <x:c r="T22" s="4" t="inlineStr">
        <x:is>
          <x:t xml:space="preserve">Claudia Volz / Bettina Schulz / Vera Mager</x:t>
        </x:is>
      </x:c>
      <x:c r="U22" s="4" t="inlineStr">
        <x:is>
          <x:t xml:space="preserve">Belegungsmanagement und Patientenverwaltung</x:t>
        </x:is>
      </x:c>
      <x:c r="V22" s="4" t="inlineStr">
        <x:is>
          <x:t xml:space="preserve">07081 1701-0 / 07081 1701-2000</x:t>
        </x:is>
      </x:c>
      <x:c r="W22" s="4" t="inlineStr">
        <x:is>
          <x:t xml:space="preserve">c.volz@olgabad.de</x:t>
        </x:is>
      </x:c>
      <x:c r="X22" s="4" t="n">
        <x:v>48.74873</x:v>
      </x:c>
      <x:c r="Y22" s="4" t="n">
        <x:v>8.55125</x:v>
      </x:c>
      <x:c r="Z22" s="4" t="inlineStr">
        <x:is>
          <x:t xml:space="preserve">A - Einrichtungspunkt verifiziert</x:t>
        </x:is>
      </x:c>
      <x:c r="AA22" s="4" t="inlineStr">
        <x:is>
          <x:t xml:space="preserve">2026-08-23</x:t>
        </x:is>
      </x:c>
      <x:c r="AB22" s="4" t="inlineStr">
        <x:is>
          <x:t xml:space="preserve">https://www.olgabad-rehaklinik.de/olgabad-rehaklinik/ ; https://www.olgabad-rehaklinik.de/leistungen/ansprechpartner/</x:t>
        </x:is>
      </x:c>
      <x:c r="AC22" s="4" t="inlineStr">
        <x:is>
          <x:t xml:space="preserve">https://www.outdooractive.com/de/poi/schwarzwald/olgabad-klinik/801992828/</x:t>
        </x:is>
      </x:c>
      <x:c r="AD22" s="4" t="inlineStr">
        <x:is>
          <x:t xml:space="preserve">neu ergänzt nach Vollständigkeitsabgleich</x:t>
        </x:is>
      </x:c>
    </x:row>
    <x:row r="23">
      <x:c r="A23" s="4" t="inlineStr">
        <x:is>
          <x:t xml:space="preserve">BW</x:t>
        </x:is>
      </x:c>
      <x:c r="B23" s="4" t="inlineStr">
        <x:is>
          <x:t xml:space="preserve">cts Klinik Stöckenhöfe</x:t>
        </x:is>
      </x:c>
      <x:c r="C23" s="4" t="inlineStr">
        <x:is>
          <x:t xml:space="preserve">cts Rehakliniken Baden-Württemberg GmbH</x:t>
        </x:is>
      </x:c>
      <x:c r="D23" s="5" t="n"/>
      <x:c r="E23" s="5" t="n"/>
      <x:c r="F23" s="5" t="inlineStr">
        <x:is>
          <x:t xml:space="preserve">X</x:t>
        </x:is>
      </x:c>
      <x:c r="G23" s="5" t="inlineStr">
        <x:is>
          <x:t xml:space="preserve">X</x:t>
        </x:is>
      </x:c>
      <x:c r="H23" s="5" t="n"/>
      <x:c r="I23" s="4" t="inlineStr">
        <x:is>
          <x:t xml:space="preserve">C-D</x:t>
        </x:is>
      </x:c>
      <x:c r="J23" s="4" t="inlineStr">
        <x:is>
          <x:t xml:space="preserve">Stationäre und ganztägig ambulante neurologische Rehabilitation; Schlaganfall, SHT, MS, neurochirurgische Folgen</x:t>
        </x:is>
      </x:c>
      <x:c r="K23" s="4" t="inlineStr">
        <x:is>
          <x:t xml:space="preserve">169 Betten Klinik gesamt; neurologische Teilkapazität nicht separat veröffentlicht</x:t>
        </x:is>
      </x:c>
      <x:c r="L23" s="4" t="n"/>
      <x:c r="M23" s="4" t="inlineStr">
        <x:is>
          <x:t xml:space="preserve">keine Phase B</x:t>
        </x:is>
      </x:c>
      <x:c r="N23" s="4" t="inlineStr">
        <x:is>
          <x:t xml:space="preserve">Stöckenhöfe 1</x:t>
        </x:is>
      </x:c>
      <x:c r="O23" s="4" t="inlineStr">
        <x:is>
          <x:t xml:space="preserve">79299</x:t>
        </x:is>
      </x:c>
      <x:c r="P23" s="4" t="inlineStr">
        <x:is>
          <x:t xml:space="preserve">Wittnau bei Freiburg</x:t>
        </x:is>
      </x:c>
      <x:c r="Q23" s="4" t="inlineStr">
        <x:is>
          <x:t xml:space="preserve">0761 4015-0</x:t>
        </x:is>
      </x:c>
      <x:c r="R23" s="4" t="inlineStr">
        <x:is>
          <x:t xml:space="preserve">info-fr@cts-reha-bw.de</x:t>
        </x:is>
      </x:c>
      <x:c r="S23" s="4" t="inlineStr">
        <x:is>
          <x:t xml:space="preserve">https://www.cts-reha-bw.de/kliniken/stoeckenhoefe/</x:t>
        </x:is>
      </x:c>
      <x:c r="T23" s="4" t="inlineStr">
        <x:is>
          <x:t xml:space="preserve">Rezeption / Patientenservice</x:t>
        </x:is>
      </x:c>
      <x:c r="U23" s="4" t="inlineStr">
        <x:is>
          <x:t xml:space="preserve">Aufnahme-/Patientenkontakt</x:t>
        </x:is>
      </x:c>
      <x:c r="V23" s="4" t="inlineStr">
        <x:is>
          <x:t xml:space="preserve">0761 4015-0</x:t>
        </x:is>
      </x:c>
      <x:c r="W23" s="4" t="inlineStr">
        <x:is>
          <x:t xml:space="preserve">info-fr@cts-reha-bw.de</x:t>
        </x:is>
      </x:c>
      <x:c r="X23" s="4" t="n">
        <x:v>47.94651</x:v>
      </x:c>
      <x:c r="Y23" s="4" t="n">
        <x:v>7.82468</x:v>
      </x:c>
      <x:c r="Z23" s="4" t="inlineStr">
        <x:is>
          <x:t xml:space="preserve">A - Klinikgebäude verifiziert</x:t>
        </x:is>
      </x:c>
      <x:c r="AA23" s="4" t="inlineStr">
        <x:is>
          <x:t xml:space="preserve">2026-08-23</x:t>
        </x:is>
      </x:c>
      <x:c r="AB23" s="4" t="inlineStr">
        <x:is>
          <x:t xml:space="preserve">https://cts-reha-bw.de/assets/Uploads/cts-Image-Factsheet-Freiburg-Neurologie5.pdf</x:t>
        </x:is>
      </x:c>
      <x:c r="AC23" s="4" t="inlineStr">
        <x:is>
          <x:t xml:space="preserve">https://mapcarta.com/de/W28927159</x:t>
        </x:is>
      </x:c>
      <x:c r="AD23" s="4" t="inlineStr">
        <x:is>
          <x:t xml:space="preserve">neu ergänzt nach Vollständigkeitsabgleich</x:t>
        </x:is>
      </x:c>
    </x:row>
    <x:row r="24">
      <x:c r="A24" s="4" t="inlineStr">
        <x:is>
          <x:t xml:space="preserve">BW</x:t>
        </x:is>
      </x:c>
      <x:c r="B24" s="4" t="inlineStr">
        <x:is>
          <x:t xml:space="preserve">Schwarzwaldklinik Neurologie Bad Krozingen</x:t>
        </x:is>
      </x:c>
      <x:c r="C24" s="4" t="inlineStr">
        <x:is>
          <x:t xml:space="preserve">Schwarzwaldklinik Bad Krozingen</x:t>
        </x:is>
      </x:c>
      <x:c r="D24" s="5" t="n"/>
      <x:c r="E24" s="5" t="inlineStr">
        <x:is>
          <x:t xml:space="preserve">X</x:t>
        </x:is>
      </x:c>
      <x:c r="F24" s="5" t="inlineStr">
        <x:is>
          <x:t xml:space="preserve">X</x:t>
        </x:is>
      </x:c>
      <x:c r="G24" s="5" t="inlineStr">
        <x:is>
          <x:t xml:space="preserve">X</x:t>
        </x:is>
      </x:c>
      <x:c r="H24" s="5" t="n"/>
      <x:c r="I24" s="4" t="inlineStr">
        <x:is>
          <x:t xml:space="preserve">B-D</x:t>
        </x:is>
      </x:c>
      <x:c r="J24" s="4" t="inlineStr">
        <x:is>
          <x:t xml:space="preserve">Neurologische Frührehabilitation und Rehabilitation; Phase B, C und D</x:t>
        </x:is>
      </x:c>
      <x:c r="K24" s="4" t="inlineStr">
        <x:is>
          <x:t xml:space="preserve">phasenspezifische Tagessätze 2026 bestätigt; aktuelle Bettenaufteilung öffentlich nicht eindeutig ausgewiesen</x:t>
        </x:is>
      </x:c>
      <x:c r="L24" s="4" t="n"/>
      <x:c r="M24" s="4" t="inlineStr">
        <x:is>
          <x:t xml:space="preserve">Phase B vorhanden</x:t>
        </x:is>
      </x:c>
      <x:c r="N24" s="4" t="inlineStr">
        <x:is>
          <x:t xml:space="preserve">Im Sinnighofen 1</x:t>
        </x:is>
      </x:c>
      <x:c r="O24" s="4" t="inlineStr">
        <x:is>
          <x:t xml:space="preserve">79189</x:t>
        </x:is>
      </x:c>
      <x:c r="P24" s="4" t="inlineStr">
        <x:is>
          <x:t xml:space="preserve">Bad Krozingen</x:t>
        </x:is>
      </x:c>
      <x:c r="Q24" s="4" t="inlineStr">
        <x:is>
          <x:t xml:space="preserve">07633 93-01</x:t>
        </x:is>
      </x:c>
      <x:c r="R24" s="4" t="inlineStr">
        <x:is>
          <x:t xml:space="preserve">info@schwarzwaldklinik.health</x:t>
        </x:is>
      </x:c>
      <x:c r="S24" s="4" t="inlineStr">
        <x:is>
          <x:t xml:space="preserve">https://schwarzwaldklinik.health/</x:t>
        </x:is>
      </x:c>
      <x:c r="T24" s="4" t="inlineStr">
        <x:is>
          <x:t xml:space="preserve">Zentrale Aufnahme</x:t>
        </x:is>
      </x:c>
      <x:c r="U24" s="4" t="inlineStr">
        <x:is>
          <x:t xml:space="preserve">Aufnahme</x:t>
        </x:is>
      </x:c>
      <x:c r="V24" s="4" t="inlineStr">
        <x:is>
          <x:t xml:space="preserve">07633 93-01</x:t>
        </x:is>
      </x:c>
      <x:c r="W24" s="4" t="inlineStr">
        <x:is>
          <x:t xml:space="preserve">info@schwarzwaldklinik.health</x:t>
        </x:is>
      </x:c>
      <x:c r="X24" s="4" t="n">
        <x:v>47.92477</x:v>
      </x:c>
      <x:c r="Y24" s="4" t="n">
        <x:v>7.68762</x:v>
      </x:c>
      <x:c r="Z24" s="4" t="inlineStr">
        <x:is>
          <x:t xml:space="preserve">A - Klinikgebäude verifiziert</x:t>
        </x:is>
      </x:c>
      <x:c r="AA24" s="4" t="inlineStr">
        <x:is>
          <x:t xml:space="preserve">2026-08-23</x:t>
        </x:is>
      </x:c>
      <x:c r="AB24" s="4" t="inlineStr">
        <x:is>
          <x:t xml:space="preserve">https://www.uniklinik-freiburg.de/rehanetz/neurologie.html ; aktuelle Preisliste 2026 der Schwarzwaldklinik</x:t>
        </x:is>
      </x:c>
      <x:c r="AC24" s="4" t="inlineStr">
        <x:is>
          <x:t xml:space="preserve">https://mapcarta.com/de/W192416336</x:t>
        </x:is>
      </x:c>
      <x:c r="AD24" s="4" t="inlineStr">
        <x:is>
          <x:t xml:space="preserve">neu ergänzt; Phase B/C/D aktuell belastbar</x:t>
        </x:is>
      </x:c>
    </x:row>
    <x:row r="25">
      <x:c r="A25" s="4" t="inlineStr">
        <x:is>
          <x:t xml:space="preserve">HE</x:t>
        </x:is>
      </x:c>
      <x:c r="B25" s="4" t="inlineStr">
        <x:is>
          <x:t xml:space="preserve">Wicker Klinik Bad Wildungen</x:t>
        </x:is>
      </x:c>
      <x:c r="C25" s="4" t="inlineStr">
        <x:is>
          <x:t xml:space="preserve">Werner Wicker GmbH &amp; Co. KG</x:t>
        </x:is>
      </x:c>
      <x:c r="D25" s="5" t="n"/>
      <x:c r="E25" s="5" t="n"/>
      <x:c r="F25" s="5" t="inlineStr">
        <x:is>
          <x:t xml:space="preserve">X</x:t>
        </x:is>
      </x:c>
      <x:c r="G25" s="5" t="inlineStr">
        <x:is>
          <x:t xml:space="preserve">X</x:t>
        </x:is>
      </x:c>
      <x:c r="H25" s="5" t="n"/>
      <x:c r="I25" s="4" t="inlineStr">
        <x:is>
          <x:t xml:space="preserve">C-D</x:t>
        </x:is>
      </x:c>
      <x:c r="J25" s="4" t="inlineStr">
        <x:is>
          <x:t xml:space="preserve">Neurologische Rehabilitation Phase C und D; MS, Schlaganfall, kognitive Störungen, AHB</x:t>
        </x:is>
      </x:c>
      <x:c r="K25" s="4" t="inlineStr">
        <x:is>
          <x:t xml:space="preserve">287 Einzelzimmer Klinik gesamt; neurologische Teilkapazität nicht separat veröffentlicht</x:t>
        </x:is>
      </x:c>
      <x:c r="L25" s="4" t="n"/>
      <x:c r="M25" s="4" t="inlineStr">
        <x:is>
          <x:t xml:space="preserve">keine Intensivmedizin für Phase C/D</x:t>
        </x:is>
      </x:c>
      <x:c r="N25" s="4" t="inlineStr">
        <x:is>
          <x:t xml:space="preserve">Fürst-Friedrich-Straße 2-4</x:t>
        </x:is>
      </x:c>
      <x:c r="O25" s="4" t="inlineStr">
        <x:is>
          <x:t xml:space="preserve">34537</x:t>
        </x:is>
      </x:c>
      <x:c r="P25" s="4" t="inlineStr">
        <x:is>
          <x:t xml:space="preserve">Bad Wildungen</x:t>
        </x:is>
      </x:c>
      <x:c r="Q25" s="4" t="inlineStr">
        <x:is>
          <x:t xml:space="preserve">05621 792-0</x:t>
        </x:is>
      </x:c>
      <x:c r="R25" s="4" t="inlineStr">
        <x:is>
          <x:t xml:space="preserve">info@wicker-klinik.de</x:t>
        </x:is>
      </x:c>
      <x:c r="S25" s="4" t="inlineStr">
        <x:is>
          <x:t xml:space="preserve">https://www.wicker.de/kliniken/wicker-klinik/</x:t>
        </x:is>
      </x:c>
      <x:c r="T25" s="4" t="inlineStr">
        <x:is>
          <x:t xml:space="preserve">Patientenaufnahme</x:t>
        </x:is>
      </x:c>
      <x:c r="U25" s="4" t="inlineStr">
        <x:is>
          <x:t xml:space="preserve">Aufnahme</x:t>
        </x:is>
      </x:c>
      <x:c r="V25" s="4" t="inlineStr">
        <x:is>
          <x:t xml:space="preserve">05621 792-0</x:t>
        </x:is>
      </x:c>
      <x:c r="W25" s="4" t="inlineStr">
        <x:is>
          <x:t xml:space="preserve">info@wicker-klinik.de</x:t>
        </x:is>
      </x:c>
      <x:c r="X25" s="4" t="n">
        <x:v>51.11614</x:v>
      </x:c>
      <x:c r="Y25" s="4" t="n">
        <x:v>9.111359999999999</x:v>
      </x:c>
      <x:c r="Z25" s="4" t="inlineStr">
        <x:is>
          <x:t xml:space="preserve">A - Klinikgebäude verifiziert</x:t>
        </x:is>
      </x:c>
      <x:c r="AA25" s="4" t="inlineStr">
        <x:is>
          <x:t xml:space="preserve">2026-08-23</x:t>
        </x:is>
      </x:c>
      <x:c r="AB25" s="4" t="inlineStr">
        <x:is>
          <x:t xml:space="preserve">https://www.wicker.de/kliniken/wicker-klinik/ahb-zuweiser/</x:t>
        </x:is>
      </x:c>
      <x:c r="AC25" s="4" t="inlineStr">
        <x:is>
          <x:t xml:space="preserve">https://mapcarta.com/de/W725693689</x:t>
        </x:is>
      </x:c>
      <x:c r="AD25" s="4" t="inlineStr">
        <x:is>
          <x:t xml:space="preserve">neu ergänzt nach Vollständigkeitsabgleich</x:t>
        </x:is>
      </x:c>
    </x:row>
    <x:row r="26">
      <x:c r="A26" s="4" t="inlineStr">
        <x:is>
          <x:t xml:space="preserve">HE</x:t>
        </x:is>
      </x:c>
      <x:c r="B26" s="4" t="inlineStr">
        <x:is>
          <x:t xml:space="preserve">Hardtwaldklinik I Bad Zwesten</x:t>
        </x:is>
      </x:c>
      <x:c r="C26" s="4" t="inlineStr">
        <x:is>
          <x:t xml:space="preserve">Werner Wicker GmbH &amp; Co. KG</x:t>
        </x:is>
      </x:c>
      <x:c r="D26" s="5" t="n"/>
      <x:c r="E26" s="5" t="n"/>
      <x:c r="F26" s="5" t="inlineStr">
        <x:is>
          <x:t xml:space="preserve">X</x:t>
        </x:is>
      </x:c>
      <x:c r="G26" s="5" t="inlineStr">
        <x:is>
          <x:t xml:space="preserve">X</x:t>
        </x:is>
      </x:c>
      <x:c r="H26" s="5" t="n"/>
      <x:c r="I26" s="4" t="inlineStr">
        <x:is>
          <x:t xml:space="preserve">C-D</x:t>
        </x:is>
      </x:c>
      <x:c r="J26" s="4" t="inlineStr">
        <x:is>
          <x:t xml:space="preserve">Neurologische Rehabilitation Phase C/D; MS, Schlaganfall, neurologische Schmerztherapie, neuropsychologische Therapie</x:t>
        </x:is>
      </x:c>
      <x:c r="K26" s="4" t="inlineStr">
        <x:is>
          <x:t xml:space="preserve">190 Einzelzimmer Klinik gesamt; 30 Betten Phase C in aktueller Fachinformation</x:t>
        </x:is>
      </x:c>
      <x:c r="L26" s="4" t="inlineStr">
        <x:is>
          <x:t xml:space="preserve">30 Phase C</x:t>
        </x:is>
      </x:c>
      <x:c r="M26" s="4" t="inlineStr">
        <x:is>
          <x:t xml:space="preserve">keine intensivmedizinische Behandlung</x:t>
        </x:is>
      </x:c>
      <x:c r="N26" s="4" t="inlineStr">
        <x:is>
          <x:t xml:space="preserve">Hardtstraße 31</x:t>
        </x:is>
      </x:c>
      <x:c r="O26" s="4" t="inlineStr">
        <x:is>
          <x:t xml:space="preserve">34596</x:t>
        </x:is>
      </x:c>
      <x:c r="P26" s="4" t="inlineStr">
        <x:is>
          <x:t xml:space="preserve">Bad Zwesten</x:t>
        </x:is>
      </x:c>
      <x:c r="Q26" s="4" t="inlineStr">
        <x:is>
          <x:t xml:space="preserve">05626 87-0</x:t>
        </x:is>
      </x:c>
      <x:c r="R26" s="4" t="inlineStr">
        <x:is>
          <x:t xml:space="preserve">info@hardtwaldklinik1.de</x:t>
        </x:is>
      </x:c>
      <x:c r="S26" s="4" t="inlineStr">
        <x:is>
          <x:t xml:space="preserve">https://www.wicker.de/kliniken/hardtwaldklinik-i/</x:t>
        </x:is>
      </x:c>
      <x:c r="T26" s="4" t="inlineStr">
        <x:is>
          <x:t xml:space="preserve">Frau Pfennig / Frau Lohr</x:t>
        </x:is>
      </x:c>
      <x:c r="U26" s="4" t="inlineStr">
        <x:is>
          <x:t xml:space="preserve">Patientenaufnahme</x:t>
        </x:is>
      </x:c>
      <x:c r="V26" s="4" t="inlineStr">
        <x:is>
          <x:t xml:space="preserve">05626 87-952 / 05626 87-984</x:t>
        </x:is>
      </x:c>
      <x:c r="W26" s="4" t="inlineStr">
        <x:is>
          <x:t xml:space="preserve">info@hardtwaldklinik1.de</x:t>
        </x:is>
      </x:c>
      <x:c r="X26" s="4" t="n">
        <x:v>51.06183</x:v>
      </x:c>
      <x:c r="Y26" s="4" t="n">
        <x:v>9.173080000000001</x:v>
      </x:c>
      <x:c r="Z26" s="4" t="inlineStr">
        <x:is>
          <x:t xml:space="preserve">A - Klinikgebäude verifiziert</x:t>
        </x:is>
      </x:c>
      <x:c r="AA26" s="4" t="inlineStr">
        <x:is>
          <x:t xml:space="preserve">2026-08-23</x:t>
        </x:is>
      </x:c>
      <x:c r="AB26" s="4" t="inlineStr">
        <x:is>
          <x:t xml:space="preserve">https://www.wicker.de/kliniken/hardtwaldklinik-i/ahb-zuweiser/ ; aktuelle Klinik-Fachinformation 2026</x:t>
        </x:is>
      </x:c>
      <x:c r="AC26" s="4" t="inlineStr">
        <x:is>
          <x:t xml:space="preserve">https://mapcarta.com/de/W892964434</x:t>
        </x:is>
      </x:c>
      <x:c r="AD26" s="4" t="inlineStr">
        <x:is>
          <x:t xml:space="preserve">neu ergänzt nach Vollständigkeitsabgleich</x:t>
        </x:is>
      </x:c>
    </x:row>
    <x:row r="27">
      <x:c r="A27" s="4" t="inlineStr">
        <x:is>
          <x:t xml:space="preserve">HE</x:t>
        </x:is>
      </x:c>
      <x:c r="B27" s="4" t="inlineStr">
        <x:is>
          <x:t xml:space="preserve">MEDICLIN Reha-Zentrum Bad Orb</x:t>
        </x:is>
      </x:c>
      <x:c r="C27" s="4" t="inlineStr">
        <x:is>
          <x:t xml:space="preserve">MEDICLIN</x:t>
        </x:is>
      </x:c>
      <x:c r="D27" s="5" t="n"/>
      <x:c r="E27" s="5" t="inlineStr">
        <x:is>
          <x:t xml:space="preserve">X</x:t>
        </x:is>
      </x:c>
      <x:c r="F27" s="5" t="inlineStr">
        <x:is>
          <x:t xml:space="preserve">X</x:t>
        </x:is>
      </x:c>
      <x:c r="G27" s="5" t="inlineStr">
        <x:is>
          <x:t xml:space="preserve">X</x:t>
        </x:is>
      </x:c>
      <x:c r="H27" s="5" t="n"/>
      <x:c r="I27" s="4" t="inlineStr">
        <x:is>
          <x:t xml:space="preserve">B-D</x:t>
        </x:is>
      </x:c>
      <x:c r="J27" s="4" t="inlineStr">
        <x:is>
          <x:t xml:space="preserve">Durchgängige neurologische Rehakette Phase B-C-D; Schlaganfall, SHT, neuropsychologische und Schluckstörungen</x:t>
        </x:is>
      </x:c>
      <x:c r="K27" s="4" t="inlineStr">
        <x:is>
          <x:t xml:space="preserve">Phase B als Krankenhausbereich mit 15 Betten; weitere C/D-Kapazität nicht separat aktuell ausgewiesen</x:t>
        </x:is>
      </x:c>
      <x:c r="L27" s="4" t="inlineStr">
        <x:is>
          <x:t xml:space="preserve">15</x:t>
        </x:is>
      </x:c>
      <x:c r="M27" s="4" t="inlineStr">
        <x:is>
          <x:t xml:space="preserve">Trachealkanülenmanagement; Phase B</x:t>
        </x:is>
      </x:c>
      <x:c r="N27" s="4" t="inlineStr">
        <x:is>
          <x:t xml:space="preserve">Spessartstraße 20</x:t>
        </x:is>
      </x:c>
      <x:c r="O27" s="4" t="inlineStr">
        <x:is>
          <x:t xml:space="preserve">63619</x:t>
        </x:is>
      </x:c>
      <x:c r="P27" s="4" t="inlineStr">
        <x:is>
          <x:t xml:space="preserve">Bad Orb</x:t>
        </x:is>
      </x:c>
      <x:c r="Q27" s="4" t="inlineStr">
        <x:is>
          <x:t xml:space="preserve">06052 808-0</x:t>
        </x:is>
      </x:c>
      <x:c r="R27" s="4" t="n"/>
      <x:c r="S27" s="4" t="inlineStr">
        <x:is>
          <x:t xml:space="preserve">https://www.reha-zentrum-bad-orb.de/</x:t>
        </x:is>
      </x:c>
      <x:c r="T27" s="4" t="inlineStr">
        <x:is>
          <x:t xml:space="preserve">Zentrale Patientenaufnahme</x:t>
        </x:is>
      </x:c>
      <x:c r="U27" s="4" t="inlineStr">
        <x:is>
          <x:t xml:space="preserve">Aufnahme</x:t>
        </x:is>
      </x:c>
      <x:c r="V27" s="4" t="inlineStr">
        <x:is>
          <x:t xml:space="preserve">06052 808-0</x:t>
        </x:is>
      </x:c>
      <x:c r="W27" s="4" t="n"/>
      <x:c r="X27" s="4" t="n">
        <x:v>50.21603</x:v>
      </x:c>
      <x:c r="Y27" s="4" t="n">
        <x:v>9.35318</x:v>
      </x:c>
      <x:c r="Z27" s="4" t="inlineStr">
        <x:is>
          <x:t xml:space="preserve">A - Klinikgebäude verifiziert</x:t>
        </x:is>
      </x:c>
      <x:c r="AA27" s="4" t="inlineStr">
        <x:is>
          <x:t xml:space="preserve">2026-08-23</x:t>
        </x:is>
      </x:c>
      <x:c r="AB27" s="4" t="inlineStr">
        <x:is>
          <x:t xml:space="preserve">https://www.reha-zentrum-bad-orb.de/fachbereiche-krankheitsbilder/akutbehandlung/neurologische-fruehrehabilitation/</x:t>
        </x:is>
      </x:c>
      <x:c r="AC27" s="4" t="inlineStr">
        <x:is>
          <x:t xml:space="preserve">https://mapcarta.com/W97218080</x:t>
        </x:is>
      </x:c>
      <x:c r="AD27" s="4" t="inlineStr">
        <x:is>
          <x:t xml:space="preserve">neu ergänzt; vollständige Kette B-C-D</x:t>
        </x:is>
      </x:c>
    </x:row>
    <x:row r="28">
      <x:c r="A28" s="4" t="inlineStr">
        <x:is>
          <x:t xml:space="preserve">HE</x:t>
        </x:is>
      </x:c>
      <x:c r="B28" s="4" t="inlineStr">
        <x:is>
          <x:t xml:space="preserve">Sonnenberg-Klinik Bad Sooden-Allendorf</x:t>
        </x:is>
      </x:c>
      <x:c r="C28" s="4" t="inlineStr">
        <x:is>
          <x:t xml:space="preserve">Werner Wicker GmbH &amp; Co. KG</x:t>
        </x:is>
      </x:c>
      <x:c r="D28" s="5" t="n"/>
      <x:c r="E28" s="5" t="n"/>
      <x:c r="F28" s="5" t="inlineStr">
        <x:is>
          <x:t xml:space="preserve">X</x:t>
        </x:is>
      </x:c>
      <x:c r="G28" s="5" t="inlineStr">
        <x:is>
          <x:t xml:space="preserve">X</x:t>
        </x:is>
      </x:c>
      <x:c r="H28" s="5" t="n"/>
      <x:c r="I28" s="4" t="inlineStr">
        <x:is>
          <x:t xml:space="preserve">C-D</x:t>
        </x:is>
      </x:c>
      <x:c r="J28" s="4" t="inlineStr">
        <x:is>
          <x:t xml:space="preserve">Neurologische Rehabilitation; Schlaganfall, MS, Fatigue und weitere neurologische Erkrankungen</x:t>
        </x:is>
      </x:c>
      <x:c r="K28" s="4" t="inlineStr">
        <x:is>
          <x:t xml:space="preserve">aktuelle neurologische Teilkapazität nicht separat veröffentlicht</x:t>
        </x:is>
      </x:c>
      <x:c r="L28" s="4" t="n"/>
      <x:c r="M28" s="4" t="inlineStr">
        <x:is>
          <x:t xml:space="preserve">keine Phase B</x:t>
        </x:is>
      </x:c>
      <x:c r="N28" s="4" t="inlineStr">
        <x:is>
          <x:t xml:space="preserve">Hardtstraße 13</x:t>
        </x:is>
      </x:c>
      <x:c r="O28" s="4" t="inlineStr">
        <x:is>
          <x:t xml:space="preserve">37242</x:t>
        </x:is>
      </x:c>
      <x:c r="P28" s="4" t="inlineStr">
        <x:is>
          <x:t xml:space="preserve">Bad Sooden-Allendorf</x:t>
        </x:is>
      </x:c>
      <x:c r="Q28" s="4" t="inlineStr">
        <x:is>
          <x:t xml:space="preserve">05652 54-1</x:t>
        </x:is>
      </x:c>
      <x:c r="R28" s="4" t="inlineStr">
        <x:is>
          <x:t xml:space="preserve">neurologie@sonnenberg-klinik.de</x:t>
        </x:is>
      </x:c>
      <x:c r="S28" s="4" t="inlineStr">
        <x:is>
          <x:t xml:space="preserve">https://www.wicker.de/kliniken/sonnenberg-klinik/</x:t>
        </x:is>
      </x:c>
      <x:c r="T28" s="4" t="inlineStr">
        <x:is>
          <x:t xml:space="preserve">Anna Bode / Patientenaufnahme</x:t>
        </x:is>
      </x:c>
      <x:c r="U28" s="4" t="inlineStr">
        <x:is>
          <x:t xml:space="preserve">Chefarztsekretariat Neurologie / Aufnahme</x:t>
        </x:is>
      </x:c>
      <x:c r="V28" s="4" t="inlineStr">
        <x:is>
          <x:t xml:space="preserve">05652 54-912</x:t>
        </x:is>
      </x:c>
      <x:c r="W28" s="4" t="inlineStr">
        <x:is>
          <x:t xml:space="preserve">anfrage@sonnenberg-klinik.de</x:t>
        </x:is>
      </x:c>
      <x:c r="X28" s="4" t="n">
        <x:v>51.27334</x:v>
      </x:c>
      <x:c r="Y28" s="4" t="n">
        <x:v>9.95623</x:v>
      </x:c>
      <x:c r="Z28" s="4" t="inlineStr">
        <x:is>
          <x:t xml:space="preserve">A - Klinikgebäude verifiziert</x:t>
        </x:is>
      </x:c>
      <x:c r="AA28" s="4" t="inlineStr">
        <x:is>
          <x:t xml:space="preserve">2026-08-23</x:t>
        </x:is>
      </x:c>
      <x:c r="AB28" s="4" t="inlineStr">
        <x:is>
          <x:t xml:space="preserve">https://www.wicker.de/kliniken/sonnenberg-klinik/neurologie/ ; DGM-Rehaliste Erwachsene</x:t>
        </x:is>
      </x:c>
      <x:c r="AC28" s="4" t="inlineStr">
        <x:is>
          <x:t xml:space="preserve">https://mapcarta.com/W36816301</x:t>
        </x:is>
      </x:c>
      <x:c r="AD28" s="4" t="inlineStr">
        <x:is>
          <x:t xml:space="preserve">neu ergänzt nach Vollständigkeitsabgleich</x:t>
        </x:is>
      </x:c>
    </x:row>
    <x:row r="29">
      <x:c r="A29" s="4" t="inlineStr">
        <x:is>
          <x:t xml:space="preserve">HE</x:t>
        </x:is>
      </x:c>
      <x:c r="B29" s="4" t="inlineStr">
        <x:is>
          <x:t xml:space="preserve">Klinik Hoher Meißner</x:t>
        </x:is>
      </x:c>
      <x:c r="C29" s="4" t="inlineStr">
        <x:is>
          <x:t xml:space="preserve">W. und M. Wicker GmbH &amp; Co. KG</x:t>
        </x:is>
      </x:c>
      <x:c r="D29" s="5" t="n"/>
      <x:c r="E29" s="5" t="n"/>
      <x:c r="F29" s="5" t="inlineStr">
        <x:is>
          <x:t xml:space="preserve">X</x:t>
        </x:is>
      </x:c>
      <x:c r="G29" s="5" t="inlineStr">
        <x:is>
          <x:t xml:space="preserve">X</x:t>
        </x:is>
      </x:c>
      <x:c r="H29" s="5" t="n"/>
      <x:c r="I29" s="4" t="inlineStr">
        <x:is>
          <x:t xml:space="preserve">C-D</x:t>
        </x:is>
      </x:c>
      <x:c r="J29" s="4" t="inlineStr">
        <x:is>
          <x:t xml:space="preserve">Neurologische Rehabilitation Phase C/D; SHT, Schlaganfall, MS, Parkinson; besondere Expertise neuromuskuläre Erkrankungen</x:t>
        </x:is>
      </x:c>
      <x:c r="K29" s="4" t="inlineStr">
        <x:is>
          <x:t xml:space="preserve">aktuelle neurologische Teilkapazität nicht separat veröffentlicht</x:t>
        </x:is>
      </x:c>
      <x:c r="L29" s="4" t="n"/>
      <x:c r="M29" s="4" t="inlineStr">
        <x:is>
          <x:t xml:space="preserve">keine Phase B</x:t>
        </x:is>
      </x:c>
      <x:c r="N29" s="4" t="inlineStr">
        <x:is>
          <x:t xml:space="preserve">Hardtstraße 36</x:t>
        </x:is>
      </x:c>
      <x:c r="O29" s="4" t="inlineStr">
        <x:is>
          <x:t xml:space="preserve">37242</x:t>
        </x:is>
      </x:c>
      <x:c r="P29" s="4" t="inlineStr">
        <x:is>
          <x:t xml:space="preserve">Bad Sooden-Allendorf</x:t>
        </x:is>
      </x:c>
      <x:c r="Q29" s="4" t="inlineStr">
        <x:is>
          <x:t xml:space="preserve">05652 55-0</x:t>
        </x:is>
      </x:c>
      <x:c r="R29" s="4" t="inlineStr">
        <x:is>
          <x:t xml:space="preserve">info@reha-klinik.de</x:t>
        </x:is>
      </x:c>
      <x:c r="S29" s="4" t="inlineStr">
        <x:is>
          <x:t xml:space="preserve">https://www.wicker.de/kliniken/klinik-hoher-meissner/</x:t>
        </x:is>
      </x:c>
      <x:c r="T29" s="4" t="inlineStr">
        <x:is>
          <x:t xml:space="preserve">Patrick Weish / Patientenaufnahme</x:t>
        </x:is>
      </x:c>
      <x:c r="U29" s="4" t="inlineStr">
        <x:is>
          <x:t xml:space="preserve">Chefarzt Neurologie / Aufnahme</x:t>
        </x:is>
      </x:c>
      <x:c r="V29" s="4" t="inlineStr">
        <x:is>
          <x:t xml:space="preserve">05652 55-0</x:t>
        </x:is>
      </x:c>
      <x:c r="W29" s="4" t="inlineStr">
        <x:is>
          <x:t xml:space="preserve">info@reha-klinik.de</x:t>
        </x:is>
      </x:c>
      <x:c r="X29" s="4" t="n">
        <x:v>51.27546</x:v>
      </x:c>
      <x:c r="Y29" s="4" t="n">
        <x:v>9.955080000000001</x:v>
      </x:c>
      <x:c r="Z29" s="4" t="inlineStr">
        <x:is>
          <x:t xml:space="preserve">A - Klinikgebäude verifiziert</x:t>
        </x:is>
      </x:c>
      <x:c r="AA29" s="4" t="inlineStr">
        <x:is>
          <x:t xml:space="preserve">2026-08-23</x:t>
        </x:is>
      </x:c>
      <x:c r="AB29" s="4" t="inlineStr">
        <x:is>
          <x:t xml:space="preserve">https://www.wicker.de/kliniken/klinik-hoher-meissner/</x:t>
        </x:is>
      </x:c>
      <x:c r="AC29" s="4" t="inlineStr">
        <x:is>
          <x:t xml:space="preserve">https://mapcarta.com/de/W42674651</x:t>
        </x:is>
      </x:c>
      <x:c r="AD29" s="4" t="inlineStr">
        <x:is>
          <x:t xml:space="preserve">neu ergänzt nach Vollständigkeitsabgleich</x:t>
        </x:is>
      </x:c>
    </x:row>
    <x:row r="30">
      <x:c r="A30" s="4" t="inlineStr">
        <x:is>
          <x:t xml:space="preserve">RP</x:t>
        </x:is>
      </x:c>
      <x:c r="B30" s="4" t="inlineStr">
        <x:is>
          <x:t xml:space="preserve">Westerwaldklinik Waldbreitbach</x:t>
        </x:is>
      </x:c>
      <x:c r="C30" s="4" t="inlineStr">
        <x:is>
          <x:t xml:space="preserve">Westerwaldklinik Waldbreitbach gGmbH</x:t>
        </x:is>
      </x:c>
      <x:c r="D30" s="5" t="n"/>
      <x:c r="E30" s="5" t="n"/>
      <x:c r="F30" s="5" t="inlineStr">
        <x:is>
          <x:t xml:space="preserve">X</x:t>
        </x:is>
      </x:c>
      <x:c r="G30" s="5" t="inlineStr">
        <x:is>
          <x:t xml:space="preserve">X</x:t>
        </x:is>
      </x:c>
      <x:c r="H30" s="5" t="inlineStr">
        <x:is>
          <x:t xml:space="preserve">X</x:t>
        </x:is>
      </x:c>
      <x:c r="I30" s="4" t="inlineStr">
        <x:is>
          <x:t xml:space="preserve">C-D/E</x:t>
        </x:is>
      </x:c>
      <x:c r="J30" s="4" t="inlineStr">
        <x:is>
          <x:t xml:space="preserve">Stationäre und ambulante neurologische Rehabilitation; Schlaganfall, MS, Parkinson, neurologische Psychosomatik; MBOR/IRENA</x:t>
        </x:is>
      </x:c>
      <x:c r="K30" s="4" t="inlineStr">
        <x:is>
          <x:t xml:space="preserve">206 Betten gesamt</x:t>
        </x:is>
      </x:c>
      <x:c r="L30" s="4" t="n"/>
      <x:c r="M30" s="4" t="inlineStr">
        <x:is>
          <x:t xml:space="preserve">keine neurologische Intensivmedizin</x:t>
        </x:is>
      </x:c>
      <x:c r="N30" s="4" t="inlineStr">
        <x:is>
          <x:t xml:space="preserve">Buchenstraße 6</x:t>
        </x:is>
      </x:c>
      <x:c r="O30" s="4" t="inlineStr">
        <x:is>
          <x:t xml:space="preserve">56588</x:t>
        </x:is>
      </x:c>
      <x:c r="P30" s="4" t="inlineStr">
        <x:is>
          <x:t xml:space="preserve">Waldbreitbach</x:t>
        </x:is>
      </x:c>
      <x:c r="Q30" s="4" t="inlineStr">
        <x:is>
          <x:t xml:space="preserve">02638 898-0</x:t>
        </x:is>
      </x:c>
      <x:c r="R30" s="4" t="inlineStr">
        <x:is>
          <x:t xml:space="preserve">info@westerwaldklinik.de</x:t>
        </x:is>
      </x:c>
      <x:c r="S30" s="4" t="inlineStr">
        <x:is>
          <x:t xml:space="preserve">https://www.westerwaldklinik.de/</x:t>
        </x:is>
      </x:c>
      <x:c r="T30" s="4" t="inlineStr">
        <x:is>
          <x:t xml:space="preserve">Sarah Volk</x:t>
        </x:is>
      </x:c>
      <x:c r="U30" s="4" t="inlineStr">
        <x:is>
          <x:t xml:space="preserve">Leitung Kundenservice / Aufnahmeverfahren</x:t>
        </x:is>
      </x:c>
      <x:c r="V30" s="4" t="inlineStr">
        <x:is>
          <x:t xml:space="preserve">02638 898-213</x:t>
        </x:is>
      </x:c>
      <x:c r="W30" s="4" t="inlineStr">
        <x:is>
          <x:t xml:space="preserve">Sarah.Volk@westerwaldklinik.de</x:t>
        </x:is>
      </x:c>
      <x:c r="X30" s="4" t="n">
        <x:v>50.54907</x:v>
      </x:c>
      <x:c r="Y30" s="4" t="n">
        <x:v>7.40077</x:v>
      </x:c>
      <x:c r="Z30" s="4" t="inlineStr">
        <x:is>
          <x:t xml:space="preserve">A - Klinikgebäude verifiziert</x:t>
        </x:is>
      </x:c>
      <x:c r="AA30" s="4" t="inlineStr">
        <x:is>
          <x:t xml:space="preserve">2026-08-23</x:t>
        </x:is>
      </x:c>
      <x:c r="AB30" s="4" t="inlineStr">
        <x:is>
          <x:t xml:space="preserve">https://www.westerwaldklinik.de/die-klinik.html ; https://www.westerwaldklinik.de/kontakt.html</x:t>
        </x:is>
      </x:c>
      <x:c r="AC30" s="4" t="inlineStr">
        <x:is>
          <x:t xml:space="preserve">https://mapcarta.com/de/W153308015</x:t>
        </x:is>
      </x:c>
      <x:c r="AD30" s="4" t="inlineStr">
        <x:is>
          <x:t xml:space="preserve">neu ergänzt; Phase E als MBOR/Nachsorge-Baustein</x:t>
        </x:is>
      </x:c>
    </x:row>
    <x:row r="31">
      <x:c r="A31" s="4" t="inlineStr">
        <x:is>
          <x:t xml:space="preserve">RP</x:t>
        </x:is>
      </x:c>
      <x:c r="B31" s="4" t="inlineStr">
        <x:is>
          <x:t xml:space="preserve">Neurologische Therapie RheinAhr (NTRA)</x:t>
        </x:is>
      </x:c>
      <x:c r="C31" s="4" t="inlineStr">
        <x:is>
          <x:t xml:space="preserve">Neurologische Therapie RheinAhr gGmbH</x:t>
        </x:is>
      </x:c>
      <x:c r="D31" s="5" t="n"/>
      <x:c r="E31" s="5" t="n"/>
      <x:c r="F31" s="5" t="inlineStr">
        <x:is>
          <x:t xml:space="preserve">X</x:t>
        </x:is>
      </x:c>
      <x:c r="G31" s="5" t="inlineStr">
        <x:is>
          <x:t xml:space="preserve">X</x:t>
        </x:is>
      </x:c>
      <x:c r="H31" s="5" t="inlineStr">
        <x:is>
          <x:t xml:space="preserve">X</x:t>
        </x:is>
      </x:c>
      <x:c r="I31" s="4" t="inlineStr">
        <x:is>
          <x:t xml:space="preserve">C-D-E ambulant</x:t>
        </x:is>
      </x:c>
      <x:c r="J31" s="4" t="inlineStr">
        <x:is>
          <x:t xml:space="preserve">Ambulante und mobile neurologische Rehabilitation; Phase D regulär, Phase C nach ärztlicher Rücksprache; Eingliederung/Nachsorge Phase E</x:t>
        </x:is>
      </x:c>
      <x:c r="K31" s="4" t="inlineStr">
        <x:is>
          <x:t xml:space="preserve">ambulantes Rehazentrum; keine stationären Betten</x:t>
        </x:is>
      </x:c>
      <x:c r="L31" s="4" t="n"/>
      <x:c r="M31" s="4" t="inlineStr">
        <x:is>
          <x:t xml:space="preserve">mobile Reha nach §111 SGB V</x:t>
        </x:is>
      </x:c>
      <x:c r="N31" s="4" t="inlineStr">
        <x:is>
          <x:t xml:space="preserve">Heerstraße 109, Haus 1a</x:t>
        </x:is>
      </x:c>
      <x:c r="O31" s="4" t="inlineStr">
        <x:is>
          <x:t xml:space="preserve">53474</x:t>
        </x:is>
      </x:c>
      <x:c r="P31" s="4" t="inlineStr">
        <x:is>
          <x:t xml:space="preserve">Bad Neuenahr-Ahrweiler</x:t>
        </x:is>
      </x:c>
      <x:c r="Q31" s="4" t="inlineStr">
        <x:is>
          <x:t xml:space="preserve">02641 98040</x:t>
        </x:is>
      </x:c>
      <x:c r="R31" s="4" t="inlineStr">
        <x:is>
          <x:t xml:space="preserve">info@neuro-therapie.de</x:t>
        </x:is>
      </x:c>
      <x:c r="S31" s="4" t="inlineStr">
        <x:is>
          <x:t xml:space="preserve">https://www.neuro-therapie.de/</x:t>
        </x:is>
      </x:c>
      <x:c r="T31" s="4" t="inlineStr">
        <x:is>
          <x:t xml:space="preserve">Zentrale Aufnahme / Antragshilfe</x:t>
        </x:is>
      </x:c>
      <x:c r="U31" s="4" t="inlineStr">
        <x:is>
          <x:t xml:space="preserve">ambulante Aufnahme</x:t>
        </x:is>
      </x:c>
      <x:c r="V31" s="4" t="inlineStr">
        <x:is>
          <x:t xml:space="preserve">02641 98040</x:t>
        </x:is>
      </x:c>
      <x:c r="W31" s="4" t="inlineStr">
        <x:is>
          <x:t xml:space="preserve">info@neuro-therapie.de</x:t>
        </x:is>
      </x:c>
      <x:c r="X31" s="4" t="n">
        <x:v>50.548142477</x:v>
      </x:c>
      <x:c r="Y31" s="4" t="n">
        <x:v>7.1320017665</x:v>
      </x:c>
      <x:c r="Z31" s="4" t="inlineStr">
        <x:is>
          <x:t xml:space="preserve">A/B - Betreiberkoordinaten und Hausadresse verifiziert</x:t>
        </x:is>
      </x:c>
      <x:c r="AA31" s="4" t="inlineStr">
        <x:is>
          <x:t xml:space="preserve">2026-08-23</x:t>
        </x:is>
      </x:c>
      <x:c r="AB31" s="4" t="inlineStr">
        <x:is>
          <x:t xml:space="preserve">https://www.neuro-therapie.de/neurologische-reha-phasen-c-d-e/</x:t>
        </x:is>
      </x:c>
      <x:c r="AC31" s="4" t="inlineStr">
        <x:is>
          <x:t xml:space="preserve">https://www.neuro-therapie.de/ueber-uns/</x:t>
        </x:is>
      </x:c>
      <x:c r="AD31" s="4" t="inlineStr">
        <x:is>
          <x:t xml:space="preserve">neu ergänzt; wichtiger ambulanter C/D/E-Baustein</x:t>
        </x:is>
      </x:c>
    </x:row>
    <x:row r="32">
      <x:c r="A32" s="4" t="inlineStr">
        <x:is>
          <x:t xml:space="preserve">BW</x:t>
        </x:is>
      </x:c>
      <x:c r="B32" s="4" t="inlineStr">
        <x:is>
          <x:t xml:space="preserve">SRH Klinikum Karlsbad-Langensteinbach - Neurologische Frührehabilitation</x:t>
        </x:is>
      </x:c>
      <x:c r="C32" s="4" t="inlineStr">
        <x:is>
          <x:t xml:space="preserve">SRH Klinikum Karlsbad-Langensteinbach GmbH</x:t>
        </x:is>
      </x:c>
      <x:c r="D32" s="5" t="inlineStr">
        <x:is>
          <x:t xml:space="preserve">X</x:t>
        </x:is>
      </x:c>
      <x:c r="E32" s="5" t="inlineStr">
        <x:is>
          <x:t xml:space="preserve">X</x:t>
        </x:is>
      </x:c>
      <x:c r="F32" s="5" t="n"/>
      <x:c r="G32" s="5" t="n"/>
      <x:c r="H32" s="5" t="n"/>
      <x:c r="I32" s="4" t="inlineStr">
        <x:is>
          <x:t xml:space="preserve">A-B</x:t>
        </x:is>
      </x:c>
      <x:c r="J32" s="4" t="inlineStr">
        <x:is>
          <x:t xml:space="preserve">Akutneurologie und neurologische Frührehabilitation Phase B; schwere Hirnverletzungen; Trachealkanüle; zertifiziertes Weaningzentrum; Neuropsychologie</x:t>
        </x:is>
      </x:c>
      <x:c r="K32" s="4" t="inlineStr">
        <x:is>
          <x:t xml:space="preserve">aktuelle spezifische Phase-B-Bettenzahl öffentlich nicht eindeutig ausgewiesen</x:t>
        </x:is>
      </x:c>
      <x:c r="L32" s="4" t="n"/>
      <x:c r="M32" s="4" t="inlineStr">
        <x:is>
          <x:t xml:space="preserve">Beatmungs-/Weaningkompetenz; teilweise noch beatmete Patienten</x:t>
        </x:is>
      </x:c>
      <x:c r="N32" s="4" t="inlineStr">
        <x:is>
          <x:t xml:space="preserve">Guttmannstraße 1</x:t>
        </x:is>
      </x:c>
      <x:c r="O32" s="4" t="inlineStr">
        <x:is>
          <x:t xml:space="preserve">76307</x:t>
        </x:is>
      </x:c>
      <x:c r="P32" s="4" t="inlineStr">
        <x:is>
          <x:t xml:space="preserve">Karlsbad-Langensteinbach</x:t>
        </x:is>
      </x:c>
      <x:c r="Q32" s="4" t="inlineStr">
        <x:is>
          <x:t xml:space="preserve">07202 61-0</x:t>
        </x:is>
      </x:c>
      <x:c r="R32" s="4" t="inlineStr">
        <x:is>
          <x:t xml:space="preserve">neurologie.kkl@srh.de</x:t>
        </x:is>
      </x:c>
      <x:c r="S32" s="4" t="inlineStr">
        <x:is>
          <x:t xml:space="preserve">https://www.klinikum-karlsbad.de/medizin-und-pflege/fachabteilungen-zentren/neurologische-fruehrehabilitation/</x:t>
        </x:is>
      </x:c>
      <x:c r="T32" s="4" t="inlineStr">
        <x:is>
          <x:t xml:space="preserve">Martina Reichenbach / Dr. Guido Straten</x:t>
        </x:is>
      </x:c>
      <x:c r="U32" s="4" t="inlineStr">
        <x:is>
          <x:t xml:space="preserve">Sekretariat / Chefarzt Neurologische Frührehabilitation</x:t>
        </x:is>
      </x:c>
      <x:c r="V32" s="4" t="inlineStr">
        <x:is>
          <x:t xml:space="preserve">07202 61-3606</x:t>
        </x:is>
      </x:c>
      <x:c r="W32" s="4" t="inlineStr">
        <x:is>
          <x:t xml:space="preserve">neurologie.kkl@srh.de</x:t>
        </x:is>
      </x:c>
      <x:c r="X32" s="4" t="n">
        <x:v>48.90468</x:v>
      </x:c>
      <x:c r="Y32" s="4" t="n">
        <x:v>8.50258</x:v>
      </x:c>
      <x:c r="Z32" s="4" t="inlineStr">
        <x:is>
          <x:t xml:space="preserve">A - Klinikgebäude verifiziert</x:t>
        </x:is>
      </x:c>
      <x:c r="AA32" s="4" t="inlineStr">
        <x:is>
          <x:t xml:space="preserve">2026-08-23</x:t>
        </x:is>
      </x:c>
      <x:c r="AB32" s="4" t="inlineStr">
        <x:is>
          <x:t xml:space="preserve">https://www.klinikum-karlsbad.de/medizin-und-pflege/fachabteilungen-zentren/neurologische-fruehrehabilitation/</x:t>
        </x:is>
      </x:c>
      <x:c r="AC32" s="4" t="inlineStr">
        <x:is>
          <x:t xml:space="preserve">https://mapcarta.com/de/W1161699380</x:t>
        </x:is>
      </x:c>
      <x:c r="AD32" s="4" t="inlineStr">
        <x:is>
          <x:t xml:space="preserve">FINAL ergänzt: wichtiger Phase-B-Standort Karlsruhe/Nordbaden</x:t>
        </x:is>
      </x:c>
    </x:row>
    <x:row r="33">
      <x:c r="A33" s="4" t="inlineStr">
        <x:is>
          <x:t xml:space="preserve">BW</x:t>
        </x:is>
      </x:c>
      <x:c r="B33" s="4" t="inlineStr">
        <x:is>
          <x:t xml:space="preserve">Kreiskliniken Reutlingen - Klinik für Neurologie und Frührehabilitation</x:t>
        </x:is>
      </x:c>
      <x:c r="C33" s="4" t="inlineStr">
        <x:is>
          <x:t xml:space="preserve">Kreiskliniken Reutlingen gGmbH</x:t>
        </x:is>
      </x:c>
      <x:c r="D33" s="5" t="inlineStr">
        <x:is>
          <x:t xml:space="preserve">X</x:t>
        </x:is>
      </x:c>
      <x:c r="E33" s="5" t="inlineStr">
        <x:is>
          <x:t xml:space="preserve">X</x:t>
        </x:is>
      </x:c>
      <x:c r="F33" s="5" t="n"/>
      <x:c r="G33" s="5" t="n"/>
      <x:c r="H33" s="5" t="n"/>
      <x:c r="I33" s="4" t="inlineStr">
        <x:is>
          <x:t xml:space="preserve">A-B</x:t>
        </x:is>
      </x:c>
      <x:c r="J33" s="4" t="inlineStr">
        <x:is>
          <x:t xml:space="preserve">Akutneurologie, Stroke Unit und neurologisch-neurochirurgische Frührehabilitation Phase B; Beatmungs- und Trachealkanülen-Weaning; Schluckstörungen</x:t>
        </x:is>
      </x:c>
      <x:c r="K33" s="4" t="inlineStr">
        <x:is>
          <x:t xml:space="preserve">53 Betten Klinik Neurologie gesamt; Phase-B-Teilkapazität aktuell nicht separat ausgewiesen</x:t>
        </x:is>
      </x:c>
      <x:c r="L33" s="4" t="n"/>
      <x:c r="M33" s="4" t="inlineStr">
        <x:is>
          <x:t xml:space="preserve">Beatmungs-/Trachealkanülen-Weaning; Einbindung Intensivmedizin</x:t>
        </x:is>
      </x:c>
      <x:c r="N33" s="4" t="inlineStr">
        <x:is>
          <x:t xml:space="preserve">Steinenbergstraße 31</x:t>
        </x:is>
      </x:c>
      <x:c r="O33" s="4" t="inlineStr">
        <x:is>
          <x:t xml:space="preserve">72764</x:t>
        </x:is>
      </x:c>
      <x:c r="P33" s="4" t="inlineStr">
        <x:is>
          <x:t xml:space="preserve">Reutlingen</x:t>
        </x:is>
      </x:c>
      <x:c r="Q33" s="4" t="inlineStr">
        <x:is>
          <x:t xml:space="preserve">07121 200-0</x:t>
        </x:is>
      </x:c>
      <x:c r="R33" s="4" t="inlineStr">
        <x:is>
          <x:t xml:space="preserve">neurologie@kliniken-rt.de</x:t>
        </x:is>
      </x:c>
      <x:c r="S33" s="4" t="inlineStr">
        <x:is>
          <x:t xml:space="preserve">https://www.kreiskliniken-reutlingen.de/kliniken-bereiche/kliniken/klinik-fuer-neurologie-und-fruehrehabilitation/</x:t>
        </x:is>
      </x:c>
      <x:c r="T33" s="4" t="inlineStr">
        <x:is>
          <x:t xml:space="preserve">Dr. Frank Andres / Sekretariat</x:t>
        </x:is>
      </x:c>
      <x:c r="U33" s="4" t="inlineStr">
        <x:is>
          <x:t xml:space="preserve">Chefarzt / Anmeldung Neurofrührehabilitation</x:t>
        </x:is>
      </x:c>
      <x:c r="V33" s="4" t="inlineStr">
        <x:is>
          <x:t xml:space="preserve">07121 200-4642</x:t>
        </x:is>
      </x:c>
      <x:c r="W33" s="4" t="inlineStr">
        <x:is>
          <x:t xml:space="preserve">neurologie@kliniken-rt.de</x:t>
        </x:is>
      </x:c>
      <x:c r="X33" s="4" t="n">
        <x:v>48.4838</x:v>
      </x:c>
      <x:c r="Y33" s="4" t="n">
        <x:v>9.218719999999999</x:v>
      </x:c>
      <x:c r="Z33" s="4" t="inlineStr">
        <x:is>
          <x:t xml:space="preserve">A - Klinikum am Steinenberg verifiziert</x:t>
        </x:is>
      </x:c>
      <x:c r="AA33" s="4" t="inlineStr">
        <x:is>
          <x:t xml:space="preserve">2026-08-23</x:t>
        </x:is>
      </x:c>
      <x:c r="AB33" s="4" t="inlineStr">
        <x:is>
          <x:t xml:space="preserve">https://www.kreiskliniken-reutlingen.de/kliniken-bereiche/kliniken/klinik-fuer-neurologie-und-fruehrehabilitation/</x:t>
        </x:is>
      </x:c>
      <x:c r="AC33" s="4" t="inlineStr">
        <x:is>
          <x:t xml:space="preserve">https://mapcarta.com/de/W791726057</x:t>
        </x:is>
      </x:c>
      <x:c r="AD33" s="4" t="inlineStr">
        <x:is>
          <x:t xml:space="preserve">FINAL ergänzt: Phase B Region Neckar-Alb/Stuttgart</x:t>
        </x:is>
      </x:c>
    </x:row>
    <x:row r="34">
      <x:c r="A34" s="4" t="inlineStr">
        <x:is>
          <x:t xml:space="preserve">BW</x:t>
        </x:is>
      </x:c>
      <x:c r="B34" s="4" t="inlineStr">
        <x:is>
          <x:t xml:space="preserve">Universitätsklinikum Ulm / RKU - Neurologische Rehabilitation</x:t>
        </x:is>
      </x:c>
      <x:c r="C34" s="4" t="inlineStr">
        <x:is>
          <x:t xml:space="preserve">Universitätsklinikum Ulm</x:t>
        </x:is>
      </x:c>
      <x:c r="D34" s="5" t="n"/>
      <x:c r="E34" s="5" t="inlineStr">
        <x:is>
          <x:t xml:space="preserve">X</x:t>
        </x:is>
      </x:c>
      <x:c r="F34" s="5" t="inlineStr">
        <x:is>
          <x:t xml:space="preserve">X</x:t>
        </x:is>
      </x:c>
      <x:c r="G34" s="5" t="inlineStr">
        <x:is>
          <x:t xml:space="preserve">X</x:t>
        </x:is>
      </x:c>
      <x:c r="H34" s="5" t="inlineStr">
        <x:is>
          <x:t xml:space="preserve">X</x:t>
        </x:is>
      </x:c>
      <x:c r="I34" s="4" t="inlineStr">
        <x:is>
          <x:t xml:space="preserve">B-E</x:t>
        </x:is>
      </x:c>
      <x:c r="J34" s="4" t="inlineStr">
        <x:is>
          <x:t xml:space="preserve">Neurologische Rehabilitationskette B bis E; Phase C/D stationär, Phase E ambulant/Berufstherapie; SHT, Schlaganfall, neuromuskuläre Erkrankungen; neuropsychologische und berufliche Rehabilitation</x:t>
        </x:is>
      </x:c>
      <x:c r="K34" s="4" t="inlineStr">
        <x:is>
          <x:t xml:space="preserve">Phase E/medizinisch-berufliche Rehabilitation: historisch 115 Maßnahmeplätze eingerichtet; aktuelle belegbare Gesamtzahl nicht eindeutig veröffentlicht</x:t>
        </x:is>
      </x:c>
      <x:c r="L34" s="4" t="n"/>
      <x:c r="M34" s="4" t="inlineStr">
        <x:is>
          <x:t xml:space="preserve">Phase B wird am Campus Nord angeboten; C-D-E im Rehabilitationsbereich</x:t>
        </x:is>
      </x:c>
      <x:c r="N34" s="4" t="inlineStr">
        <x:is>
          <x:t xml:space="preserve">Oberer Eselsberg 45</x:t>
        </x:is>
      </x:c>
      <x:c r="O34" s="4" t="inlineStr">
        <x:is>
          <x:t xml:space="preserve">89081</x:t>
        </x:is>
      </x:c>
      <x:c r="P34" s="4" t="inlineStr">
        <x:is>
          <x:t xml:space="preserve">Ulm</x:t>
        </x:is>
      </x:c>
      <x:c r="Q34" s="4" t="inlineStr">
        <x:is>
          <x:t xml:space="preserve">0731 177-0</x:t>
        </x:is>
      </x:c>
      <x:c r="R34" s="4" t="inlineStr">
        <x:is>
          <x:t xml:space="preserve">patientenservice.reha-neuro@uniklinik-ulm.de</x:t>
        </x:is>
      </x:c>
      <x:c r="S34" s="4" t="inlineStr">
        <x:is>
          <x:t xml:space="preserve">https://www.uniklinik-ulm.de/rehabilitationsmedizin/schwerpunkte/neurologische-rehabilitation-phase-c-d.html</x:t>
        </x:is>
      </x:c>
      <x:c r="T34" s="4" t="inlineStr">
        <x:is>
          <x:t xml:space="preserve">Case Management Neurologische Rehabilitation / Prof. Dr. Angela Rosenbohm</x:t>
        </x:is>
      </x:c>
      <x:c r="U34" s="4" t="inlineStr">
        <x:is>
          <x:t xml:space="preserve">Aufnahme / Chefärztin Neurologische Rehabilitation</x:t>
        </x:is>
      </x:c>
      <x:c r="V34" s="4" t="inlineStr">
        <x:is>
          <x:t xml:space="preserve">0731 177-5493</x:t>
        </x:is>
      </x:c>
      <x:c r="W34" s="4" t="inlineStr">
        <x:is>
          <x:t xml:space="preserve">patientenservice.reha-neuro@uniklinik-ulm.de</x:t>
        </x:is>
      </x:c>
      <x:c r="X34" s="4" t="n">
        <x:v>48.424451</x:v>
      </x:c>
      <x:c r="Y34" s="4" t="n">
        <x:v>9.94477</x:v>
      </x:c>
      <x:c r="Z34" s="4" t="inlineStr">
        <x:is>
          <x:t xml:space="preserve">A - RKU Klinikgebäude verifiziert</x:t>
        </x:is>
      </x:c>
      <x:c r="AA34" s="4" t="inlineStr">
        <x:is>
          <x:t xml:space="preserve">2026-08-23</x:t>
        </x:is>
      </x:c>
      <x:c r="AB34" s="4" t="inlineStr">
        <x:is>
          <x:t xml:space="preserve">https://www.uniklinik-ulm.de/rehabilitationsmedizin/schwerpunkte/neurologische-rehabilitation-phase-c-d.html</x:t>
        </x:is>
      </x:c>
      <x:c r="AC34" s="4" t="inlineStr">
        <x:is>
          <x:t xml:space="preserve">https://karte.bayern/poi/ort/rku-universitaets-und-rehabilitationskliniken-ulm-89081-ulm-way-306976824</x:t>
        </x:is>
      </x:c>
      <x:c r="AD34" s="4" t="inlineStr">
        <x:is>
          <x:t xml:space="preserve">FINAL ergänzt: sehr wichtiger Phase-E-/medizinisch-beruflicher Standort</x:t>
        </x:is>
      </x:c>
    </x:row>
    <x:row r="35">
      <x:c r="A35" s="4" t="inlineStr">
        <x:is>
          <x:t xml:space="preserve">BW</x:t>
        </x:is>
      </x:c>
      <x:c r="B35" s="4" t="inlineStr">
        <x:is>
          <x:t xml:space="preserve">MEDICLIN Campus Wertheim - Fachklinik Neurologie</x:t>
        </x:is>
      </x:c>
      <x:c r="C35" s="4" t="inlineStr">
        <x:is>
          <x:t xml:space="preserve">MEDICLIN CAMPUS WERTHEIM GmbH</x:t>
        </x:is>
      </x:c>
      <x:c r="D35" s="5" t="n"/>
      <x:c r="E35" s="5" t="n"/>
      <x:c r="F35" s="5" t="inlineStr">
        <x:is>
          <x:t xml:space="preserve">X</x:t>
        </x:is>
      </x:c>
      <x:c r="G35" s="5" t="inlineStr">
        <x:is>
          <x:t xml:space="preserve">X</x:t>
        </x:is>
      </x:c>
      <x:c r="H35" s="5" t="n"/>
      <x:c r="I35" s="4" t="inlineStr">
        <x:is>
          <x:t xml:space="preserve">C-D</x:t>
        </x:is>
      </x:c>
      <x:c r="J35" s="4" t="inlineStr">
        <x:is>
          <x:t xml:space="preserve">Neurologische Rehabilitation Phase C/D; Schlaganfall, Schädel-Hirn-Trauma und weitere neurologische/neurochirurgische Krankheitsbilder; Neuropsychologie, Logopädie, Dysphagie</x:t>
        </x:is>
      </x:c>
      <x:c r="K35" s="4" t="inlineStr">
        <x:is>
          <x:t xml:space="preserve">aktuelle phasenspezifische Platzzahl öffentlich nicht separat ausgewiesen</x:t>
        </x:is>
      </x:c>
      <x:c r="L35" s="4" t="n"/>
      <x:c r="M35" s="4" t="inlineStr">
        <x:is>
          <x:t xml:space="preserve">keine Phase B</x:t>
        </x:is>
      </x:c>
      <x:c r="N35" s="4" t="inlineStr">
        <x:is>
          <x:t xml:space="preserve">Rotkreuzstraße 2</x:t>
        </x:is>
      </x:c>
      <x:c r="O35" s="4" t="inlineStr">
        <x:is>
          <x:t xml:space="preserve">97877</x:t>
        </x:is>
      </x:c>
      <x:c r="P35" s="4" t="inlineStr">
        <x:is>
          <x:t xml:space="preserve">Wertheim</x:t>
        </x:is>
      </x:c>
      <x:c r="Q35" s="4" t="inlineStr">
        <x:is>
          <x:t xml:space="preserve">09342 303-7000</x:t>
        </x:is>
      </x:c>
      <x:c r="R35" s="4" t="n"/>
      <x:c r="S35" s="4" t="inlineStr">
        <x:is>
          <x:t xml:space="preserve">https://campus-wertheim.de/fachbereiche-und-krankheitsbilder/neurologie/</x:t>
        </x:is>
      </x:c>
      <x:c r="T35" s="4" t="inlineStr">
        <x:is>
          <x:t xml:space="preserve">Natalie Werner / Claudia Brößler / Silke Walter</x:t>
        </x:is>
      </x:c>
      <x:c r="U35" s="4" t="inlineStr">
        <x:is>
          <x:t xml:space="preserve">Teamleitung Patientenmanagement / Patientenmanagement</x:t>
        </x:is>
      </x:c>
      <x:c r="V35" s="4" t="inlineStr">
        <x:is>
          <x:t xml:space="preserve">09342 303-7004 / -7006 / -7005</x:t>
        </x:is>
      </x:c>
      <x:c r="W35" s="4" t="n"/>
      <x:c r="X35" s="4" t="n">
        <x:v>49.76117</x:v>
      </x:c>
      <x:c r="Y35" s="4" t="n">
        <x:v>9.498010000000001</x:v>
      </x:c>
      <x:c r="Z35" s="4" t="inlineStr">
        <x:is>
          <x:t xml:space="preserve">A - Krankenhaus-/Campusstandort verifiziert</x:t>
        </x:is>
      </x:c>
      <x:c r="AA35" s="4" t="inlineStr">
        <x:is>
          <x:t xml:space="preserve">2026-08-23</x:t>
        </x:is>
      </x:c>
      <x:c r="AB35" s="4" t="inlineStr">
        <x:is>
          <x:t xml:space="preserve">https://campus-wertheim.de/fachbereiche-und-krankheitsbilder/neurologie/</x:t>
        </x:is>
      </x:c>
      <x:c r="AC35" s="4" t="inlineStr">
        <x:is>
          <x:t xml:space="preserve">https://mapcarta.com/de/W1351845930</x:t>
        </x:is>
      </x:c>
      <x:c r="AD35" s="4" t="inlineStr">
        <x:is>
          <x:t xml:space="preserve">FINAL ergänzt: regional relevant für Main-Tauber/Unterfranken</x:t>
        </x:is>
      </x:c>
    </x:row>
    <x:row r="36">
      <x:c r="A36" t="str">
        <x:v>HE</x:v>
      </x:c>
      <x:c r="B36" t="str">
        <x:v>Asklepios Schlossberg Klinik Bad König</x:v>
      </x:c>
      <x:c r="C36" t="str">
        <x:v>Asklepios Kliniken</x:v>
      </x:c>
      <x:c r="D36"/>
      <x:c r="E36" t="str">
        <x:v>X</x:v>
      </x:c>
      <x:c r="F36"/>
      <x:c r="G36"/>
      <x:c r="H36"/>
      <x:c r="I36" t="str">
        <x:v>B</x:v>
      </x:c>
      <x:c r="J36" t="str">
        <x:v>Neurologisch-neurochirurgische Frührehabilitation Phase B; schwere Hirnschäden; Weaning; kognitive, motorische und Schluckrehabilitation</x:v>
      </x:c>
      <x:c r="K36" t="str">
        <x:v>129 Betten laut aktuellem Klinikportrait; Klinik auf Phase B spezialisiert</x:v>
      </x:c>
      <x:c r="L36" t="str">
        <x:v>129</x:v>
      </x:c>
      <x:c r="M36" t="str">
        <x:v>Neurologisches Weaningzentrum; intensivmedizinisch geprägte Frührehabilitation</x:v>
      </x:c>
      <x:c r="N36" t="str">
        <x:v>Frankfurter Straße 33</x:v>
      </x:c>
      <x:c r="O36" t="str">
        <x:v>64732</x:v>
      </x:c>
      <x:c r="P36" t="str">
        <x:v>Bad König</x:v>
      </x:c>
      <x:c r="Q36" t="str">
        <x:v>06063 501-0</x:v>
      </x:c>
      <x:c r="R36"/>
      <x:c r="S36" t="str">
        <x:v>https://www.asklepios.com/bad-koenig/</x:v>
      </x:c>
      <x:c r="T36" t="str">
        <x:v>Dr. med. Michael Hartwich / Melanie Jahn</x:v>
      </x:c>
      <x:c r="U36" t="str">
        <x:v>Chefarzt Neurologische Frührehabilitation / Referentin ärztliche Leitungen</x:v>
      </x:c>
      <x:c r="V36" t="str">
        <x:v>06063 501-362</x:v>
      </x:c>
      <x:c r="W36"/>
      <x:c r="X36" t="n">
        <x:v>49.74512</x:v>
      </x:c>
      <x:c r="Y36" t="n">
        <x:v>9.00504</x:v>
      </x:c>
      <x:c r="Z36" t="str">
        <x:v>A - Klinikgebäude / Hausadresse verifiziert</x:v>
      </x:c>
      <x:c r="AA36" t="str">
        <x:v>2026-08-26</x:v>
      </x:c>
      <x:c r="AB36" t="str">
        <x:v>https://www.asklepios.com/bad-koenig/ueber-uns/klinikportrait</x:v>
      </x:c>
      <x:c r="AC36" t="str">
        <x:v>https://mapcarta.com/W894177175</x:v>
      </x:c>
      <x:c r="AD36" t="str">
        <x:v>freigegeben; aktuelle Primärquelle weist Phase B aus – nicht Phase C</x:v>
      </x:c>
    </x:row>
    <x:row r="37">
      <x:c r="A37" t="str">
        <x:v>BW</x:v>
      </x:c>
      <x:c r="B37" t="str">
        <x:v>SRH Kurpfalzkrankenhaus Heidelberg</x:v>
      </x:c>
      <x:c r="C37" t="str">
        <x:v>SRH Gesundheit</x:v>
      </x:c>
      <x:c r="D37"/>
      <x:c r="E37" t="str">
        <x:v>X</x:v>
      </x:c>
      <x:c r="F37"/>
      <x:c r="G37"/>
      <x:c r="H37"/>
      <x:c r="I37" t="str">
        <x:v>B</x:v>
      </x:c>
      <x:c r="J37" t="str">
        <x:v>Fachkrankenhaus Neurologie; neurologisch-neurochirurgische Frührehabilitation Phase B; neurologische Intensivmedizin; Parkinson</x:v>
      </x:c>
      <x:c r="K37" t="str">
        <x:v>rund 100 Betten gesamt; Phase-B-Platzzahl aktuell nicht separat veröffentlicht</x:v>
      </x:c>
      <x:c r="L37"/>
      <x:c r="M37" t="str">
        <x:v>Neurologische Intensivstation; Phase-B-Frührehabilitation</x:v>
      </x:c>
      <x:c r="N37" t="str">
        <x:v>Bonhoefferstraße 5</x:v>
      </x:c>
      <x:c r="O37" t="str">
        <x:v>69123</x:v>
      </x:c>
      <x:c r="P37" t="str">
        <x:v>Heidelberg</x:v>
      </x:c>
      <x:c r="Q37" t="str">
        <x:v>06221 88-4010</x:v>
      </x:c>
      <x:c r="R37" t="str">
        <x:v>info.kkh@srh.de</x:v>
      </x:c>
      <x:c r="S37" t="str">
        <x:v>https://www.kurpfalzkrankenhaus.de/</x:v>
      </x:c>
      <x:c r="T37" t="str">
        <x:v>Beate Paschka</x:v>
      </x:c>
      <x:c r="U37" t="str">
        <x:v>Belegungsmanagement Frührehabilitation &amp; Intensivmedizin</x:v>
      </x:c>
      <x:c r="V37" t="str">
        <x:v>06221 88-4101</x:v>
      </x:c>
      <x:c r="W37"/>
      <x:c r="X37" t="n">
        <x:v>49.4136</x:v>
      </x:c>
      <x:c r="Y37" t="n">
        <x:v>8.65381</x:v>
      </x:c>
      <x:c r="Z37" t="str">
        <x:v>A - Klinikstandort / Hausadresse verifiziert</x:v>
      </x:c>
      <x:c r="AA37" t="str">
        <x:v>2026-08-26</x:v>
      </x:c>
      <x:c r="AB37" t="str">
        <x:v>https://www.kurpfalzkrankenhaus.de/medizin-und-pflege/fachabteilungen/neurologie/</x:v>
      </x:c>
      <x:c r="AC37" t="str">
        <x:v>https://mapcarta.com/34232080</x:v>
      </x:c>
      <x:c r="AD37" t="str">
        <x:v>freigegeben; aktuelle Primärquelle weist Phase B aus – nicht Phase C</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1" customWidth="1"/>
    <x:col min="2" max="2" width="34" customWidth="1"/>
    <x:col min="3" max="3" width="28" customWidth="1"/>
    <x:col min="4" max="4" width="27" customWidth="1"/>
    <x:col min="5" max="5" width="9" customWidth="1"/>
    <x:col min="6" max="6" width="20" customWidth="1"/>
    <x:col min="7" max="7" width="18" customWidth="1"/>
    <x:col min="8" max="8" width="32" customWidth="1"/>
    <x:col min="9" max="9" width="36" customWidth="1"/>
    <x:col min="10" max="10" width="48" customWidth="1"/>
    <x:col min="11" max="11" width="10" customWidth="1"/>
    <x:col min="12" max="12" width="48" customWidth="1"/>
    <x:col min="13" max="13" width="25" customWidth="1"/>
    <x:col min="14" max="14" width="48" customWidth="1"/>
    <x:col min="15" max="15" width="13" customWidth="1"/>
    <x:col min="16" max="16" width="13" customWidth="1"/>
    <x:col min="17" max="17" width="13" customWidth="1"/>
    <x:col min="18" max="18" width="35" customWidth="1"/>
    <x:col min="19" max="19" width="18" customWidth="1"/>
    <x:col min="20" max="20" width="42" customWidth="1"/>
    <x:col min="21" max="21" width="32" customWidth="1"/>
    <x:col min="22" max="22" width="28" customWidth="1"/>
    <x:col min="23" max="23" width="24" customWidth="1"/>
    <x:col min="24" max="24" width="34" customWidth="1"/>
    <x:col min="25" max="25" width="52" customWidth="1"/>
    <x:col min="26" max="26" width="18" customWidth="1"/>
    <x:col min="27" max="27" width="14" customWidth="1"/>
    <x:col min="28" max="28" width="55" customWidth="1"/>
  </x:cols>
  <x:sheetData>
    <x:row r="1">
      <x:c r="A1" s="6" t="inlineStr">
        <x:is>
          <x:t xml:space="preserve">Bundesland</x:t>
        </x:is>
      </x:c>
      <x:c r="B1" s="6" t="inlineStr">
        <x:is>
          <x:t xml:space="preserve">Einrichtung</x:t>
        </x:is>
      </x:c>
      <x:c r="C1" s="6" t="inlineStr">
        <x:is>
          <x:t xml:space="preserve">Träger</x:t>
        </x:is>
      </x:c>
      <x:c r="D1" s="6" t="inlineStr">
        <x:is>
          <x:t xml:space="preserve">Straße</x:t>
        </x:is>
      </x:c>
      <x:c r="E1" s="6" t="inlineStr">
        <x:is>
          <x:t xml:space="preserve">PLZ</x:t>
        </x:is>
      </x:c>
      <x:c r="F1" s="6" t="inlineStr">
        <x:is>
          <x:t xml:space="preserve">Ort</x:t>
        </x:is>
      </x:c>
      <x:c r="G1" s="6" t="inlineStr">
        <x:is>
          <x:t xml:space="preserve">Telefon</x:t>
        </x:is>
      </x:c>
      <x:c r="H1" s="6" t="inlineStr">
        <x:is>
          <x:t xml:space="preserve">E-Mail</x:t>
        </x:is>
      </x:c>
      <x:c r="I1" s="6" t="inlineStr">
        <x:is>
          <x:t xml:space="preserve">Website</x:t>
        </x:is>
      </x:c>
      <x:c r="J1" s="6" t="inlineStr">
        <x:is>
          <x:t xml:space="preserve">Leistungsprofil</x:t>
        </x:is>
      </x:c>
      <x:c r="K1" s="6" t="inlineStr">
        <x:is>
          <x:t xml:space="preserve">Plätze (bisheriger Datenstand)</x:t>
        </x:is>
      </x:c>
      <x:c r="L1" s="6" t="inlineStr">
        <x:is>
          <x:t xml:space="preserve">Prüf-/Betriebshinweis</x:t>
        </x:is>
      </x:c>
      <x:c r="M1" s="6" t="inlineStr">
        <x:is>
          <x:t xml:space="preserve">Nachweis</x:t>
        </x:is>
      </x:c>
      <x:c r="N1" s="6" t="inlineStr">
        <x:is>
          <x:t xml:space="preserve">Quellen-URL</x:t>
        </x:is>
      </x:c>
      <x:c r="O1" s="6" t="inlineStr">
        <x:is>
          <x:t xml:space="preserve">Prüfdatum</x:t>
        </x:is>
      </x:c>
      <x:c r="P1" s="6" t="inlineStr">
        <x:is>
          <x:t xml:space="preserve">Breitengrad</x:t>
        </x:is>
      </x:c>
      <x:c r="Q1" s="6" t="inlineStr">
        <x:is>
          <x:t xml:space="preserve">Längengrad</x:t>
        </x:is>
      </x:c>
      <x:c r="R1" s="6" t="inlineStr">
        <x:is>
          <x:t xml:space="preserve">Geodatenstatus</x:t>
        </x:is>
      </x:c>
      <x:c r="S1" s="7" t="inlineStr">
        <x:is>
          <x:t xml:space="preserve">Phase-F-Plätze aktuell</x:t>
        </x:is>
      </x:c>
      <x:c r="T1" s="7" t="inlineStr">
        <x:is>
          <x:t xml:space="preserve">Kapazitätsstand / Einordnung</x:t>
        </x:is>
      </x:c>
      <x:c r="U1" s="7" t="inlineStr">
        <x:is>
          <x:t xml:space="preserve">Ansprechpartner Aufnahme/Belegung</x:t>
        </x:is>
      </x:c>
      <x:c r="V1" s="7" t="inlineStr">
        <x:is>
          <x:t xml:space="preserve">Funktion</x:t>
        </x:is>
      </x:c>
      <x:c r="W1" s="7" t="inlineStr">
        <x:is>
          <x:t xml:space="preserve">Direkttelefon</x:t>
        </x:is>
      </x:c>
      <x:c r="X1" s="7" t="inlineStr">
        <x:is>
          <x:t xml:space="preserve">Direkt-E-Mail</x:t>
        </x:is>
      </x:c>
      <x:c r="Y1" s="7" t="inlineStr">
        <x:is>
          <x:t xml:space="preserve">Quelle Plätze / Ansprechpartner</x:t>
        </x:is>
      </x:c>
      <x:c r="Z1" s="8" t="inlineStr">
        <x:is>
          <x:t xml:space="preserve">Geo-Qualitätsstufe</x:t>
        </x:is>
      </x:c>
      <x:c r="AA1" s="8" t="inlineStr">
        <x:is>
          <x:t xml:space="preserve">Geo-Prüfdatum</x:t>
        </x:is>
      </x:c>
      <x:c r="AB1" s="8" t="inlineStr">
        <x:is>
          <x:t xml:space="preserve">Geo-Prüfmethode</x:t>
        </x:is>
      </x:c>
    </x:row>
    <x:row r="2">
      <x:c r="A2" s="9" t="inlineStr">
        <x:is>
          <x:t xml:space="preserve">HE</x:t>
        </x:is>
      </x:c>
      <x:c r="B2" s="9" t="inlineStr">
        <x:is>
          <x:t xml:space="preserve">Pflegezentrum Darmstädter Landstraße (AWO Frankfurt)</x:t>
        </x:is>
      </x:c>
      <x:c r="C2" s="9" t="inlineStr">
        <x:is>
          <x:t xml:space="preserve">Johanna-Kirchner-Stiftung / AWO Frankfurt</x:t>
        </x:is>
      </x:c>
      <x:c r="D2" s="9" t="inlineStr">
        <x:is>
          <x:t xml:space="preserve">Darmstädter Landstraße 104</x:t>
        </x:is>
      </x:c>
      <x:c r="E2" s="9" t="inlineStr">
        <x:is>
          <x:t xml:space="preserve">60598</x:t>
        </x:is>
      </x:c>
      <x:c r="F2" s="9" t="inlineStr">
        <x:is>
          <x:t xml:space="preserve">Frankfurt am Main</x:t>
        </x:is>
      </x:c>
      <x:c r="G2" s="9" t="inlineStr">
        <x:is>
          <x:t xml:space="preserve">069 21931920</x:t>
        </x:is>
      </x:c>
      <x:c r="H2" s="9" t="inlineStr">
        <x:is>
          <x:t xml:space="preserve">pflegezentrum.dls@awo-frankfurt.de</x:t>
        </x:is>
      </x:c>
      <x:c r="I2" s="9" t="inlineStr">
        <x:is>
          <x:t xml:space="preserve">https://www.awo-frankfurt.de/dls</x:t>
        </x:is>
      </x:c>
      <x:c r="J2" s="9" t="inlineStr">
        <x:is>
          <x:t xml:space="preserve">Phase F; schwere neurologische Schädigungen; Wachkoma</x:t>
        </x:is>
      </x:c>
      <x:c r="K2" s="9" t="inlineStr">
        <x:is>
          <x:t xml:space="preserve">30</x:t>
        </x:is>
      </x:c>
      <x:c r="L2" s="9" t="inlineStr">
        <x:is>
          <x:t xml:space="preserve">aktuell bestätigt</x:t>
        </x:is>
      </x:c>
      <x:c r="M2" s="9" t="inlineStr">
        <x:is>
          <x:t xml:space="preserve">AWO/BAG Phase F</x:t>
        </x:is>
      </x:c>
      <x:c r="N2" s="9" t="inlineStr">
        <x:is>
          <x:t xml:space="preserve">https://www.awo-frankfurt.de/dls</x:t>
        </x:is>
      </x:c>
      <x:c r="O2" s="9" t="inlineStr">
        <x:is>
          <x:t xml:space="preserve">2026-08-23</x:t>
        </x:is>
      </x:c>
      <x:c r="P2" s="9" t="n">
        <x:v>50.0975809</x:v>
      </x:c>
      <x:c r="Q2" s="9" t="n">
        <x:v>8.6907716</x:v>
      </x:c>
      <x:c r="R2" s="9" t="inlineStr">
        <x:is>
          <x:t xml:space="preserve">Stufe A/B – vorhandener Gebäude-/Adresspunkt verifiziert; Adresspunkt verifiziert; Karten-/Adressdatensatz</x:t>
        </x:is>
      </x:c>
      <x:c r="S2" s="9" t="n">
        <x:v>30</x:v>
      </x:c>
      <x:c r="T2" s="9" t="inlineStr">
        <x:is>
          <x:t xml:space="preserve">30 ausgestattete Einzelzimmer Phase F, aktuell auf Betreiberseite ausgewiesen</x:t>
        </x:is>
      </x:c>
      <x:c r="U2" s="9" t="inlineStr">
        <x:is>
          <x:t xml:space="preserve">Heimaufnahme / Belegungsanfrage</x:t>
        </x:is>
      </x:c>
      <x:c r="V2" s="9" t="inlineStr">
        <x:is>
          <x:t xml:space="preserve">funktionale Heimaufnahme</x:t>
        </x:is>
      </x:c>
      <x:c r="W2" s="9" t="inlineStr">
        <x:is>
          <x:t xml:space="preserve">069 21931920</x:t>
        </x:is>
      </x:c>
      <x:c r="X2" s="9" t="inlineStr">
        <x:is>
          <x:t xml:space="preserve">pflegezentrum.dls@awo-frankfurt.de</x:t>
        </x:is>
      </x:c>
      <x:c r="Y2" s="9" t="inlineStr">
        <x:is>
          <x:t xml:space="preserve">https://www.awo-frankfurt.de/dls</x:t>
        </x:is>
      </x:c>
      <x:c r="Z2" s="9" t="inlineStr">
        <x:is>
          <x:t xml:space="preserve">A/B</x:t>
        </x:is>
      </x:c>
      <x:c r="AA2" s="9" t="inlineStr">
        <x:is>
          <x:t xml:space="preserve">2026-08-23</x:t>
        </x:is>
      </x:c>
      <x:c r="AB2" s="9" t="inlineStr">
        <x:is>
          <x:t xml:space="preserve">Hausanschrift gegen aktuelle Betreiber-/amtliche Quelle geprüft; Karten-/Adresspunkt auf Plausibilität mit PLZ, Ort und Straße abgeglichen</x:t>
        </x:is>
      </x:c>
    </x:row>
    <x:row r="3">
      <x:c r="A3" s="9" t="inlineStr">
        <x:is>
          <x:t xml:space="preserve">HE</x:t>
        </x:is>
      </x:c>
      <x:c r="B3" s="9" t="inlineStr">
        <x:is>
          <x:t xml:space="preserve">August-Stunz-Zentrum</x:t>
        </x:is>
      </x:c>
      <x:c r="C3" s="9" t="inlineStr">
        <x:is>
          <x:t xml:space="preserve">Johanna-Kirchner-Stiftung / AWO Frankfurt</x:t>
        </x:is>
      </x:c>
      <x:c r="D3" s="9" t="inlineStr">
        <x:is>
          <x:t xml:space="preserve">Röderbergweg 82</x:t>
        </x:is>
      </x:c>
      <x:c r="E3" s="9" t="inlineStr">
        <x:is>
          <x:t xml:space="preserve">60314</x:t>
        </x:is>
      </x:c>
      <x:c r="F3" s="9" t="inlineStr">
        <x:is>
          <x:t xml:space="preserve">Frankfurt am Main</x:t>
        </x:is>
      </x:c>
      <x:c r="G3" s="9" t="inlineStr">
        <x:is>
          <x:t xml:space="preserve">069 40504145</x:t>
        </x:is>
      </x:c>
      <x:c r="H3" s="9" t="inlineStr">
        <x:is>
          <x:t xml:space="preserve">nicole.weinzierl.asz@awo-frankfurt.de</x:t>
        </x:is>
      </x:c>
      <x:c r="I3" s="9" t="inlineStr">
        <x:is>
          <x:t xml:space="preserve">https://www.awo-frankfurt.de/phasef</x:t>
        </x:is>
      </x:c>
      <x:c r="J3" s="9" t="inlineStr">
        <x:is>
          <x:t xml:space="preserve">Phase F; Wachkoma; schwere neurologische Schädigungen</x:t>
        </x:is>
      </x:c>
      <x:c r="K3" s="9" t="inlineStr">
        <x:is>
          <x:t xml:space="preserve">48</x:t>
        </x:is>
      </x:c>
      <x:c r="L3" s="9" t="inlineStr">
        <x:is>
          <x:t xml:space="preserve">2026 Sanierungs-/Verlagerungssituation; aktuelle Aufnahme/Versorgungsadresse vor Belegung klären</x:t>
        </x:is>
      </x:c>
      <x:c r="M3" s="9" t="inlineStr">
        <x:is>
          <x:t xml:space="preserve">AWO Frankfurt</x:t>
        </x:is>
      </x:c>
      <x:c r="N3" s="9" t="inlineStr">
        <x:is>
          <x:t xml:space="preserve">https://www.awo-frankfurt.de/phasef</x:t>
        </x:is>
      </x:c>
      <x:c r="O3" s="9" t="inlineStr">
        <x:is>
          <x:t xml:space="preserve">2026-08-23</x:t>
        </x:is>
      </x:c>
      <x:c r="P3" s="9" t="n">
        <x:v>50.1151</x:v>
      </x:c>
      <x:c r="Q3" s="9" t="n">
        <x:v>8.70818</x:v>
      </x:c>
      <x:c r="R3" s="9" t="inlineStr">
        <x:is>
          <x:t xml:space="preserve">Stufe A/B – vorhandener Gebäude-/Adresspunkt verifiziert; Einrichtungsgebäude verifiziert; OSM/Mapcarta</x:t>
        </x:is>
      </x:c>
      <x:c r="S3" s="9" t="n"/>
      <x:c r="T3" s="9" t="inlineStr">
        <x:is>
          <x:t xml:space="preserve">Phase-F-Bereich 2026 sanierungsbedingt verlagert; keine separate aktuelle Phase-F-Kapazität am Röderbergweg als sicher fortzuschreiben</x:t>
        </x:is>
      </x:c>
      <x:c r="U3" s="9" t="inlineStr">
        <x:is>
          <x:t xml:space="preserve">Nicole Weinzierl</x:t>
        </x:is>
      </x:c>
      <x:c r="V3" s="9" t="inlineStr">
        <x:is>
          <x:t xml:space="preserve">Sozialdienst und Heimaufnahme</x:t>
        </x:is>
      </x:c>
      <x:c r="W3" s="9" t="inlineStr">
        <x:is>
          <x:t xml:space="preserve">069 40504145</x:t>
        </x:is>
      </x:c>
      <x:c r="X3" s="9" t="inlineStr">
        <x:is>
          <x:t xml:space="preserve">nicole.weinzierl.asz@awo-frankfurt.de</x:t>
        </x:is>
      </x:c>
      <x:c r="Y3" s="9" t="inlineStr">
        <x:is>
          <x:t xml:space="preserve">https://www.awo-frankfurt.de/asz</x:t>
        </x:is>
      </x:c>
      <x:c r="Z3" s="9" t="inlineStr">
        <x:is>
          <x:t xml:space="preserve">A/B</x:t>
        </x:is>
      </x:c>
      <x:c r="AA3" s="9" t="inlineStr">
        <x:is>
          <x:t xml:space="preserve">2026-08-23</x:t>
        </x:is>
      </x:c>
      <x:c r="AB3" s="9" t="inlineStr">
        <x:is>
          <x:t xml:space="preserve">Hausanschrift gegen aktuelle Betreiber-/amtliche Quelle geprüft; Karten-/Adresspunkt auf Plausibilität mit PLZ, Ort und Straße abgeglichen</x:t>
        </x:is>
      </x:c>
    </x:row>
    <x:row r="4">
      <x:c r="A4" s="9" t="inlineStr">
        <x:is>
          <x:t xml:space="preserve">HE</x:t>
        </x:is>
      </x:c>
      <x:c r="B4" s="9" t="inlineStr">
        <x:is>
          <x:t xml:space="preserve">Hufeland-Haus</x:t>
        </x:is>
      </x:c>
      <x:c r="C4" s="9" t="inlineStr">
        <x:is>
          <x:t xml:space="preserve">Hufeland-Haus Frankfurt</x:t>
        </x:is>
      </x:c>
      <x:c r="D4" s="9" t="inlineStr">
        <x:is>
          <x:t xml:space="preserve">Wilhelmshöher Straße 34</x:t>
        </x:is>
      </x:c>
      <x:c r="E4" s="9" t="inlineStr">
        <x:is>
          <x:t xml:space="preserve">60389</x:t>
        </x:is>
      </x:c>
      <x:c r="F4" s="9" t="inlineStr">
        <x:is>
          <x:t xml:space="preserve">Frankfurt am Main</x:t>
        </x:is>
      </x:c>
      <x:c r="G4" s="9" t="inlineStr">
        <x:is>
          <x:t xml:space="preserve">069 4704-0</x:t>
        </x:is>
      </x:c>
      <x:c r="H4" s="9" t="inlineStr">
        <x:is>
          <x:t xml:space="preserve">zentrale@hufeland-haus.de</x:t>
        </x:is>
      </x:c>
      <x:c r="I4" s="9" t="inlineStr">
        <x:is>
          <x:t xml:space="preserve">https://www.hufeland-haus.de/</x:t>
        </x:is>
      </x:c>
      <x:c r="J4" s="9" t="inlineStr">
        <x:is>
          <x:t xml:space="preserve">Phase F / neurologische Fachpflege (BAG-Mitglied)</x:t>
        </x:is>
      </x:c>
      <x:c r="K4" s="9" t="n"/>
      <x:c r="L4" s="9" t="inlineStr">
        <x:is>
          <x:t xml:space="preserve">aktuell als BAG-Phase-F-Einrichtung bestätigt</x:t>
        </x:is>
      </x:c>
      <x:c r="M4" s="9" t="inlineStr">
        <x:is>
          <x:t xml:space="preserve">BAG Phase F / Einrichtung</x:t>
        </x:is>
      </x:c>
      <x:c r="N4" s="9" t="inlineStr">
        <x:is>
          <x:t xml:space="preserve">https://bag-phase-f.de/lag/hufeland-haus/</x:t>
        </x:is>
      </x:c>
      <x:c r="O4" s="9" t="inlineStr">
        <x:is>
          <x:t xml:space="preserve">2026-08-23</x:t>
        </x:is>
      </x:c>
      <x:c r="P4" s="9" t="n">
        <x:v>50.13896</x:v>
      </x:c>
      <x:c r="Q4" s="9" t="n">
        <x:v>8.720610000000001</x:v>
      </x:c>
      <x:c r="R4" s="9" t="inlineStr">
        <x:is>
          <x:t xml:space="preserve">Stufe A/B – vorhandener Gebäude-/Adresspunkt verifiziert; Einrichtungsgebäude verifiziert; OSM/Mapcarta</x:t>
        </x:is>
      </x:c>
      <x:c r="S4" s="9" t="n"/>
      <x:c r="T4" s="9" t="inlineStr">
        <x:is>
          <x:t xml:space="preserve">Keine belastbare aktuelle separate Phase-F-Platzzahl gefunden. Gesamtpflegekapazität nicht als Phase-F-Kapazität übernommen; Phase-F-Zuordnung sollte vor finaler 4.3-Freigabe nochmals fachlich geprüft werden.</x:t>
        </x:is>
      </x:c>
      <x:c r="U4" s="9" t="inlineStr">
        <x:is>
          <x:t xml:space="preserve">Nadine Lehmann</x:t>
        </x:is>
      </x:c>
      <x:c r="V4" s="9" t="inlineStr">
        <x:is>
          <x:t xml:space="preserve">Aufnahme</x:t>
        </x:is>
      </x:c>
      <x:c r="W4" s="9" t="inlineStr">
        <x:is>
          <x:t xml:space="preserve">069 4704-300</x:t>
        </x:is>
      </x:c>
      <x:c r="X4" s="9" t="inlineStr">
        <x:is>
          <x:t xml:space="preserve">nadine.lehmann@hufeland-haus.de</x:t>
        </x:is>
      </x:c>
      <x:c r="Y4" s="9" t="inlineStr">
        <x:is>
          <x:t xml:space="preserve">https://www.hufeland-haus.de/beratung-und-kontakt</x:t>
        </x:is>
      </x:c>
      <x:c r="Z4" s="9" t="inlineStr">
        <x:is>
          <x:t xml:space="preserve">A/B</x:t>
        </x:is>
      </x:c>
      <x:c r="AA4" s="9" t="inlineStr">
        <x:is>
          <x:t xml:space="preserve">2026-08-23</x:t>
        </x:is>
      </x:c>
      <x:c r="AB4" s="9" t="inlineStr">
        <x:is>
          <x:t xml:space="preserve">Hausanschrift gegen aktuelle Betreiber-/amtliche Quelle geprüft; Karten-/Adresspunkt auf Plausibilität mit PLZ, Ort und Straße abgeglichen</x:t>
        </x:is>
      </x:c>
    </x:row>
    <x:row r="5">
      <x:c r="A5" s="9" t="inlineStr">
        <x:is>
          <x:t xml:space="preserve">HE</x:t>
        </x:is>
      </x:c>
      <x:c r="B5" s="9" t="inlineStr">
        <x:is>
          <x:t xml:space="preserve">Pflege- und Therapiezentrum Riedstadt</x:t>
        </x:is>
      </x:c>
      <x:c r="C5" s="9" t="inlineStr">
        <x:is>
          <x:t xml:space="preserve">PTZ Riedstadt</x:t>
        </x:is>
      </x:c>
      <x:c r="D5" s="9" t="inlineStr">
        <x:is>
          <x:t xml:space="preserve">Kasseler Straße 2-6</x:t>
        </x:is>
      </x:c>
      <x:c r="E5" s="9" t="inlineStr">
        <x:is>
          <x:t xml:space="preserve">64560</x:t>
        </x:is>
      </x:c>
      <x:c r="F5" s="9" t="inlineStr">
        <x:is>
          <x:t xml:space="preserve">Riedstadt</x:t>
        </x:is>
      </x:c>
      <x:c r="G5" s="9" t="inlineStr">
        <x:is>
          <x:t xml:space="preserve">06158 189-66</x:t>
        </x:is>
      </x:c>
      <x:c r="H5" s="9" t="inlineStr">
        <x:is>
          <x:t xml:space="preserve">martina.setzer@ptz-riedstadt.de</x:t>
        </x:is>
      </x:c>
      <x:c r="I5" s="9" t="inlineStr">
        <x:is>
          <x:t xml:space="preserve">https://ptz-riedstadt.de/</x:t>
        </x:is>
      </x:c>
      <x:c r="J5" s="9" t="inlineStr">
        <x:is>
          <x:t xml:space="preserve">Phase F; schwere/schwerste Schädel-Hirnschädigungen; organisch bedingte Persönlichkeitsstörungen; Kurzzeit-/Verhinderungspflege</x:t>
        </x:is>
      </x:c>
      <x:c r="K5" s="9" t="inlineStr">
        <x:is>
          <x:t xml:space="preserve">58</x:t>
        </x:is>
      </x:c>
      <x:c r="L5" s="9" t="inlineStr">
        <x:is>
          <x:t xml:space="preserve">42 Plätze SHT Phase F + 16 Plätze organisch bedingte Persönlichkeitsstörungen</x:t>
        </x:is>
      </x:c>
      <x:c r="M5" s="9" t="inlineStr">
        <x:is>
          <x:t xml:space="preserve">Einrichtung</x:t>
        </x:is>
      </x:c>
      <x:c r="N5" s="9" t="inlineStr">
        <x:is>
          <x:t xml:space="preserve">https://ptz-riedstadt.de/fachpflegeeinrichtung/</x:t>
        </x:is>
      </x:c>
      <x:c r="O5" s="9" t="inlineStr">
        <x:is>
          <x:t xml:space="preserve">2026-08-23</x:t>
        </x:is>
      </x:c>
      <x:c r="P5" s="9" t="n">
        <x:v>49.83104</x:v>
      </x:c>
      <x:c r="Q5" s="9" t="n">
        <x:v>8.4932</x:v>
      </x:c>
      <x:c r="R5" s="9" t="inlineStr">
        <x:is>
          <x:t xml:space="preserve">Stufe A/B – vorhandener Gebäude-/Adresspunkt verifiziert; Phase-F-Haus 3 verifiziert; OSM/Mapcarta</x:t>
        </x:is>
      </x:c>
      <x:c r="S5" s="9" t="n">
        <x:v>58</x:v>
      </x:c>
      <x:c r="T5" s="9" t="inlineStr">
        <x:is>
          <x:t xml:space="preserve">58 Plätze gesamt: 42 SHT Phase F + 16 organisch bedingte Persönlichkeitsstörungen Phase F</x:t>
        </x:is>
      </x:c>
      <x:c r="U5" s="9" t="inlineStr">
        <x:is>
          <x:t xml:space="preserve">Martina Setzer</x:t>
        </x:is>
      </x:c>
      <x:c r="V5" s="9" t="inlineStr">
        <x:is>
          <x:t xml:space="preserve">Sozialdienst Haus 3 (Schädel-Hirnverletzungen)</x:t>
        </x:is>
      </x:c>
      <x:c r="W5" s="9" t="inlineStr">
        <x:is>
          <x:t xml:space="preserve">06158 189-66</x:t>
        </x:is>
      </x:c>
      <x:c r="X5" s="9" t="inlineStr">
        <x:is>
          <x:t xml:space="preserve">martina.setzer@ptz-riedstadt.de</x:t>
        </x:is>
      </x:c>
      <x:c r="Y5" s="9" t="inlineStr">
        <x:is>
          <x:t xml:space="preserve">https://ptz-riedstadt.de/fachpflegeeinrichtung/ ; https://ptz-riedstadt.de/kontakt/</x:t>
        </x:is>
      </x:c>
      <x:c r="Z5" s="9" t="inlineStr">
        <x:is>
          <x:t xml:space="preserve">A/B</x:t>
        </x:is>
      </x:c>
      <x:c r="AA5" s="9" t="inlineStr">
        <x:is>
          <x:t xml:space="preserve">2026-08-23</x:t>
        </x:is>
      </x:c>
      <x:c r="AB5" s="9" t="inlineStr">
        <x:is>
          <x:t xml:space="preserve">Hausanschrift gegen aktuelle Betreiber-/amtliche Quelle geprüft; Karten-/Adresspunkt auf Plausibilität mit PLZ, Ort und Straße abgeglichen</x:t>
        </x:is>
      </x:c>
    </x:row>
    <x:row r="6">
      <x:c r="A6" s="9" t="inlineStr">
        <x:is>
          <x:t xml:space="preserve">HE</x:t>
        </x:is>
      </x:c>
      <x:c r="B6" s="9" t="inlineStr">
        <x:is>
          <x:t xml:space="preserve">Pflege- und Förderzentrum St. Anna – NeuroPhase F</x:t>
        </x:is>
      </x:c>
      <x:c r="C6" s="9" t="inlineStr">
        <x:is>
          <x:t xml:space="preserve">Caritasverband Gießen</x:t>
        </x:is>
      </x:c>
      <x:c r="D6" s="9" t="inlineStr">
        <x:is>
          <x:t xml:space="preserve">Hermann-Levi-Straße 2</x:t>
        </x:is>
      </x:c>
      <x:c r="E6" s="9" t="inlineStr">
        <x:is>
          <x:t xml:space="preserve">35392</x:t>
        </x:is>
      </x:c>
      <x:c r="F6" s="9" t="inlineStr">
        <x:is>
          <x:t xml:space="preserve">Gießen</x:t>
        </x:is>
      </x:c>
      <x:c r="G6" s="9" t="inlineStr">
        <x:is>
          <x:t xml:space="preserve">0641 92233-0</x:t>
        </x:is>
      </x:c>
      <x:c r="H6" s="9" t="inlineStr">
        <x:is>
          <x:t xml:space="preserve">st.anna@caritas-giessen.de</x:t>
        </x:is>
      </x:c>
      <x:c r="I6" s="9" t="inlineStr">
        <x:is>
          <x:t xml:space="preserve">https://www.caritas-giessen.de/hilfen-und-beratung/aeltere-und-kranke-menschen/neurophase-f/therapie-und-langzeitpflegeeinrichtung-der-neurophase-f</x:t>
        </x:is>
      </x:c>
      <x:c r="J6" s="9" t="inlineStr">
        <x:is>
          <x:t xml:space="preserve">Phase F; schwere und schwerste neurologische Erkrankungen</x:t>
        </x:is>
      </x:c>
      <x:c r="K6" s="9" t="inlineStr">
        <x:is>
          <x:t xml:space="preserve">37</x:t>
        </x:is>
      </x:c>
      <x:c r="L6" s="9" t="inlineStr">
        <x:is>
          <x:t xml:space="preserve">aktuell bestätigt</x:t>
        </x:is>
      </x:c>
      <x:c r="M6" s="9" t="inlineStr">
        <x:is>
          <x:t xml:space="preserve">Caritas Gießen</x:t>
        </x:is>
      </x:c>
      <x:c r="N6" s="9" t="inlineStr">
        <x:is>
          <x:t xml:space="preserve">https://www.caritas-giessen.de/hilfen-und-beratung/aeltere-und-kranke-menschen/neurophase-f/therapie-und-langzeitpflegeeinrichtung-der-neurophase-f</x:t>
        </x:is>
      </x:c>
      <x:c r="O6" s="9" t="inlineStr">
        <x:is>
          <x:t xml:space="preserve">2026-08-23</x:t>
        </x:is>
      </x:c>
      <x:c r="P6" s="9" t="n">
        <x:v>50.56878</x:v>
      </x:c>
      <x:c r="Q6" s="9" t="n">
        <x:v>8.659050000000001</x:v>
      </x:c>
      <x:c r="R6" s="9" t="inlineStr">
        <x:is>
          <x:t xml:space="preserve">Stufe A/B – vorhandener Gebäude-/Adresspunkt verifiziert; Einrichtungsgebäude verifiziert; OSM/Mapcarta</x:t>
        </x:is>
      </x:c>
      <x:c r="S6" s="9" t="n">
        <x:v>37</x:v>
      </x:c>
      <x:c r="T6" s="9" t="inlineStr">
        <x:is>
          <x:t xml:space="preserve">37 NeuroPhase-F-Plätze aktuell auf Trägerseite ausgewiesen</x:t>
        </x:is>
      </x:c>
      <x:c r="U6" s="9" t="inlineStr">
        <x:is>
          <x:t xml:space="preserve">Aufnahme / St. Anna</x:t>
        </x:is>
      </x:c>
      <x:c r="V6" s="9" t="inlineStr">
        <x:is>
          <x:t xml:space="preserve">Einrichtungs-/Aufnahmekontakt</x:t>
        </x:is>
      </x:c>
      <x:c r="W6" s="9" t="inlineStr">
        <x:is>
          <x:t xml:space="preserve">0641 92233-0</x:t>
        </x:is>
      </x:c>
      <x:c r="X6" s="9" t="inlineStr">
        <x:is>
          <x:t xml:space="preserve">st.anna@caritas-giessen.de</x:t>
        </x:is>
      </x:c>
      <x:c r="Y6" s="9" t="inlineStr">
        <x:is>
          <x:t xml:space="preserve">https://www.caritas-giessen.de/hilfen-und-beratung/aeltere-und-kranke-menschen/neurophase-f/therapie-und-langzeitpflegeeinrichtung-der-neurophase-f</x:t>
        </x:is>
      </x:c>
      <x:c r="Z6" s="9" t="inlineStr">
        <x:is>
          <x:t xml:space="preserve">A/B</x:t>
        </x:is>
      </x:c>
      <x:c r="AA6" s="9" t="inlineStr">
        <x:is>
          <x:t xml:space="preserve">2026-08-23</x:t>
        </x:is>
      </x:c>
      <x:c r="AB6" s="9" t="inlineStr">
        <x:is>
          <x:t xml:space="preserve">Hausanschrift gegen aktuelle Betreiber-/amtliche Quelle geprüft; Karten-/Adresspunkt auf Plausibilität mit PLZ, Ort und Straße abgeglichen</x:t>
        </x:is>
      </x:c>
    </x:row>
    <x:row r="7">
      <x:c r="A7" s="9" t="inlineStr">
        <x:is>
          <x:t xml:space="preserve">HE</x:t>
        </x:is>
      </x:c>
      <x:c r="B7" s="9" t="inlineStr">
        <x:is>
          <x:t xml:space="preserve">Pflegeeinrichtung Schloss Meerholz</x:t>
        </x:is>
      </x:c>
      <x:c r="C7" s="9" t="n"/>
      <x:c r="D7" s="9" t="inlineStr">
        <x:is>
          <x:t xml:space="preserve">Hanauer Landstraße 2-10</x:t>
        </x:is>
      </x:c>
      <x:c r="E7" s="9" t="inlineStr">
        <x:is>
          <x:t xml:space="preserve">63571</x:t>
        </x:is>
      </x:c>
      <x:c r="F7" s="9" t="inlineStr">
        <x:is>
          <x:t xml:space="preserve">Gelnhausen</x:t>
        </x:is>
      </x:c>
      <x:c r="G7" s="9" t="inlineStr">
        <x:is>
          <x:t xml:space="preserve">06051 6009-131</x:t>
        </x:is>
      </x:c>
      <x:c r="H7" s="9" t="inlineStr">
        <x:is>
          <x:t xml:space="preserve">daniel.egold@schloss-meerholz.de</x:t>
        </x:is>
      </x:c>
      <x:c r="I7" s="9" t="n"/>
      <x:c r="J7" s="9" t="inlineStr">
        <x:is>
          <x:t xml:space="preserve">Phase F</x:t>
        </x:is>
      </x:c>
      <x:c r="K7" s="9" t="n"/>
      <x:c r="L7" s="9" t="inlineStr">
        <x:is>
          <x:t xml:space="preserve">aktuell im BAG-Verzeichnis; Kontaktdetails noch nachpflegen</x:t>
        </x:is>
      </x:c>
      <x:c r="M7" s="9" t="inlineStr">
        <x:is>
          <x:t xml:space="preserve">BAG Phase F</x:t>
        </x:is>
      </x:c>
      <x:c r="N7" s="9" t="inlineStr">
        <x:is>
          <x:t xml:space="preserve">https://bag-phase-f.de/lag/</x:t>
        </x:is>
      </x:c>
      <x:c r="O7" s="9" t="inlineStr">
        <x:is>
          <x:t xml:space="preserve">2026-08-23</x:t>
        </x:is>
      </x:c>
      <x:c r="P7" s="9" t="n">
        <x:v>50.184986</x:v>
      </x:c>
      <x:c r="Q7" s="9" t="n">
        <x:v>9.14507</x:v>
      </x:c>
      <x:c r="R7" s="9" t="inlineStr">
        <x:is>
          <x:t xml:space="preserve">Stufe A/B – vorhandener Gebäude-/Adresspunkt verifiziert; Adresspunkt Hanauer Landstraße 2-10 verifiziert</x:t>
        </x:is>
      </x:c>
      <x:c r="S7" s="9" t="n">
        <x:v>25</x:v>
      </x:c>
      <x:c r="T7" s="9" t="inlineStr">
        <x:is>
          <x:t xml:space="preserve">25 Plätze Phase F Teil A (Wachkomabereich), aktuell auf Betreiberseite ausgewiesen</x:t>
        </x:is>
      </x:c>
      <x:c r="U7" s="9" t="inlineStr">
        <x:is>
          <x:t xml:space="preserve">Daniel Egold</x:t>
        </x:is>
      </x:c>
      <x:c r="V7" s="9" t="inlineStr">
        <x:is>
          <x:t xml:space="preserve">Wohnbereichsleitung Gräfin Karoline (Phase F Teil A)</x:t>
        </x:is>
      </x:c>
      <x:c r="W7" s="9" t="inlineStr">
        <x:is>
          <x:t xml:space="preserve">06051 6009-131</x:t>
        </x:is>
      </x:c>
      <x:c r="X7" s="9" t="inlineStr">
        <x:is>
          <x:t xml:space="preserve">daniel.egold@schloss-meerholz.de</x:t>
        </x:is>
      </x:c>
      <x:c r="Y7" s="9" t="inlineStr">
        <x:is>
          <x:t xml:space="preserve">https://www.schloss-meerholz.de/angebote/junge-pflege/wohnbereich-graefin-karoline</x:t>
        </x:is>
      </x:c>
      <x:c r="Z7" s="9" t="inlineStr">
        <x:is>
          <x:t xml:space="preserve">A/B</x:t>
        </x:is>
      </x:c>
      <x:c r="AA7" s="9" t="inlineStr">
        <x:is>
          <x:t xml:space="preserve">2026-08-23</x:t>
        </x:is>
      </x:c>
      <x:c r="AB7" s="9" t="inlineStr">
        <x:is>
          <x:t xml:space="preserve">Hausanschrift gegen aktuelle Betreiber-/amtliche Quelle geprüft; Karten-/Adresspunkt auf Plausibilität mit PLZ, Ort und Straße abgeglichen</x:t>
        </x:is>
      </x:c>
    </x:row>
    <x:row r="8">
      <x:c r="A8" s="9" t="inlineStr">
        <x:is>
          <x:t xml:space="preserve">HE</x:t>
        </x:is>
      </x:c>
      <x:c r="B8" s="9" t="inlineStr">
        <x:is>
          <x:t xml:space="preserve">Fachpflegezentrum Haus Minneburg</x:t>
        </x:is>
      </x:c>
      <x:c r="C8" s="9" t="str">
        <x:v>Fachpflegezentrum Haus Minneburg GmbH</x:v>
      </x:c>
      <x:c r="D8" s="9" t="str">
        <x:v>Haarbachstraße 5a</x:v>
      </x:c>
      <x:c r="E8" s="9" t="str">
        <x:v>35578</x:v>
      </x:c>
      <x:c r="F8" s="9" t="str">
        <x:v>Wetzlar</x:v>
      </x:c>
      <x:c r="G8" s="9" t="str">
        <x:v>06441 94890</x:v>
      </x:c>
      <x:c r="H8" s="9" t="str">
        <x:v>info@minneburg.de</x:v>
      </x:c>
      <x:c r="I8" s="9" t="str">
        <x:v>https://www.minneburg.de/</x:v>
      </x:c>
      <x:c r="J8" s="9" t="inlineStr">
        <x:is>
          <x:t xml:space="preserve">Phase F</x:t>
        </x:is>
      </x:c>
      <x:c r="K8" s="9" t="n"/>
      <x:c r="L8" s="9" t="inlineStr">
        <x:is>
          <x:t xml:space="preserve">aktuell im BAG-Verzeichnis; Kontaktdetails noch nachpflegen</x:t>
        </x:is>
      </x:c>
      <x:c r="M8" s="9" t="inlineStr">
        <x:is>
          <x:t xml:space="preserve">BAG Phase F</x:t>
        </x:is>
      </x:c>
      <x:c r="N8" s="9" t="inlineStr">
        <x:is>
          <x:t xml:space="preserve">https://bag-phase-f.de/lag/</x:t>
        </x:is>
      </x:c>
      <x:c r="O8" s="9" t="inlineStr">
        <x:is>
          <x:t xml:space="preserve">2026-08-23</x:t>
        </x:is>
      </x:c>
      <x:c r="P8" s="9" t="n">
        <x:v>50.55837</x:v>
      </x:c>
      <x:c r="Q8" s="9" t="n">
        <x:v>8.503349999999999</x:v>
      </x:c>
      <x:c r="R8" s="9" t="inlineStr">
        <x:is>
          <x:t xml:space="preserve">Stufe A/B – vorhandener Gebäude-/Adresspunkt verifiziert; Einrichtungspunkt verifiziert; OSM/Mapcarta</x:t>
        </x:is>
      </x:c>
      <x:c r="S8" s="9" t="n">
        <x:v>59</x:v>
      </x:c>
      <x:c r="T8" s="9" t="inlineStr">
        <x:is>
          <x:t xml:space="preserve">59 Pflegeplätze neurologische Intensivpflege für Menschen mit schwersten erworbenen Hirnschädigungen (Phase F); zusätzlich 15 Beatmungsplätze separat</x:t>
        </x:is>
      </x:c>
      <x:c r="U8" s="9" t="str">
        <x:v>Aufnahme / Einrichtung</x:v>
      </x:c>
      <x:c r="V8" s="9" t="str">
        <x:v>funktionaler Kontakt</x:v>
      </x:c>
      <x:c r="W8" s="9" t="str">
        <x:v>06441 94890</x:v>
      </x:c>
      <x:c r="X8" s="9" t="str">
        <x:v>info@minneburg.de</x:v>
      </x:c>
      <x:c r="Y8" s="9" t="inlineStr">
        <x:is>
          <x:t xml:space="preserve">https://www.minneburg.de/ueber-uns--stellenangebote ; https://www.minneburg.de/leistungen</x:t>
        </x:is>
      </x:c>
      <x:c r="Z8" s="9" t="inlineStr">
        <x:is>
          <x:t xml:space="preserve">A/B</x:t>
        </x:is>
      </x:c>
      <x:c r="AA8" s="9" t="inlineStr">
        <x:is>
          <x:t xml:space="preserve">2026-08-23</x:t>
        </x:is>
      </x:c>
      <x:c r="AB8" s="9" t="inlineStr">
        <x:is>
          <x:t xml:space="preserve">Hausanschrift gegen aktuelle Betreiber-/amtliche Quelle geprüft; Karten-/Adresspunkt auf Plausibilität mit PLZ, Ort und Straße abgeglichen</x:t>
        </x:is>
      </x:c>
    </x:row>
    <x:row r="9">
      <x:c r="A9" s="9" t="inlineStr">
        <x:is>
          <x:t xml:space="preserve">HE</x:t>
        </x:is>
      </x:c>
      <x:c r="B9" s="9" t="inlineStr">
        <x:is>
          <x:t xml:space="preserve">Altenhilfezentrum Konrad-Arndt</x:t>
        </x:is>
      </x:c>
      <x:c r="C9" s="9" t="str">
        <x:v>Arbeiterwohlfahrt Kreisverband Wiesbaden e.V.</x:v>
      </x:c>
      <x:c r="D9" s="9" t="str">
        <x:v>Meißener Straße 25</x:v>
      </x:c>
      <x:c r="E9" s="9" t="str">
        <x:v>65191</x:v>
      </x:c>
      <x:c r="F9" s="9" t="str">
        <x:v>Wiesbaden</x:v>
      </x:c>
      <x:c r="G9" s="9" t="str">
        <x:v>0611 33555180</x:v>
      </x:c>
      <x:c r="H9" s="9" t="str">
        <x:v>ka-fachpflege@awo-wiesbaden.de</x:v>
      </x:c>
      <x:c r="I9" s="9" t="str">
        <x:v>https://www.awowiesbaden.de/pflegezentrum-konrad-arndt-in-wiesbaden/</x:v>
      </x:c>
      <x:c r="J9" s="9" t="inlineStr">
        <x:is>
          <x:t xml:space="preserve">Phase F</x:t>
        </x:is>
      </x:c>
      <x:c r="K9" s="9" t="n"/>
      <x:c r="L9" s="9" t="inlineStr">
        <x:is>
          <x:t xml:space="preserve">aktuell im BAG-Verzeichnis; Kontaktdetails noch nachpflegen</x:t>
        </x:is>
      </x:c>
      <x:c r="M9" s="9" t="inlineStr">
        <x:is>
          <x:t xml:space="preserve">BAG Phase F</x:t>
        </x:is>
      </x:c>
      <x:c r="N9" s="9" t="inlineStr">
        <x:is>
          <x:t xml:space="preserve">https://bag-phase-f.de/lag/</x:t>
        </x:is>
      </x:c>
      <x:c r="O9" s="9" t="inlineStr">
        <x:is>
          <x:t xml:space="preserve">2026-08-23</x:t>
        </x:is>
      </x:c>
      <x:c r="P9" s="9" t="n">
        <x:v>50.09242</x:v>
      </x:c>
      <x:c r="Q9" s="9" t="n">
        <x:v>8.28703</x:v>
      </x:c>
      <x:c r="R9" s="9" t="inlineStr">
        <x:is>
          <x:t xml:space="preserve">Stufe A/B – vorhandener Gebäude-/Adresspunkt verifiziert; Einrichtungskomplex verifiziert; Meißener Str. 25 amtlich bestätigt</x:t>
        </x:is>
      </x:c>
      <x:c r="S9" s="9" t="n">
        <x:v>40</x:v>
      </x:c>
      <x:c r="T9" s="9" t="inlineStr">
        <x:is>
          <x:t xml:space="preserve">40 Einzelzimmer im spezialisierten Bereich Neurologische Fachpflege Phase F, aktuell im BAG-Phase-F-Profil ausgewiesen</x:t>
        </x:is>
      </x:c>
      <x:c r="U9" s="9" t="str">
        <x:v>Alicja Jäger / Florian Neeb</x:v>
      </x:c>
      <x:c r="V9" s="9" t="str">
        <x:v>Leitung Sozialdienst / Pflegedienstleitung Phase F</x:v>
      </x:c>
      <x:c r="W9" s="9" t="str">
        <x:v>0611 33555180</x:v>
      </x:c>
      <x:c r="X9" s="9" t="str">
        <x:v>ka-fachpflege@awo-wiesbaden.de</x:v>
      </x:c>
      <x:c r="Y9" s="9" t="inlineStr">
        <x:is>
          <x:t xml:space="preserve">https://bag-phase-f.de/lag/altenhilfezentrum-konrad-arndt/</x:t>
        </x:is>
      </x:c>
      <x:c r="Z9" s="9" t="inlineStr">
        <x:is>
          <x:t xml:space="preserve">A/B</x:t>
        </x:is>
      </x:c>
      <x:c r="AA9" s="9" t="inlineStr">
        <x:is>
          <x:t xml:space="preserve">2026-08-23</x:t>
        </x:is>
      </x:c>
      <x:c r="AB9" s="9" t="inlineStr">
        <x:is>
          <x:t xml:space="preserve">Hausanschrift gegen aktuelle Betreiber-/amtliche Quelle geprüft; Karten-/Adresspunkt auf Plausibilität mit PLZ, Ort und Straße abgeglichen</x:t>
        </x:is>
      </x:c>
    </x:row>
    <x:row r="10">
      <x:c r="A10" s="9" t="inlineStr">
        <x:is>
          <x:t xml:space="preserve">HE</x:t>
        </x:is>
      </x:c>
      <x:c r="B10" s="9" t="inlineStr">
        <x:is>
          <x:t xml:space="preserve">Seniorenresidenz Haus am Park</x:t>
        </x:is>
      </x:c>
      <x:c r="C10" s="9" t="inlineStr">
        <x:is>
          <x:t xml:space="preserve">AWO Seniorendienste Südhessen</x:t>
        </x:is>
      </x:c>
      <x:c r="D10" s="9" t="inlineStr">
        <x:is>
          <x:t xml:space="preserve">An den Hofgärten 3</x:t>
        </x:is>
      </x:c>
      <x:c r="E10" s="9" t="inlineStr">
        <x:is>
          <x:t xml:space="preserve">65835</x:t>
        </x:is>
      </x:c>
      <x:c r="F10" s="9" t="inlineStr">
        <x:is>
          <x:t xml:space="preserve">Liederbach am Taunus</x:t>
        </x:is>
      </x:c>
      <x:c r="G10" s="9" t="inlineStr">
        <x:is>
          <x:t xml:space="preserve">069 300390-202</x:t>
        </x:is>
      </x:c>
      <x:c r="H10" s="9" t="inlineStr">
        <x:is>
          <x:t xml:space="preserve">senioren-liederbach@awo-hs.org</x:t>
        </x:is>
      </x:c>
      <x:c r="I10" s="9" t="n"/>
      <x:c r="J10" s="9" t="inlineStr">
        <x:is>
          <x:t xml:space="preserve">Phase F</x:t>
        </x:is>
      </x:c>
      <x:c r="K10" s="9" t="n"/>
      <x:c r="L10" s="9" t="inlineStr">
        <x:is>
          <x:t xml:space="preserve">aktuell im BAG-Verzeichnis; Kontaktdetails noch nachpflegen</x:t>
        </x:is>
      </x:c>
      <x:c r="M10" s="9" t="inlineStr">
        <x:is>
          <x:t xml:space="preserve">BAG Phase F</x:t>
        </x:is>
      </x:c>
      <x:c r="N10" s="9" t="inlineStr">
        <x:is>
          <x:t xml:space="preserve">https://bag-phase-f.de/lag/</x:t>
        </x:is>
      </x:c>
      <x:c r="O10" s="9" t="inlineStr">
        <x:is>
          <x:t xml:space="preserve">2026-08-23</x:t>
        </x:is>
      </x:c>
      <x:c r="P10" s="9" t="n">
        <x:v>50.11923</x:v>
      </x:c>
      <x:c r="Q10" s="9" t="n">
        <x:v>8.49761</x:v>
      </x:c>
      <x:c r="R10" s="9" t="inlineStr">
        <x:is>
          <x:t xml:space="preserve">Stufe A/B – vorhandener Gebäude-/Adresspunkt verifiziert; Einrichtungsgebäude verifiziert; OSM/Mapcarta</x:t>
        </x:is>
      </x:c>
      <x:c r="S10" s="9" t="n">
        <x:v>15</x:v>
      </x:c>
      <x:c r="T10" s="9" t="inlineStr">
        <x:is>
          <x:t xml:space="preserve">15 Einzelzimmer für Phase F/Wachkoma aktuell auf Betreiberseite ausgewiesen</x:t>
        </x:is>
      </x:c>
      <x:c r="U10" s="9" t="inlineStr">
        <x:is>
          <x:t xml:space="preserve">Denise Ripkens</x:t>
        </x:is>
      </x:c>
      <x:c r="V10" s="9" t="inlineStr">
        <x:is>
          <x:t xml:space="preserve">Beratung und Aufnahme</x:t>
        </x:is>
      </x:c>
      <x:c r="W10" s="9" t="inlineStr">
        <x:is>
          <x:t xml:space="preserve">069 300390-202</x:t>
        </x:is>
      </x:c>
      <x:c r="X10" s="9" t="inlineStr">
        <x:is>
          <x:t xml:space="preserve">senioren-liederbach@awo-hs.org</x:t>
        </x:is>
      </x:c>
      <x:c r="Y10" s="9" t="inlineStr">
        <x:is>
          <x:t xml:space="preserve">https://www.awo-hs.org/liederbach/wachkoma-/-phase-f</x:t>
        </x:is>
      </x:c>
      <x:c r="Z10" s="9" t="inlineStr">
        <x:is>
          <x:t xml:space="preserve">A/B</x:t>
        </x:is>
      </x:c>
      <x:c r="AA10" s="9" t="inlineStr">
        <x:is>
          <x:t xml:space="preserve">2026-08-23</x:t>
        </x:is>
      </x:c>
      <x:c r="AB10" s="9" t="inlineStr">
        <x:is>
          <x:t xml:space="preserve">Hausanschrift gegen aktuelle Betreiber-/amtliche Quelle geprüft; Karten-/Adresspunkt auf Plausibilität mit PLZ, Ort und Straße abgeglichen</x:t>
        </x:is>
      </x:c>
    </x:row>
    <x:row r="11">
      <x:c r="A11" s="9" t="inlineStr">
        <x:is>
          <x:t xml:space="preserve">RP</x:t>
        </x:is>
      </x:c>
      <x:c r="B11" s="9" t="inlineStr">
        <x:is>
          <x:t xml:space="preserve">Junge Pflege St. Anastasia – Fachpflege Neurophase F</x:t>
        </x:is>
      </x:c>
      <x:c r="C11" s="9" t="inlineStr">
        <x:is>
          <x:t xml:space="preserve">CBS Caritas Betriebsträgergesellschaft mbH Speyer</x:t>
        </x:is>
      </x:c>
      <x:c r="D11" s="9" t="inlineStr">
        <x:is>
          <x:t xml:space="preserve">Albert-Schweitzer-Straße 3</x:t>
        </x:is>
      </x:c>
      <x:c r="E11" s="9" t="inlineStr">
        <x:is>
          <x:t xml:space="preserve">67117</x:t>
        </x:is>
      </x:c>
      <x:c r="F11" s="9" t="inlineStr">
        <x:is>
          <x:t xml:space="preserve">Limburgerhof</x:t>
        </x:is>
      </x:c>
      <x:c r="G11" s="9" t="inlineStr">
        <x:is>
          <x:t xml:space="preserve">06236 470-1502</x:t>
        </x:is>
      </x:c>
      <x:c r="H11" s="9" t="inlineStr">
        <x:is>
          <x:t xml:space="preserve">stefanie.kreutz@cbs-speyer.de</x:t>
        </x:is>
      </x:c>
      <x:c r="I11" s="9" t="inlineStr">
        <x:is>
          <x:t xml:space="preserve">https://www.caritas-speyer.de/standorte/caritas-altenzentren/st-anastasia</x:t>
        </x:is>
      </x:c>
      <x:c r="J11" s="9" t="inlineStr">
        <x:is>
          <x:t xml:space="preserve">Neurophase F; erworbene Schädel-Hirn-Verletzungen; Wachkoma; Trachealkanülen-Management</x:t>
        </x:is>
      </x:c>
      <x:c r="K11" s="9" t="inlineStr">
        <x:is>
          <x:t xml:space="preserve">17</x:t>
        </x:is>
      </x:c>
      <x:c r="L11" s="9" t="inlineStr">
        <x:is>
          <x:t xml:space="preserve">aktuell bestätigt; Ansprechpartnerin Stefanie Kreutz</x:t>
        </x:is>
      </x:c>
      <x:c r="M11" s="9" t="inlineStr">
        <x:is>
          <x:t xml:space="preserve">Caritas Speyer / BAG Phase F</x:t>
        </x:is>
      </x:c>
      <x:c r="N11" s="9" t="inlineStr">
        <x:is>
          <x:t xml:space="preserve">https://www.caritas-speyer.de/standorte/caritas-altenzentren/st-anastasia</x:t>
        </x:is>
      </x:c>
      <x:c r="O11" s="9" t="inlineStr">
        <x:is>
          <x:t xml:space="preserve">2026-08-23</x:t>
        </x:is>
      </x:c>
      <x:c r="P11" s="9" t="n">
        <x:v>49.4239552</x:v>
      </x:c>
      <x:c r="Q11" s="9" t="n">
        <x:v>8.382211099999999</x:v>
      </x:c>
      <x:c r="R11" s="9" t="inlineStr">
        <x:is>
          <x:t xml:space="preserve">Stufe B – Hausadresse verifiziert; Betreiber-Google-Maps-Zielpunkt</x:t>
        </x:is>
      </x:c>
      <x:c r="S11" s="9" t="n">
        <x:v>17</x:v>
      </x:c>
      <x:c r="T11" s="9" t="inlineStr">
        <x:is>
          <x:t xml:space="preserve">17 Plätze Neurophase F nach aktueller Caritas-Angabe</x:t>
        </x:is>
      </x:c>
      <x:c r="U11" s="9" t="inlineStr">
        <x:is>
          <x:t xml:space="preserve">Stefanie Kreutz</x:t>
        </x:is>
      </x:c>
      <x:c r="V11" s="9" t="inlineStr">
        <x:is>
          <x:t xml:space="preserve">Ansprechpartnerin / Einrichtung</x:t>
        </x:is>
      </x:c>
      <x:c r="W11" s="9" t="inlineStr">
        <x:is>
          <x:t xml:space="preserve">06236 470-1502</x:t>
        </x:is>
      </x:c>
      <x:c r="X11" s="9" t="inlineStr">
        <x:is>
          <x:t xml:space="preserve">stefanie.kreutz@cbs-speyer.de</x:t>
        </x:is>
      </x:c>
      <x:c r="Y11" s="9" t="inlineStr">
        <x:is>
          <x:t xml:space="preserve">https://www.caritas-speyer.de/standorte/caritas-altenzentren/st-anastasia</x:t>
        </x:is>
      </x:c>
      <x:c r="Z11" s="9" t="inlineStr">
        <x:is>
          <x:t xml:space="preserve">B</x:t>
        </x:is>
      </x:c>
      <x:c r="AA11" s="9" t="inlineStr">
        <x:is>
          <x:t xml:space="preserve">2026-08-23</x:t>
        </x:is>
      </x:c>
      <x:c r="AB11" s="9" t="inlineStr">
        <x:is>
          <x:t xml:space="preserve">Hausanschrift gegen aktuelle Betreiber-/amtliche Quelle geprüft; Karten-/Adresspunkt auf Plausibilität mit PLZ, Ort und Straße abgeglichen</x:t>
        </x:is>
      </x:c>
    </x:row>
    <x:row r="12">
      <x:c r="A12" s="9" t="inlineStr">
        <x:is>
          <x:t xml:space="preserve">RP</x:t>
        </x:is>
      </x:c>
      <x:c r="B12" s="9" t="inlineStr">
        <x:is>
          <x:t xml:space="preserve">St. Josefshaus</x:t>
        </x:is>
      </x:c>
      <x:c r="C12" s="9" t="n"/>
      <x:c r="D12" s="9" t="inlineStr">
        <x:is>
          <x:t xml:space="preserve">Hönninger Straße 2-18</x:t>
        </x:is>
      </x:c>
      <x:c r="E12" s="9" t="inlineStr">
        <x:is>
          <x:t xml:space="preserve">53547</x:t>
        </x:is>
      </x:c>
      <x:c r="F12" s="9" t="inlineStr">
        <x:is>
          <x:t xml:space="preserve">Hausen/Wied</x:t>
        </x:is>
      </x:c>
      <x:c r="G12" s="9" t="inlineStr">
        <x:is>
          <x:t xml:space="preserve">02638 9280</x:t>
        </x:is>
      </x:c>
      <x:c r="H12" s="9" t="inlineStr">
        <x:is>
          <x:t xml:space="preserve">info@sanktjosefshaus.de</x:t>
        </x:is>
      </x:c>
      <x:c r="I12" s="9" t="n"/>
      <x:c r="J12" s="9" t="inlineStr">
        <x:is>
          <x:t xml:space="preserve">Phase F; Wachkoma</x:t>
        </x:is>
      </x:c>
      <x:c r="K12" s="9" t="n"/>
      <x:c r="L12" s="9" t="inlineStr">
        <x:is>
          <x:t xml:space="preserve">aktuell durch BAG Phase F bestätigt</x:t>
        </x:is>
      </x:c>
      <x:c r="M12" s="9" t="inlineStr">
        <x:is>
          <x:t xml:space="preserve">BAG Phase F</x:t>
        </x:is>
      </x:c>
      <x:c r="N12" s="9" t="inlineStr">
        <x:is>
          <x:t xml:space="preserve">https://bag-phase-f.de/lag/st-josefshaus/</x:t>
        </x:is>
      </x:c>
      <x:c r="O12" s="9" t="inlineStr">
        <x:is>
          <x:t xml:space="preserve">2026-08-23</x:t>
        </x:is>
      </x:c>
      <x:c r="P12" s="9" t="n">
        <x:v>50.5429</x:v>
      </x:c>
      <x:c r="Q12" s="9" t="n">
        <x:v>7.40822</x:v>
      </x:c>
      <x:c r="R12" s="9" t="inlineStr">
        <x:is>
          <x:t xml:space="preserve">Stufe A/B – vorhandener Gebäude-/Adresspunkt verifiziert; Einrichtungskomplex Hönninger Str. 2-18 verifiziert; OSM/Mapcarta</x:t>
        </x:is>
      </x:c>
      <x:c r="S12" s="9" t="n"/>
      <x:c r="T12" s="9" t="inlineStr">
        <x:is>
          <x:t xml:space="preserve">Phase-F/Wachkoma-Angebot bestätigt; die 39 Plätze stammen nur aus einer Landesquelle von 2002 und werden deshalb nicht als aktuelle Kapazität übernommen.</x:t>
        </x:is>
      </x:c>
      <x:c r="U12" s="9" t="inlineStr">
        <x:is>
          <x:t xml:space="preserve">Gabriele Adolf / Christoph Deres</x:t>
        </x:is>
      </x:c>
      <x:c r="V12" s="9" t="inlineStr">
        <x:is>
          <x:t xml:space="preserve">Bewohnerverwaltung / Fachcontrolling – Wohnplatzanfragen</x:t>
        </x:is>
      </x:c>
      <x:c r="W12" s="9" t="inlineStr">
        <x:is>
          <x:t xml:space="preserve">02638 928-3102 / -3323</x:t>
        </x:is>
      </x:c>
      <x:c r="X12" s="9" t="inlineStr">
        <x:is>
          <x:t xml:space="preserve">anfrage@sanktjosefshaus.de</x:t>
        </x:is>
      </x:c>
      <x:c r="Y12" s="9" t="inlineStr">
        <x:is>
          <x:t xml:space="preserve">https://www.sanktjosefshaus.de/header/sie-suchen-einen-wohnplatz</x:t>
        </x:is>
      </x:c>
      <x:c r="Z12" s="9" t="inlineStr">
        <x:is>
          <x:t xml:space="preserve">A/B</x:t>
        </x:is>
      </x:c>
      <x:c r="AA12" s="9" t="inlineStr">
        <x:is>
          <x:t xml:space="preserve">2026-08-23</x:t>
        </x:is>
      </x:c>
      <x:c r="AB12" s="9" t="inlineStr">
        <x:is>
          <x:t xml:space="preserve">Hausanschrift gegen aktuelle Betreiber-/amtliche Quelle geprüft; Karten-/Adresspunkt auf Plausibilität mit PLZ, Ort und Straße abgeglichen</x:t>
        </x:is>
      </x:c>
    </x:row>
    <x:row r="13">
      <x:c r="A13" s="9" t="inlineStr">
        <x:is>
          <x:t xml:space="preserve">RP</x:t>
        </x:is>
      </x:c>
      <x:c r="B13" s="9" t="inlineStr">
        <x:is>
          <x:t xml:space="preserve">Westpfalz-Klinikum Seniorenresidenz</x:t>
        </x:is>
      </x:c>
      <x:c r="C13" s="9" t="n"/>
      <x:c r="D13" s="9" t="inlineStr">
        <x:is>
          <x:t xml:space="preserve">Pfaffstraße 31</x:t>
        </x:is>
      </x:c>
      <x:c r="E13" s="9" t="inlineStr">
        <x:is>
          <x:t xml:space="preserve">67655</x:t>
        </x:is>
      </x:c>
      <x:c r="F13" s="9" t="inlineStr">
        <x:is>
          <x:t xml:space="preserve">Kaiserslautern</x:t>
        </x:is>
      </x:c>
      <x:c r="G13" s="9" t="inlineStr">
        <x:is>
          <x:t xml:space="preserve">0631 20572-0</x:t>
        </x:is>
      </x:c>
      <x:c r="H13" s="9" t="inlineStr">
        <x:is>
          <x:t xml:space="preserve">info@wkk-seniorenresidenz.de</x:t>
        </x:is>
      </x:c>
      <x:c r="I13" s="9" t="n"/>
      <x:c r="J13" s="9" t="inlineStr">
        <x:is>
          <x:t xml:space="preserve">Phase F</x:t>
        </x:is>
      </x:c>
      <x:c r="K13" s="9" t="n"/>
      <x:c r="L13" s="9" t="inlineStr">
        <x:is>
          <x:t xml:space="preserve">aktuell im BAG-Verzeichnis; Leistungsprofil/Kontakt noch vertiefen</x:t>
        </x:is>
      </x:c>
      <x:c r="M13" s="9" t="inlineStr">
        <x:is>
          <x:t xml:space="preserve">BAG Phase F</x:t>
        </x:is>
      </x:c>
      <x:c r="N13" s="9" t="inlineStr">
        <x:is>
          <x:t xml:space="preserve">https://bag-phase-f.de/lag/</x:t>
        </x:is>
      </x:c>
      <x:c r="O13" s="9" t="inlineStr">
        <x:is>
          <x:t xml:space="preserve">2026-08-23</x:t>
        </x:is>
      </x:c>
      <x:c r="P13" s="9" t="n">
        <x:v>49.439147</x:v>
      </x:c>
      <x:c r="Q13" s="9" t="n">
        <x:v>7.754609</x:v>
      </x:c>
      <x:c r="R13" s="9" t="inlineStr">
        <x:is>
          <x:t xml:space="preserve">Stufe A/B – vorhandener Gebäude-/Adresspunkt verifiziert; Adresspunkt Pfaffstraße 31 verifiziert</x:t>
        </x:is>
      </x:c>
      <x:c r="S13" s="9" t="n"/>
      <x:c r="T13" s="9" t="inlineStr">
        <x:is>
          <x:t xml:space="preserve">Wachkoma-/Beatmungspflege als Angebot bestätigt; spezifische aktuelle Phase-F-Teilkapazität weiterhin nicht öffentlich belastbar ausgewiesen. Gesamt-/allgemeine Pflegeplatzzahlen wurden nicht als Phase-F-Plätze übernommen.</x:t>
        </x:is>
      </x:c>
      <x:c r="U13" s="9" t="inlineStr">
        <x:is>
          <x:t xml:space="preserve">Aufnahme Seniorenresidenz</x:t>
        </x:is>
      </x:c>
      <x:c r="V13" s="9" t="inlineStr">
        <x:is>
          <x:t xml:space="preserve">funktionaler Kontakt</x:t>
        </x:is>
      </x:c>
      <x:c r="W13" s="9" t="inlineStr">
        <x:is>
          <x:t xml:space="preserve">0631 20572-0</x:t>
        </x:is>
      </x:c>
      <x:c r="X13" s="9" t="inlineStr">
        <x:is>
          <x:t xml:space="preserve">info@wkk-seniorenresidenz.de</x:t>
        </x:is>
      </x:c>
      <x:c r="Y13" s="9" t="inlineStr">
        <x:is>
          <x:t xml:space="preserve">https://www.westpfalz-klinikum.de/ueber-uns/organisation/tochterunternehmen</x:t>
        </x:is>
      </x:c>
      <x:c r="Z13" s="9" t="inlineStr">
        <x:is>
          <x:t xml:space="preserve">A/B</x:t>
        </x:is>
      </x:c>
      <x:c r="AA13" s="9" t="inlineStr">
        <x:is>
          <x:t xml:space="preserve">2026-08-23</x:t>
        </x:is>
      </x:c>
      <x:c r="AB13" s="9" t="inlineStr">
        <x:is>
          <x:t xml:space="preserve">Hausanschrift gegen aktuelle Betreiber-/amtliche Quelle geprüft; Karten-/Adresspunkt auf Plausibilität mit PLZ, Ort und Straße abgeglichen</x:t>
        </x:is>
      </x:c>
    </x:row>
    <x:row r="14">
      <x:c r="A14" s="9" t="inlineStr">
        <x:is>
          <x:t xml:space="preserve">BW</x:t>
        </x:is>
      </x:c>
      <x:c r="B14" s="9" t="inlineStr">
        <x:is>
          <x:t xml:space="preserve">Haus auf der Waldau</x:t>
        </x:is>
      </x:c>
      <x:c r="C14" s="9" t="inlineStr">
        <x:is>
          <x:t xml:space="preserve">Evangelische Heimstiftung</x:t>
        </x:is>
      </x:c>
      <x:c r="D14" s="9" t="inlineStr">
        <x:is>
          <x:t xml:space="preserve">Jahnstraße 68-70</x:t>
        </x:is>
      </x:c>
      <x:c r="E14" s="9" t="inlineStr">
        <x:is>
          <x:t xml:space="preserve">70597</x:t>
        </x:is>
      </x:c>
      <x:c r="F14" s="9" t="inlineStr">
        <x:is>
          <x:t xml:space="preserve">Stuttgart</x:t>
        </x:is>
      </x:c>
      <x:c r="G14" s="9" t="inlineStr">
        <x:is>
          <x:t xml:space="preserve">0711 7684-0</x:t>
        </x:is>
      </x:c>
      <x:c r="H14" s="9" t="inlineStr">
        <x:is>
          <x:t xml:space="preserve">haus-auf-der-waldau@ev-heimstiftung.de</x:t>
        </x:is>
      </x:c>
      <x:c r="I14" s="9" t="inlineStr">
        <x:is>
          <x:t xml:space="preserve">https://www.haus-auf-der-waldau.de</x:t>
        </x:is>
      </x:c>
      <x:c r="J14" s="9" t="inlineStr">
        <x:is>
          <x:t xml:space="preserve">Phase F; schwere Schädel-Hirnverletzungen; Wachkoma</x:t>
        </x:is>
      </x:c>
      <x:c r="K14" s="9" t="n"/>
      <x:c r="L14" s="9" t="inlineStr">
        <x:is>
          <x:t xml:space="preserve">aktuell im LAG-BW-Einrichtungsverzeichnis</x:t>
        </x:is>
      </x:c>
      <x:c r="M14" s="9" t="inlineStr">
        <x:is>
          <x:t xml:space="preserve">LAG Phase F Baden-Württemberg</x:t>
        </x:is>
      </x:c>
      <x:c r="N14" s="9" t="inlineStr">
        <x:is>
          <x:t xml:space="preserve">https://www.wachkoma-bw.de/einrichtungen.php</x:t>
        </x:is>
      </x:c>
      <x:c r="O14" s="9" t="inlineStr">
        <x:is>
          <x:t xml:space="preserve">2026-08-23</x:t>
        </x:is>
      </x:c>
      <x:c r="P14" s="9" t="n">
        <x:v>48.75285</x:v>
      </x:c>
      <x:c r="Q14" s="9" t="n">
        <x:v>9.180899999999999</x:v>
      </x:c>
      <x:c r="R14" s="9" t="inlineStr">
        <x:is>
          <x:t xml:space="preserve">Stufe B – Hausadresse Jahnstraße 68–70 verifiziert; adressbezogener Kartenpunkt</x:t>
        </x:is>
      </x:c>
      <x:c r="S14" s="9" t="n"/>
      <x:c r="T14" s="9" t="inlineStr">
        <x:is>
          <x:t xml:space="preserve">150 vollstationäre Pflegeplätze gesamt aktuell im BKK-Pflegefinder; Phase-F/Wachkoma-Teilkapazität nicht separat ausgewiesen und daher nicht als Phase-F-Platzzahl übernommen.</x:t>
        </x:is>
      </x:c>
      <x:c r="U14" s="9" t="inlineStr">
        <x:is>
          <x:t xml:space="preserve">Gute-Pflege-Center / Manuela Dahme</x:t>
        </x:is>
      </x:c>
      <x:c r="V14" s="9" t="inlineStr">
        <x:is>
          <x:t xml:space="preserve">zentrale Aufnahmeberatung / Hausdirektion</x:t>
        </x:is>
      </x:c>
      <x:c r="W14" s="9" t="inlineStr">
        <x:is>
          <x:t xml:space="preserve">0711 95 96 97 97 / 0711 7684-0</x:t>
        </x:is>
      </x:c>
      <x:c r="X14" s="9" t="inlineStr">
        <x:is>
          <x:t xml:space="preserve">haus-auf-der-waldau@ev-heimstiftung.de</x:t>
        </x:is>
      </x:c>
      <x:c r="Y14" s="9" t="inlineStr">
        <x:is>
          <x:t xml:space="preserve">https://pflegefinder.bkk-dachverband.de/details/?uid=510811307_70597_jah_s</x:t>
        </x:is>
      </x:c>
      <x:c r="Z14" s="9" t="inlineStr">
        <x:is>
          <x:t xml:space="preserve">B</x:t>
        </x:is>
      </x:c>
      <x:c r="AA14" s="9" t="inlineStr">
        <x:is>
          <x:t xml:space="preserve">2026-08-23</x:t>
        </x:is>
      </x:c>
      <x:c r="AB14" s="9" t="inlineStr">
        <x:is>
          <x:t xml:space="preserve">Hausanschrift gegen aktuelle Betreiber-/amtliche Quelle geprüft; Karten-/Adresspunkt auf Plausibilität mit PLZ, Ort und Straße abgeglichen</x:t>
        </x:is>
      </x:c>
    </x:row>
    <x:row r="15">
      <x:c r="A15" s="9" t="inlineStr">
        <x:is>
          <x:t xml:space="preserve">BW</x:t>
        </x:is>
      </x:c>
      <x:c r="B15" s="9" t="inlineStr">
        <x:is>
          <x:t xml:space="preserve">Bad Sebastiansweiler – Außerklinische Intensivpflege</x:t>
        </x:is>
      </x:c>
      <x:c r="C15" s="9" t="inlineStr">
        <x:is>
          <x:t xml:space="preserve">Bad Sebastiansweiler GmbH</x:t>
        </x:is>
      </x:c>
      <x:c r="D15" s="9" t="inlineStr">
        <x:is>
          <x:t xml:space="preserve">Hechinger Straße 26</x:t>
        </x:is>
      </x:c>
      <x:c r="E15" s="9" t="inlineStr">
        <x:is>
          <x:t xml:space="preserve">72116</x:t>
        </x:is>
      </x:c>
      <x:c r="F15" s="9" t="inlineStr">
        <x:is>
          <x:t xml:space="preserve">Mössingen</x:t>
        </x:is>
      </x:c>
      <x:c r="G15" s="9" t="inlineStr">
        <x:is>
          <x:t xml:space="preserve">07473 3783-0</x:t>
        </x:is>
      </x:c>
      <x:c r="H15" s="9" t="inlineStr">
        <x:is>
          <x:t xml:space="preserve">info@bad-sebastiansweiler.de</x:t>
        </x:is>
      </x:c>
      <x:c r="I15" s="9" t="inlineStr">
        <x:is>
          <x:t xml:space="preserve">https://www.bad-sebastiansweiler.de/</x:t>
        </x:is>
      </x:c>
      <x:c r="J15" s="9" t="inlineStr">
        <x:is>
          <x:t xml:space="preserve">Phase F; Tracheostoma; invasive/non-invasive Beatmung; Physio; Ergo; Logopädie; Bobath; Basale Stimulation</x:t>
        </x:is>
      </x:c>
      <x:c r="K15" s="9" t="n"/>
      <x:c r="L15" s="9" t="inlineStr">
        <x:is>
          <x:t xml:space="preserve">aktuell bestätigt; LAG/BAG Phase F</x:t>
        </x:is>
      </x:c>
      <x:c r="M15" s="9" t="inlineStr">
        <x:is>
          <x:t xml:space="preserve">Einrichtung / BAG Phase F</x:t>
        </x:is>
      </x:c>
      <x:c r="N15" s="9" t="inlineStr">
        <x:is>
          <x:t xml:space="preserve">https://bag-phase-f.de/lag/bad-sebastiansweiler-gmbh/</x:t>
        </x:is>
      </x:c>
      <x:c r="O15" s="9" t="inlineStr">
        <x:is>
          <x:t xml:space="preserve">2026-08-23</x:t>
        </x:is>
      </x:c>
      <x:c r="P15" s="9" t="n">
        <x:v>48.4013219</x:v>
      </x:c>
      <x:c r="Q15" s="9" t="n">
        <x:v>9.0145546629</x:v>
      </x:c>
      <x:c r="R15" s="9" t="inlineStr">
        <x:is>
          <x:t xml:space="preserve">Stufe A/B – vorhandener Gebäude-/Adresspunkt verifiziert; Adresspunkt Hechinger Straße 26 verifiziert</x:t>
        </x:is>
      </x:c>
      <x:c r="S15" s="9" t="n"/>
      <x:c r="T15" s="9" t="inlineStr">
        <x:is>
          <x:t xml:space="preserve">Aktuelle spezifische Phase-F-Platzzahl weiterhin nicht belastbar veröffentlicht. Ältere Fachliteratur nennt 16 Wachkomapflegeplätze (davon 5 eingestreute Beatmungsplätze); wegen Alters der Quelle nicht als aktuelle Kapazität übernommen.</x:t>
        </x:is>
      </x:c>
      <x:c r="U15" s="9" t="inlineStr">
        <x:is>
          <x:t xml:space="preserve">Team Bewohnerverwaltung / Kathrin Kärcher</x:t>
        </x:is>
      </x:c>
      <x:c r="V15" s="9" t="inlineStr">
        <x:is>
          <x:t xml:space="preserve">Aufnahmeverwaltung / Pflegedienstleitung Außerklinische Intensivpflege</x:t>
        </x:is>
      </x:c>
      <x:c r="W15" s="9" t="inlineStr">
        <x:is>
          <x:t xml:space="preserve">07473 3783-424 / -551</x:t>
        </x:is>
      </x:c>
      <x:c r="X15" s="9" t="inlineStr">
        <x:is>
          <x:t xml:space="preserve">info@bad-sebastiansweiler.de</x:t>
        </x:is>
      </x:c>
      <x:c r="Y15" s="9" t="inlineStr">
        <x:is>
          <x:t xml:space="preserve">https://bag-phase-f.de/lag/bad-sebastiansweiler-gmbh/ ; ältere Kapazitätsquelle: VELA-Regio-Fachpublikation</x:t>
        </x:is>
      </x:c>
      <x:c r="Z15" s="9" t="inlineStr">
        <x:is>
          <x:t xml:space="preserve">A/B</x:t>
        </x:is>
      </x:c>
      <x:c r="AA15" s="9" t="inlineStr">
        <x:is>
          <x:t xml:space="preserve">2026-08-23</x:t>
        </x:is>
      </x:c>
      <x:c r="AB15" s="9" t="inlineStr">
        <x:is>
          <x:t xml:space="preserve">Hausanschrift gegen aktuelle Betreiber-/amtliche Quelle geprüft; Karten-/Adresspunkt auf Plausibilität mit PLZ, Ort und Straße abgeglichen</x:t>
        </x:is>
      </x:c>
    </x:row>
    <x:row r="16">
      <x:c r="A16" s="9" t="inlineStr">
        <x:is>
          <x:t xml:space="preserve">BW</x:t>
        </x:is>
      </x:c>
      <x:c r="B16" s="9" t="inlineStr">
        <x:is>
          <x:t xml:space="preserve">Rappertshofen Reutlingen</x:t>
        </x:is>
      </x:c>
      <x:c r="C16" s="9" t="inlineStr">
        <x:is>
          <x:t xml:space="preserve">Habila / vorm. LWV.Eingliederungshilfe</x:t>
        </x:is>
      </x:c>
      <x:c r="D16" s="9" t="inlineStr">
        <x:is>
          <x:t xml:space="preserve">Rappertshofen 1</x:t>
        </x:is>
      </x:c>
      <x:c r="E16" s="9" t="inlineStr">
        <x:is>
          <x:t xml:space="preserve">72760</x:t>
        </x:is>
      </x:c>
      <x:c r="F16" s="9" t="inlineStr">
        <x:is>
          <x:t xml:space="preserve">Reutlingen</x:t>
        </x:is>
      </x:c>
      <x:c r="G16" s="9" t="inlineStr">
        <x:is>
          <x:t xml:space="preserve">07121 629-340</x:t>
        </x:is>
      </x:c>
      <x:c r="H16" s="9" t="n"/>
      <x:c r="I16" s="9" t="n"/>
      <x:c r="J16" s="9" t="inlineStr">
        <x:is>
          <x:t xml:space="preserve">Phase F; neurologische Langzeitpflege; Wachkoma</x:t>
        </x:is>
      </x:c>
      <x:c r="K16" s="9" t="n"/>
      <x:c r="L16" s="9" t="inlineStr">
        <x:is>
          <x:t xml:space="preserve">aktuell im LAG-BW-Einrichtungsverzeichnis</x:t>
        </x:is>
      </x:c>
      <x:c r="M16" s="9" t="inlineStr">
        <x:is>
          <x:t xml:space="preserve">LAG Phase F Baden-Württemberg</x:t>
        </x:is>
      </x:c>
      <x:c r="N16" s="9" t="inlineStr">
        <x:is>
          <x:t xml:space="preserve">https://www.wachkoma-bw.de/einrichtungen.php</x:t>
        </x:is>
      </x:c>
      <x:c r="O16" s="9" t="inlineStr">
        <x:is>
          <x:t xml:space="preserve">2026-08-23</x:t>
        </x:is>
      </x:c>
      <x:c r="P16" s="9" t="n">
        <x:v>48.521611</x:v>
      </x:c>
      <x:c r="Q16" s="9" t="n">
        <x:v>9.198466</x:v>
      </x:c>
      <x:c r="R16" s="9" t="inlineStr">
        <x:is>
          <x:t xml:space="preserve">Stufe B – Hausadresse Rappertshofen 1 verifiziert; Adressdatensatz</x:t>
        </x:is>
      </x:c>
      <x:c r="S16" s="9" t="n"/>
      <x:c r="T16" s="9" t="inlineStr">
        <x:is>
          <x:t xml:space="preserve">Neurologische Langzeitpflege/Wachkoma aktuell bestätigt; spezifische aktuelle Platzzahl öffentlich nicht ausgewiesen.</x:t>
        </x:is>
      </x:c>
      <x:c r="U16" s="9" t="inlineStr">
        <x:is>
          <x:t xml:space="preserve">Katharina Theilert</x:t>
        </x:is>
      </x:c>
      <x:c r="V16" s="9" t="inlineStr">
        <x:is>
          <x:t xml:space="preserve">Sozialdienst Neurologische Langzeitpflege</x:t>
        </x:is>
      </x:c>
      <x:c r="W16" s="9" t="inlineStr">
        <x:is>
          <x:t xml:space="preserve">07121 629-340</x:t>
        </x:is>
      </x:c>
      <x:c r="X16" s="9" t="n"/>
      <x:c r="Y16" s="9" t="inlineStr">
        <x:is>
          <x:t xml:space="preserve">https://www.habila.de/wohnen-assistenz/reutlingen/rappertshofen-reutlingen/wohnangebote/neurologische-langzeitpflege/</x:t>
        </x:is>
      </x:c>
      <x:c r="Z16" s="9" t="inlineStr">
        <x:is>
          <x:t xml:space="preserve">B</x:t>
        </x:is>
      </x:c>
      <x:c r="AA16" s="9" t="inlineStr">
        <x:is>
          <x:t xml:space="preserve">2026-08-23</x:t>
        </x:is>
      </x:c>
      <x:c r="AB16" s="9" t="inlineStr">
        <x:is>
          <x:t xml:space="preserve">Hausanschrift gegen aktuelle Betreiber-/amtliche Quelle geprüft; Karten-/Adresspunkt auf Plausibilität mit PLZ, Ort und Straße abgeglichen</x:t>
        </x:is>
      </x:c>
    </x:row>
    <x:row r="17">
      <x:c r="A17" s="9" t="inlineStr">
        <x:is>
          <x:t xml:space="preserve">BW</x:t>
        </x:is>
      </x:c>
      <x:c r="B17" s="9" t="inlineStr">
        <x:is>
          <x:t xml:space="preserve">Seniorenzentrum St. Anna – Wohnbereich Paul</x:t>
        </x:is>
      </x:c>
      <x:c r="C17" s="9" t="inlineStr">
        <x:is>
          <x:t xml:space="preserve">Vinzenz von Paul gGmbH</x:t>
        </x:is>
      </x:c>
      <x:c r="D17" s="9" t="inlineStr">
        <x:is>
          <x:t xml:space="preserve">Katharinenstraße 34</x:t>
        </x:is>
      </x:c>
      <x:c r="E17" s="9" t="inlineStr">
        <x:is>
          <x:t xml:space="preserve">73525</x:t>
        </x:is>
      </x:c>
      <x:c r="F17" s="9" t="inlineStr">
        <x:is>
          <x:t xml:space="preserve">Schwäbisch Gmünd</x:t>
        </x:is>
      </x:c>
      <x:c r="G17" s="9" t="inlineStr">
        <x:is>
          <x:t xml:space="preserve">07171 918-0</x:t>
        </x:is>
      </x:c>
      <x:c r="H17" s="9" t="inlineStr">
        <x:is>
          <x:t xml:space="preserve">intensivpflege@vinzenz-sd.de</x:t>
        </x:is>
      </x:c>
      <x:c r="I17" s="9" t="n"/>
      <x:c r="J17" s="9" t="inlineStr">
        <x:is>
          <x:t xml:space="preserve">Phase F; schwere Schädel-Hirnverletzungen / Wachkoma</x:t>
        </x:is>
      </x:c>
      <x:c r="K17" s="9" t="n"/>
      <x:c r="L17" s="9" t="inlineStr">
        <x:is>
          <x:t xml:space="preserve">aktuell im LAG-BW-Einrichtungsverzeichnis</x:t>
        </x:is>
      </x:c>
      <x:c r="M17" s="9" t="inlineStr">
        <x:is>
          <x:t xml:space="preserve">LAG Phase F Baden-Württemberg</x:t>
        </x:is>
      </x:c>
      <x:c r="N17" s="9" t="inlineStr">
        <x:is>
          <x:t xml:space="preserve">https://www.wachkoma-bw.de/einrichtungen.php</x:t>
        </x:is>
      </x:c>
      <x:c r="O17" s="9" t="inlineStr">
        <x:is>
          <x:t xml:space="preserve">2026-08-23</x:t>
        </x:is>
      </x:c>
      <x:c r="P17" s="9" t="n">
        <x:v>48.80105</x:v>
      </x:c>
      <x:c r="Q17" s="9" t="n">
        <x:v>9.7949</x:v>
      </x:c>
      <x:c r="R17" s="9" t="inlineStr">
        <x:is>
          <x:t xml:space="preserve">Stufe B – Hausadresse Katharinenstraße 34 verifiziert; adressbezogener Kartenpunkt</x:t>
        </x:is>
      </x:c>
      <x:c r="S17" s="9" t="n">
        <x:v>18</x:v>
      </x:c>
      <x:c r="T17" s="9" t="inlineStr">
        <x:is>
          <x:t xml:space="preserve">18 Pflegeplätze im Wohnbereich Paul; außerklinische Intensivpflege/Wachkoma</x:t>
        </x:is>
      </x:c>
      <x:c r="U17" s="9" t="inlineStr">
        <x:is>
          <x:t xml:space="preserve">Wohnbereich Paul / Intensivpflege</x:t>
        </x:is>
      </x:c>
      <x:c r="V17" s="9" t="inlineStr">
        <x:is>
          <x:t xml:space="preserve">funktionaler Aufnahmekontakt</x:t>
        </x:is>
      </x:c>
      <x:c r="W17" s="9" t="inlineStr">
        <x:is>
          <x:t xml:space="preserve">07171 918-0</x:t>
        </x:is>
      </x:c>
      <x:c r="X17" s="9" t="inlineStr">
        <x:is>
          <x:t xml:space="preserve">intensivpflege@vinzenz-sd.de</x:t>
        </x:is>
      </x:c>
      <x:c r="Y17" s="9" t="inlineStr">
        <x:is>
          <x:t xml:space="preserve">https://www.vinzenz-von-paul.de/fileadmin/user_upload/24_665_Jahresbericht_gesamt_screen.pdf ; https://www.vinzenz-von-paul.de/fileadmin/vinzenz-von-paul/data/Downloads/Infomaterial/Schw%C3%A4bisch-Gm%C3%BCnd/web_2023_00122_RGD_FLY_STA_AKIP.pdf</x:t>
        </x:is>
      </x:c>
      <x:c r="Z17" s="9" t="inlineStr">
        <x:is>
          <x:t xml:space="preserve">B</x:t>
        </x:is>
      </x:c>
      <x:c r="AA17" s="9" t="inlineStr">
        <x:is>
          <x:t xml:space="preserve">2026-08-23</x:t>
        </x:is>
      </x:c>
      <x:c r="AB17" s="9" t="inlineStr">
        <x:is>
          <x:t xml:space="preserve">Hausanschrift gegen aktuelle Betreiber-/amtliche Quelle geprüft; Karten-/Adresspunkt auf Plausibilität mit PLZ, Ort und Straße abgeglichen</x:t>
        </x:is>
      </x:c>
    </x:row>
    <x:row r="18">
      <x:c r="A18" s="9" t="inlineStr">
        <x:is>
          <x:t xml:space="preserve">BW</x:t>
        </x:is>
      </x:c>
      <x:c r="B18" s="9" t="inlineStr">
        <x:is>
          <x:t xml:space="preserve">ASB Pflegezentrum Heilbronn-Sontheim</x:t>
        </x:is>
      </x:c>
      <x:c r="C18" s="9" t="inlineStr">
        <x:is>
          <x:t xml:space="preserve">ASB</x:t>
        </x:is>
      </x:c>
      <x:c r="D18" s="9" t="inlineStr">
        <x:is>
          <x:t xml:space="preserve">Bottwarbahnstraße 28</x:t>
        </x:is>
      </x:c>
      <x:c r="E18" s="9" t="inlineStr">
        <x:is>
          <x:t xml:space="preserve">74081</x:t>
        </x:is>
      </x:c>
      <x:c r="F18" s="9" t="inlineStr">
        <x:is>
          <x:t xml:space="preserve">Heilbronn</x:t>
        </x:is>
      </x:c>
      <x:c r="G18" s="9" t="inlineStr">
        <x:is>
          <x:t xml:space="preserve">07131 58982-0</x:t>
        </x:is>
      </x:c>
      <x:c r="H18" s="9" t="n"/>
      <x:c r="I18" s="9" t="n"/>
      <x:c r="J18" s="9" t="inlineStr">
        <x:is>
          <x:t xml:space="preserve">Phase F; Wachkoma</x:t>
        </x:is>
      </x:c>
      <x:c r="K18" s="9" t="n"/>
      <x:c r="L18" s="9" t="inlineStr">
        <x:is>
          <x:t xml:space="preserve">aktuell im LAG-BW-Einrichtungsverzeichnis</x:t>
        </x:is>
      </x:c>
      <x:c r="M18" s="9" t="inlineStr">
        <x:is>
          <x:t xml:space="preserve">LAG Phase F Baden-Württemberg</x:t>
        </x:is>
      </x:c>
      <x:c r="N18" s="9" t="inlineStr">
        <x:is>
          <x:t xml:space="preserve">https://www.wachkoma-bw.de/einrichtungen.php</x:t>
        </x:is>
      </x:c>
      <x:c r="O18" s="9" t="inlineStr">
        <x:is>
          <x:t xml:space="preserve">2026-08-23</x:t>
        </x:is>
      </x:c>
      <x:c r="P18" s="9" t="n">
        <x:v>49.123683</x:v>
      </x:c>
      <x:c r="Q18" s="9" t="n">
        <x:v>9.200372</x:v>
      </x:c>
      <x:c r="R18" s="9" t="inlineStr">
        <x:is>
          <x:t xml:space="preserve">Stufe B – Hausadresse Bottwarbahnstraße 28 verifiziert; Adressdatensatz</x:t>
        </x:is>
      </x:c>
      <x:c r="S18" s="9" t="n">
        <x:v>19</x:v>
      </x:c>
      <x:c r="T18" s="9" t="inlineStr">
        <x:is>
          <x:t xml:space="preserve">19 Plätze Fachpflegestation Wachkoma / Phase F aktuell auf ASB-Seite ausgewiesen</x:t>
        </x:is>
      </x:c>
      <x:c r="U18" s="9" t="inlineStr">
        <x:is>
          <x:t xml:space="preserve">ASB Pflegezentrum Heilbronn-Sontheim</x:t>
        </x:is>
      </x:c>
      <x:c r="V18" s="9" t="inlineStr">
        <x:is>
          <x:t xml:space="preserve">Einrichtungs-/Aufnahmekontakt</x:t>
        </x:is>
      </x:c>
      <x:c r="W18" s="9" t="inlineStr">
        <x:is>
          <x:t xml:space="preserve">07131 58982-0</x:t>
        </x:is>
      </x:c>
      <x:c r="X18" s="9" t="n"/>
      <x:c r="Y18" s="9" t="inlineStr">
        <x:is>
          <x:t xml:space="preserve">https://www.asb-bw.de/unser-angebot/altenhilfe/pflegeheime/</x:t>
        </x:is>
      </x:c>
      <x:c r="Z18" s="9" t="inlineStr">
        <x:is>
          <x:t xml:space="preserve">B</x:t>
        </x:is>
      </x:c>
      <x:c r="AA18" s="9" t="inlineStr">
        <x:is>
          <x:t xml:space="preserve">2026-08-23</x:t>
        </x:is>
      </x:c>
      <x:c r="AB18" s="9" t="inlineStr">
        <x:is>
          <x:t xml:space="preserve">Hausanschrift gegen aktuelle Betreiber-/amtliche Quelle geprüft; Karten-/Adresspunkt auf Plausibilität mit PLZ, Ort und Straße abgeglichen</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0" customWidth="1"/>
    <x:col min="3" max="3" width="28" customWidth="1"/>
    <x:col min="4" max="4" width="20" customWidth="1"/>
    <x:col min="5" max="5" width="48" customWidth="1"/>
    <x:col min="6" max="6" width="30" customWidth="1"/>
    <x:col min="7" max="7" width="28" customWidth="1"/>
    <x:col min="8" max="8" width="30" customWidth="1"/>
    <x:col min="9" max="9" width="9" customWidth="1"/>
    <x:col min="10" max="10" width="24" customWidth="1"/>
    <x:col min="11" max="11" width="20" customWidth="1"/>
    <x:col min="12" max="12" width="20" customWidth="1"/>
    <x:col min="13" max="13" width="18" customWidth="1"/>
    <x:col min="14" max="14" width="35" customWidth="1"/>
    <x:col min="15" max="15" width="40" customWidth="1"/>
    <x:col min="16" max="16" width="18" customWidth="1"/>
    <x:col min="17" max="17" width="12" customWidth="1"/>
    <x:col min="18" max="18" width="16" customWidth="1"/>
    <x:col min="19" max="19" width="48" customWidth="1"/>
    <x:col min="20" max="20" width="13" customWidth="1"/>
    <x:col min="21" max="21" width="13" customWidth="1"/>
    <x:col min="22" max="22" width="15" customWidth="1"/>
    <x:col min="23" max="23" width="38" customWidth="1"/>
    <x:col min="24" max="24" width="50" customWidth="1"/>
    <x:col min="25" max="25" width="48" customWidth="1"/>
    <x:col min="26" max="26" width="13" customWidth="1"/>
    <x:col min="27" max="27" width="32" customWidth="1"/>
    <x:col min="28" max="28" width="34" customWidth="1"/>
    <x:col min="29" max="29" width="48" customWidth="1"/>
    <x:col min="30" max="30" width="52" customWidth="1"/>
    <x:col min="31" max="31" width="14" customWidth="1"/>
  </x:cols>
  <x:sheetData>
    <x:row r="1">
      <x:c r="A1" s="6" t="inlineStr">
        <x:is>
          <x:t xml:space="preserve">ID</x:t>
        </x:is>
      </x:c>
      <x:c r="B1" s="6" t="inlineStr">
        <x:is>
          <x:t xml:space="preserve">Kategorie</x:t>
        </x:is>
      </x:c>
      <x:c r="C1" s="6" t="inlineStr">
        <x:is>
          <x:t xml:space="preserve">Fachgruppe</x:t>
        </x:is>
      </x:c>
      <x:c r="D1" s="6" t="inlineStr">
        <x:is>
          <x:t xml:space="preserve">Standorttyp</x:t>
        </x:is>
      </x:c>
      <x:c r="E1" s="6" t="inlineStr">
        <x:is>
          <x:t xml:space="preserve">Name</x:t>
        </x:is>
      </x:c>
      <x:c r="F1" s="6" t="inlineStr">
        <x:is>
          <x:t xml:space="preserve">Träger/Zuordnung</x:t>
        </x:is>
      </x:c>
      <x:c r="G1" s="6" t="inlineStr">
        <x:is>
          <x:t xml:space="preserve">Straße</x:t>
        </x:is>
      </x:c>
      <x:c r="H1" s="6" t="inlineStr">
        <x:is>
          <x:t xml:space="preserve">Adresszusatz</x:t>
        </x:is>
      </x:c>
      <x:c r="I1" s="6" t="inlineStr">
        <x:is>
          <x:t xml:space="preserve">PLZ</x:t>
        </x:is>
      </x:c>
      <x:c r="J1" s="6" t="inlineStr">
        <x:is>
          <x:t xml:space="preserve">Ort</x:t>
        </x:is>
      </x:c>
      <x:c r="K1" s="6" t="inlineStr">
        <x:is>
          <x:t xml:space="preserve">Bundesland</x:t>
        </x:is>
      </x:c>
      <x:c r="L1" s="6" t="inlineStr">
        <x:is>
          <x:t xml:space="preserve">Telefon</x:t>
        </x:is>
      </x:c>
      <x:c r="M1" s="6" t="inlineStr">
        <x:is>
          <x:t xml:space="preserve">Fax</x:t>
        </x:is>
      </x:c>
      <x:c r="N1" s="6" t="inlineStr">
        <x:is>
          <x:t xml:space="preserve">E-Mail</x:t>
        </x:is>
      </x:c>
      <x:c r="O1" s="6" t="inlineStr">
        <x:is>
          <x:t xml:space="preserve">Website</x:t>
        </x:is>
      </x:c>
      <x:c r="P1" s="6" t="inlineStr">
        <x:is>
          <x:t xml:space="preserve">DGS</x:t>
        </x:is>
      </x:c>
      <x:c r="Q1" s="6" t="inlineStr">
        <x:is>
          <x:t xml:space="preserve">Lormen</x:t>
        </x:is>
      </x:c>
      <x:c r="R1" s="6" t="inlineStr">
        <x:is>
          <x:t xml:space="preserve">Videoberatung</x:t>
        </x:is>
      </x:c>
      <x:c r="S1" s="6" t="inlineStr">
        <x:is>
          <x:t xml:space="preserve">Öffnungszeiten</x:t>
        </x:is>
      </x:c>
      <x:c r="T1" s="6" t="inlineStr">
        <x:is>
          <x:t xml:space="preserve">Breitengrad</x:t>
        </x:is>
      </x:c>
      <x:c r="U1" s="6" t="inlineStr">
        <x:is>
          <x:t xml:space="preserve">Längengrad</x:t>
        </x:is>
      </x:c>
      <x:c r="V1" s="6" t="inlineStr">
        <x:is>
          <x:t xml:space="preserve">Geo-Qualität</x:t>
        </x:is>
      </x:c>
      <x:c r="W1" s="6" t="inlineStr">
        <x:is>
          <x:t xml:space="preserve">Geo-Prüfstatus</x:t>
        </x:is>
      </x:c>
      <x:c r="X1" s="6" t="inlineStr">
        <x:is>
          <x:t xml:space="preserve">Geocoding-Suchbegriff</x:t>
        </x:is>
      </x:c>
      <x:c r="Y1" s="6" t="inlineStr">
        <x:is>
          <x:t xml:space="preserve">Primärquelle</x:t>
        </x:is>
      </x:c>
      <x:c r="Z1" s="6" t="inlineStr">
        <x:is>
          <x:t xml:space="preserve">Prüfdatum</x:t>
        </x:is>
      </x:c>
      <x:c r="AA1" s="6" t="inlineStr">
        <x:is>
          <x:t xml:space="preserve">Region / Korridor</x:t>
        </x:is>
      </x:c>
      <x:c r="AB1" s="6" t="inlineStr">
        <x:is>
          <x:t xml:space="preserve">Datenstatus</x:t>
        </x:is>
      </x:c>
      <x:c r="AC1" s="6" t="inlineStr">
        <x:is>
          <x:t xml:space="preserve">Hinweis Master 4.3</x:t>
        </x:is>
      </x:c>
      <x:c r="AD1" s="8" t="inlineStr">
        <x:is>
          <x:t xml:space="preserve">Geoquelle / Methode</x:t>
        </x:is>
      </x:c>
      <x:c r="AE1" s="8" t="inlineStr">
        <x:is>
          <x:t xml:space="preserve">Geo-Prüfdatum</x:t>
        </x:is>
      </x:c>
    </x:row>
    <x:row r="2">
      <x:c r="A2" s="4" t="inlineStr">
        <x:is>
          <x:t xml:space="preserve">EUTB-001</x:t>
        </x:is>
      </x:c>
      <x:c r="B2" s="4" t="inlineStr">
        <x:is>
          <x:t xml:space="preserve">Beratung / Teilhabe</x:t>
        </x:is>
      </x:c>
      <x:c r="C2" s="4" t="inlineStr">
        <x:is>
          <x:t xml:space="preserve">EUTB / unabhängige Teilhabeberatung</x:t>
        </x:is>
      </x:c>
      <x:c r="D2" s="4" t="inlineStr">
        <x:is>
          <x:t xml:space="preserve">Hauptstelle/Angebot</x:t>
        </x:is>
      </x:c>
      <x:c r="E2" s="4" t="inlineStr">
        <x:is>
          <x:t xml:space="preserve">EUTB im Förderband e.V. Mannheim</x:t>
        </x:is>
      </x:c>
      <x:c r="F2" s="4" t="inlineStr">
        <x:is>
          <x:t xml:space="preserve">Förderband e.V.</x:t>
        </x:is>
      </x:c>
      <x:c r="G2" s="4" t="inlineStr">
        <x:is>
          <x:t xml:space="preserve">D 4, 4</x:t>
        </x:is>
      </x:c>
      <x:c r="H2" s="4" t="n"/>
      <x:c r="I2" s="4" t="inlineStr">
        <x:is>
          <x:t xml:space="preserve">68159</x:t>
        </x:is>
      </x:c>
      <x:c r="J2" s="4" t="inlineStr">
        <x:is>
          <x:t xml:space="preserve">Mannheim</x:t>
        </x:is>
      </x:c>
      <x:c r="K2" s="4" t="inlineStr">
        <x:is>
          <x:t xml:space="preserve">Baden-Württemberg</x:t>
        </x:is>
      </x:c>
      <x:c r="L2" s="4" t="inlineStr">
        <x:is>
          <x:t xml:space="preserve">0621 16661 66</x:t>
        </x:is>
      </x:c>
      <x:c r="M2" s="4" t="inlineStr">
        <x:is>
          <x:t xml:space="preserve">0621 16661 30</x:t>
        </x:is>
      </x:c>
      <x:c r="N2" s="4" t="inlineStr">
        <x:is>
          <x:t xml:space="preserve">info@foerderband-ma.de</x:t>
        </x:is>
      </x:c>
      <x:c r="O2" s="4" t="inlineStr">
        <x:is>
          <x:t xml:space="preserve">https://www.foerderband-ma.de/eutb/</x:t>
        </x:is>
      </x:c>
      <x:c r="P2" s="4" t="n"/>
      <x:c r="Q2" s="4" t="n"/>
      <x:c r="R2" s="4" t="n"/>
      <x:c r="S2" s="4" t="inlineStr">
        <x:is>
          <x:t xml:space="preserve">Montag, Dienstag und Donnerstag jeweils von 9.00 Uhr bis 12.00 Uhr
sowie Termine nach Vereinbarung</x:t>
        </x:is>
      </x:c>
      <x:c r="T2" s="4" t="n">
        <x:v>49.4884014</x:v>
      </x:c>
      <x:c r="U2" s="4" t="n">
        <x:v>8.463220446810499</x:v>
      </x:c>
      <x:c r="V2" s="4" t="inlineStr">
        <x:is>
          <x:t xml:space="preserve">B</x:t>
        </x:is>
      </x:c>
      <x:c r="W2" s="4" t="inlineStr">
        <x:is>
          <x:t xml:space="preserve">Stufe B – Hausadresse + OSM-Routingpunkt verifiziert</x:t>
        </x:is>
      </x:c>
      <x:c r="X2" s="4" t="inlineStr">
        <x:is>
          <x:t xml:space="preserve">D 4, 4, 68159 Mannheim, Deutschland</x:t>
        </x:is>
      </x:c>
      <x:c r="Y2" s="4" t="inlineStr">
        <x:is>
          <x:t xml:space="preserve">https://www.teilhabeberatung.de/beratung/beratungsangebote-der-eutb</x:t>
        </x:is>
      </x:c>
      <x:c r="Z2" s="4" t="inlineStr">
        <x:is>
          <x:t xml:space="preserve">2026-08-22</x:t>
        </x:is>
      </x:c>
      <x:c r="AA2" s="4" t="inlineStr">
        <x:is>
          <x:t xml:space="preserve">Rhein-Neckar</x:t>
        </x:is>
      </x:c>
      <x:c r="AB2" s="4" t="inlineStr">
        <x:is>
          <x:t xml:space="preserve">MASTER – Kontaktdaten/Adresse geprüft</x:t>
        </x:is>
      </x:c>
      <x:c r="AC2" s="4" t="n"/>
      <x:c r="AD2" s="4" t="inlineStr">
        <x:is>
          <x:t xml:space="preserve">Öffentliche Adress-/Kartenquelle; Abgleich mit offizieller EUTB-Hausadresse</x:t>
        </x:is>
      </x:c>
      <x:c r="AE2" s="4" t="inlineStr">
        <x:is>
          <x:t xml:space="preserve">2026-08-23</x:t>
        </x:is>
      </x:c>
    </x:row>
    <x:row r="3">
      <x:c r="A3" s="4" t="inlineStr">
        <x:is>
          <x:t xml:space="preserve">EUTB-002</x:t>
        </x:is>
      </x:c>
      <x:c r="B3" s="4" t="inlineStr">
        <x:is>
          <x:t xml:space="preserve">Beratung / Teilhabe</x:t>
        </x:is>
      </x:c>
      <x:c r="C3" s="4" t="inlineStr">
        <x:is>
          <x:t xml:space="preserve">EUTB / unabhängige Teilhabeberatung</x:t>
        </x:is>
      </x:c>
      <x:c r="D3" s="4" t="inlineStr">
        <x:is>
          <x:t xml:space="preserve">Standort</x:t>
        </x:is>
      </x:c>
      <x:c r="E3" s="4" t="inlineStr">
        <x:is>
          <x:t xml:space="preserve">EUTB Mannheim-BBSV</x:t>
        </x:is>
      </x:c>
      <x:c r="F3" s="4" t="n"/>
      <x:c r="G3" s="4" t="inlineStr">
        <x:is>
          <x:t xml:space="preserve">Augartenstraße 55</x:t>
        </x:is>
      </x:c>
      <x:c r="H3" s="4" t="n"/>
      <x:c r="I3" s="4" t="inlineStr">
        <x:is>
          <x:t xml:space="preserve">68165</x:t>
        </x:is>
      </x:c>
      <x:c r="J3" s="4" t="inlineStr">
        <x:is>
          <x:t xml:space="preserve">Mannheim</x:t>
        </x:is>
      </x:c>
      <x:c r="K3" s="4" t="inlineStr">
        <x:is>
          <x:t xml:space="preserve">Baden-Württemberg</x:t>
        </x:is>
      </x:c>
      <x:c r="L3" s="4" t="inlineStr">
        <x:is>
          <x:t xml:space="preserve">0621 402032</x:t>
        </x:is>
      </x:c>
      <x:c r="M3" s="4" t="n"/>
      <x:c r="N3" s="4" t="inlineStr">
        <x:is>
          <x:t xml:space="preserve">teilhabeberatung@bbsvvmk.de</x:t>
        </x:is>
      </x:c>
      <x:c r="O3" s="4" t="inlineStr">
        <x:is>
          <x:t xml:space="preserve">https://bbsvvmk.de/angebote/beratung/eutb</x:t>
        </x:is>
      </x:c>
      <x:c r="P3" s="4" t="n"/>
      <x:c r="Q3" s="4" t="n"/>
      <x:c r="R3" s="4" t="n"/>
      <x:c r="S3" s="4" t="inlineStr">
        <x:is>
          <x:t xml:space="preserve">Montag bis Donnerstag von 9.00 Uhr bis 12.00 Uhr und 14.00 Uhr bis 16. 00 Uhr, und Freitag von 9.00 Uhr bis 12.00 Uhr  
Beratungstermine nach vorheriger Vereinbarung auch außerhalb der Öffnungszeiten</x:t>
        </x:is>
      </x:c>
      <x:c r="T3" s="4" t="n">
        <x:v>49.47784</x:v>
      </x:c>
      <x:c r="U3" s="4" t="n">
        <x:v>8.481719999999999</x:v>
      </x:c>
      <x:c r="V3" s="4" t="inlineStr">
        <x:is>
          <x:t xml:space="preserve">B</x:t>
        </x:is>
      </x:c>
      <x:c r="W3" s="4" t="inlineStr">
        <x:is>
          <x:t xml:space="preserve">Stufe B – Hausadresse + OSM-Routingpunkt verifiziert</x:t>
        </x:is>
      </x:c>
      <x:c r="X3" s="4" t="inlineStr">
        <x:is>
          <x:t xml:space="preserve">Augartenstraße 55, 68165 Mannheim, Deutschland</x:t>
        </x:is>
      </x:c>
      <x:c r="Y3" s="4" t="inlineStr">
        <x:is>
          <x:t xml:space="preserve">https://www.teilhabeberatung.de/beratung/beratungsangebote-der-eutb</x:t>
        </x:is>
      </x:c>
      <x:c r="Z3" s="4" t="inlineStr">
        <x:is>
          <x:t xml:space="preserve">2026-08-22</x:t>
        </x:is>
      </x:c>
      <x:c r="AA3" s="4" t="inlineStr">
        <x:is>
          <x:t xml:space="preserve">Rhein-Neckar</x:t>
        </x:is>
      </x:c>
      <x:c r="AB3" s="4" t="inlineStr">
        <x:is>
          <x:t xml:space="preserve">MASTER – Kontaktdaten/Adresse geprüft</x:t>
        </x:is>
      </x:c>
      <x:c r="AC3" s="4" t="n"/>
      <x:c r="AD3" s="4" t="inlineStr">
        <x:is>
          <x:t xml:space="preserve">Öffentliche Adress-/Kartenquelle; Abgleich mit offizieller EUTB-Hausadresse</x:t>
        </x:is>
      </x:c>
      <x:c r="AE3" s="4" t="inlineStr">
        <x:is>
          <x:t xml:space="preserve">2026-08-23</x:t>
        </x:is>
      </x:c>
    </x:row>
    <x:row r="4">
      <x:c r="A4" s="4" t="inlineStr">
        <x:is>
          <x:t xml:space="preserve">EUTB-003</x:t>
        </x:is>
      </x:c>
      <x:c r="B4" s="4" t="inlineStr">
        <x:is>
          <x:t xml:space="preserve">Beratung / Teilhabe</x:t>
        </x:is>
      </x:c>
      <x:c r="C4" s="4" t="inlineStr">
        <x:is>
          <x:t xml:space="preserve">EUTB / unabhängige Teilhabeberatung</x:t>
        </x:is>
      </x:c>
      <x:c r="D4" s="4" t="inlineStr">
        <x:is>
          <x:t xml:space="preserve">Standort</x:t>
        </x:is>
      </x:c>
      <x:c r="E4" s="4" t="inlineStr">
        <x:is>
          <x:t xml:space="preserve">EUTB - Duha e.V. - Verein für soziale Dienste</x:t>
        </x:is>
      </x:c>
      <x:c r="F4" s="4" t="n"/>
      <x:c r="G4" s="4" t="inlineStr">
        <x:is>
          <x:t xml:space="preserve">Krügerstraße 13</x:t>
        </x:is>
      </x:c>
      <x:c r="H4" s="4" t="n"/>
      <x:c r="I4" s="4" t="inlineStr">
        <x:is>
          <x:t xml:space="preserve">68219</x:t>
        </x:is>
      </x:c>
      <x:c r="J4" s="4" t="inlineStr">
        <x:is>
          <x:t xml:space="preserve">Mannheim</x:t>
        </x:is>
      </x:c>
      <x:c r="K4" s="4" t="inlineStr">
        <x:is>
          <x:t xml:space="preserve">Baden-Württemberg</x:t>
        </x:is>
      </x:c>
      <x:c r="L4" s="4" t="inlineStr">
        <x:is>
          <x:t xml:space="preserve">01785405324</x:t>
        </x:is>
      </x:c>
      <x:c r="M4" s="4" t="n"/>
      <x:c r="N4" s="4" t="inlineStr">
        <x:is>
          <x:t xml:space="preserve">eutb@duha-ev.de</x:t>
        </x:is>
      </x:c>
      <x:c r="O4" s="4" t="inlineStr">
        <x:is>
          <x:t xml:space="preserve">http://www.duha-ev.de</x:t>
        </x:is>
      </x:c>
      <x:c r="P4" s="4" t="n"/>
      <x:c r="Q4" s="4" t="n"/>
      <x:c r="R4" s="4" t="n"/>
      <x:c r="S4" s="4" t="inlineStr">
        <x:is>
          <x:t xml:space="preserve">Montag von 9 Uhr bis 16.30 Uhr</x:t>
        </x:is>
      </x:c>
      <x:c r="T4" s="4" t="n">
        <x:v>49.452092</x:v>
      </x:c>
      <x:c r="U4" s="4" t="n">
        <x:v>8.51609</x:v>
      </x:c>
      <x:c r="V4" s="4" t="inlineStr">
        <x:is>
          <x:t xml:space="preserve">B</x:t>
        </x:is>
      </x:c>
      <x:c r="W4" s="4" t="inlineStr">
        <x:is>
          <x:t xml:space="preserve">Stufe B – Hausadresse + OSM-Routingpunkt verifiziert</x:t>
        </x:is>
      </x:c>
      <x:c r="X4" s="4" t="inlineStr">
        <x:is>
          <x:t xml:space="preserve">Krügerstraße 13, 68219 Mannheim, Deutschland</x:t>
        </x:is>
      </x:c>
      <x:c r="Y4" s="4" t="inlineStr">
        <x:is>
          <x:t xml:space="preserve">https://www.teilhabeberatung.de/beratung/beratungsangebote-der-eutb</x:t>
        </x:is>
      </x:c>
      <x:c r="Z4" s="4" t="inlineStr">
        <x:is>
          <x:t xml:space="preserve">2026-08-22</x:t>
        </x:is>
      </x:c>
      <x:c r="AA4" s="4" t="inlineStr">
        <x:is>
          <x:t xml:space="preserve">Rhein-Neckar</x:t>
        </x:is>
      </x:c>
      <x:c r="AB4" s="4" t="inlineStr">
        <x:is>
          <x:t xml:space="preserve">MASTER – Kontaktdaten/Adresse geprüft</x:t>
        </x:is>
      </x:c>
      <x:c r="AC4" s="4" t="n"/>
      <x:c r="AD4" s="4" t="inlineStr">
        <x:is>
          <x:t xml:space="preserve">Öffentliche Adress-/Kartenquelle; Abgleich mit offizieller EUTB-Hausadresse</x:t>
        </x:is>
      </x:c>
      <x:c r="AE4" s="4" t="inlineStr">
        <x:is>
          <x:t xml:space="preserve">2026-08-23</x:t>
        </x:is>
      </x:c>
    </x:row>
    <x:row r="5">
      <x:c r="A5" s="4" t="inlineStr">
        <x:is>
          <x:t xml:space="preserve">EUTB-004</x:t>
        </x:is>
      </x:c>
      <x:c r="B5" s="4" t="inlineStr">
        <x:is>
          <x:t xml:space="preserve">Beratung / Teilhabe</x:t>
        </x:is>
      </x:c>
      <x:c r="C5" s="4" t="inlineStr">
        <x:is>
          <x:t xml:space="preserve">EUTB / unabhängige Teilhabeberatung</x:t>
        </x:is>
      </x:c>
      <x:c r="D5" s="4" t="inlineStr">
        <x:is>
          <x:t xml:space="preserve">Standort</x:t>
        </x:is>
      </x:c>
      <x:c r="E5" s="4" t="inlineStr">
        <x:is>
          <x:t xml:space="preserve">EUTB Rhein-Neckar des Heidelberger Selbsthilfebüros - Schwetzingen</x:t>
        </x:is>
      </x:c>
      <x:c r="F5" s="4" t="n"/>
      <x:c r="G5" s="4" t="inlineStr">
        <x:is>
          <x:t xml:space="preserve">Hildastraße 4a</x:t>
        </x:is>
      </x:c>
      <x:c r="H5" s="4" t="inlineStr">
        <x:is>
          <x:t xml:space="preserve">Hebelhaus</x:t>
        </x:is>
      </x:c>
      <x:c r="I5" s="4" t="inlineStr">
        <x:is>
          <x:t xml:space="preserve">68723</x:t>
        </x:is>
      </x:c>
      <x:c r="J5" s="4" t="inlineStr">
        <x:is>
          <x:t xml:space="preserve">Schwetzingen</x:t>
        </x:is>
      </x:c>
      <x:c r="K5" s="4" t="inlineStr">
        <x:is>
          <x:t xml:space="preserve">Baden-Württemberg</x:t>
        </x:is>
      </x:c>
      <x:c r="L5" s="4" t="inlineStr">
        <x:is>
          <x:t xml:space="preserve">06221 161331</x:t>
        </x:is>
      </x:c>
      <x:c r="M5" s="4" t="n"/>
      <x:c r="N5" s="4" t="inlineStr">
        <x:is>
          <x:t xml:space="preserve">info@eutb-rnk.de</x:t>
        </x:is>
      </x:c>
      <x:c r="O5" s="4" t="n"/>
      <x:c r="P5" s="4" t="n"/>
      <x:c r="Q5" s="4" t="n"/>
      <x:c r="R5" s="4" t="n"/>
      <x:c r="S5" s="4" t="inlineStr">
        <x:is>
          <x:t xml:space="preserve">Offene Sprechstunde:
Montag von 10 Uhr bis 12 Uhr
Telefonsprechzeiten: 
Montag und Mittwoch von 10 Uhr bis 12 Uhr und Donnerstag von 14 Uhr bis 16 Uhr
Beratungen sind persönlich, telefonisch, per Mail oder ZOOM möglich.</x:t>
        </x:is>
      </x:c>
      <x:c r="T5" s="4" t="n">
        <x:v>49.3872974</x:v>
      </x:c>
      <x:c r="U5" s="4" t="n">
        <x:v>8.5696332</x:v>
      </x:c>
      <x:c r="V5" s="4" t="inlineStr">
        <x:is>
          <x:t xml:space="preserve">B</x:t>
        </x:is>
      </x:c>
      <x:c r="W5" s="4" t="inlineStr">
        <x:is>
          <x:t xml:space="preserve">Stufe B – Hausadresse + OSM-Routingpunkt verifiziert</x:t>
        </x:is>
      </x:c>
      <x:c r="X5" s="4" t="inlineStr">
        <x:is>
          <x:t xml:space="preserve">Hildastraße 4a, Hebelhaus, 68723 Schwetzingen, Deutschland</x:t>
        </x:is>
      </x:c>
      <x:c r="Y5" s="4" t="inlineStr">
        <x:is>
          <x:t xml:space="preserve">https://www.teilhabeberatung.de/beratung/beratungsangebote-der-eutb</x:t>
        </x:is>
      </x:c>
      <x:c r="Z5" s="4" t="inlineStr">
        <x:is>
          <x:t xml:space="preserve">2026-08-22</x:t>
        </x:is>
      </x:c>
      <x:c r="AA5" s="4" t="inlineStr">
        <x:is>
          <x:t xml:space="preserve">Rhein-Neckar</x:t>
        </x:is>
      </x:c>
      <x:c r="AB5" s="4" t="inlineStr">
        <x:is>
          <x:t xml:space="preserve">MASTER – Kontaktdaten/Adresse geprüft</x:t>
        </x:is>
      </x:c>
      <x:c r="AC5" s="4" t="n"/>
      <x:c r="AD5" s="4" t="inlineStr">
        <x:is>
          <x:t xml:space="preserve">Öffentliche Adress-/Kartenquelle; Abgleich mit offizieller EUTB-Hausadresse</x:t>
        </x:is>
      </x:c>
      <x:c r="AE5" s="4" t="inlineStr">
        <x:is>
          <x:t xml:space="preserve">2026-08-23</x:t>
        </x:is>
      </x:c>
    </x:row>
    <x:row r="6">
      <x:c r="A6" s="4" t="inlineStr">
        <x:is>
          <x:t xml:space="preserve">EUTB-005</x:t>
        </x:is>
      </x:c>
      <x:c r="B6" s="4" t="inlineStr">
        <x:is>
          <x:t xml:space="preserve">Beratung / Teilhabe</x:t>
        </x:is>
      </x:c>
      <x:c r="C6" s="4" t="inlineStr">
        <x:is>
          <x:t xml:space="preserve">EUTB / unabhängige Teilhabeberatung</x:t>
        </x:is>
      </x:c>
      <x:c r="D6" s="4" t="inlineStr">
        <x:is>
          <x:t xml:space="preserve">Nebenstandort</x:t>
        </x:is>
      </x:c>
      <x:c r="E6" s="4" t="inlineStr">
        <x:is>
          <x:t xml:space="preserve">EUTB Karlsruhe Land der AGBO e.V.- Nebenstandort Waghäusel</x:t>
        </x:is>
      </x:c>
      <x:c r="F6" s="4" t="inlineStr">
        <x:is>
          <x:t xml:space="preserve">AGBO e.V.</x:t>
        </x:is>
      </x:c>
      <x:c r="G6" s="4" t="inlineStr">
        <x:is>
          <x:t xml:space="preserve">Gymnasiumstraße 1</x:t>
        </x:is>
      </x:c>
      <x:c r="H6" s="4" t="inlineStr">
        <x:is>
          <x:t xml:space="preserve">Kleiner Sitzungssaal im Rathaus</x:t>
        </x:is>
      </x:c>
      <x:c r="I6" s="4" t="inlineStr">
        <x:is>
          <x:t xml:space="preserve">68753</x:t>
        </x:is>
      </x:c>
      <x:c r="J6" s="4" t="inlineStr">
        <x:is>
          <x:t xml:space="preserve">Waghäusel</x:t>
        </x:is>
      </x:c>
      <x:c r="K6" s="4" t="inlineStr">
        <x:is>
          <x:t xml:space="preserve">Baden-Württemberg</x:t>
        </x:is>
      </x:c>
      <x:c r="L6" s="4" t="inlineStr">
        <x:is>
          <x:t xml:space="preserve">0781 289488 30</x:t>
        </x:is>
      </x:c>
      <x:c r="M6" s="4" t="n"/>
      <x:c r="N6" s="4" t="inlineStr">
        <x:is>
          <x:t xml:space="preserve">eutb@agbo.info</x:t>
        </x:is>
      </x:c>
      <x:c r="O6" s="4" t="inlineStr">
        <x:is>
          <x:t xml:space="preserve">https://www.eutb-agbo.de</x:t>
        </x:is>
      </x:c>
      <x:c r="P6" s="4" t="inlineStr">
        <x:is>
          <x:t xml:space="preserve">B und besser</x:t>
        </x:is>
      </x:c>
      <x:c r="Q6" s="4" t="n"/>
      <x:c r="R6" s="4" t="n"/>
      <x:c r="S6" s="4" t="inlineStr">
        <x:is>
          <x:t xml:space="preserve">Die Offene Sprechstunde findet statt: Jeden 1. und 3. Mittwoch im Monat von 14.30 Uhr bis 16.30 Uhr</x:t>
        </x:is>
      </x:c>
      <x:c r="T6" s="4" t="n">
        <x:v>49.2476367</x:v>
      </x:c>
      <x:c r="U6" s="4" t="n">
        <x:v>8.519800281722</x:v>
      </x:c>
      <x:c r="V6" s="4" t="inlineStr">
        <x:is>
          <x:t xml:space="preserve">B</x:t>
        </x:is>
      </x:c>
      <x:c r="W6" s="4" t="inlineStr">
        <x:is>
          <x:t xml:space="preserve">Stufe B – Hausadresse + OSM-Routingpunkt verifiziert</x:t>
        </x:is>
      </x:c>
      <x:c r="X6" s="4" t="inlineStr">
        <x:is>
          <x:t xml:space="preserve">Gymnasiumstraße 1, Kleiner Sitzungssaal im Rathaus, 68753 Waghäusel, Deutschland</x:t>
        </x:is>
      </x:c>
      <x:c r="Y6" s="4" t="inlineStr">
        <x:is>
          <x:t xml:space="preserve">https://www.teilhabeberatung.de/beratung/beratungsangebote-der-eutb</x:t>
        </x:is>
      </x:c>
      <x:c r="Z6" s="4" t="inlineStr">
        <x:is>
          <x:t xml:space="preserve">2026-08-22</x:t>
        </x:is>
      </x:c>
      <x:c r="AA6" s="4" t="inlineStr">
        <x:is>
          <x:t xml:space="preserve">Rhein-Neckar</x:t>
        </x:is>
      </x:c>
      <x:c r="AB6" s="4" t="inlineStr">
        <x:is>
          <x:t xml:space="preserve">MASTER – Kontaktdaten/Adresse geprüft</x:t>
        </x:is>
      </x:c>
      <x:c r="AC6" s="4" t="n"/>
      <x:c r="AD6" s="4" t="inlineStr">
        <x:is>
          <x:t xml:space="preserve">Öffentliche Adress-/Kartenquelle; Abgleich mit offizieller EUTB-Hausadresse</x:t>
        </x:is>
      </x:c>
      <x:c r="AE6" s="4" t="inlineStr">
        <x:is>
          <x:t xml:space="preserve">2026-08-23</x:t>
        </x:is>
      </x:c>
    </x:row>
    <x:row r="7">
      <x:c r="A7" s="4" t="inlineStr">
        <x:is>
          <x:t xml:space="preserve">EUTB-006</x:t>
        </x:is>
      </x:c>
      <x:c r="B7" s="4" t="inlineStr">
        <x:is>
          <x:t xml:space="preserve">Beratung / Teilhabe</x:t>
        </x:is>
      </x:c>
      <x:c r="C7" s="4" t="inlineStr">
        <x:is>
          <x:t xml:space="preserve">EUTB / unabhängige Teilhabeberatung</x:t>
        </x:is>
      </x:c>
      <x:c r="D7" s="4" t="inlineStr">
        <x:is>
          <x:t xml:space="preserve">Hauptstelle/Angebot</x:t>
        </x:is>
      </x:c>
      <x:c r="E7" s="4" t="inlineStr">
        <x:is>
          <x:t xml:space="preserve">EUTB Heidelberg des Heidelberger Selbsthilfebüros</x:t>
        </x:is>
      </x:c>
      <x:c r="F7" s="4" t="n"/>
      <x:c r="G7" s="4" t="inlineStr">
        <x:is>
          <x:t xml:space="preserve">Alte Eppelheimer Straße 40/1</x:t>
        </x:is>
      </x:c>
      <x:c r="H7" s="4" t="inlineStr">
        <x:is>
          <x:t xml:space="preserve">Hinterhaus</x:t>
        </x:is>
      </x:c>
      <x:c r="I7" s="4" t="inlineStr">
        <x:is>
          <x:t xml:space="preserve">69115</x:t>
        </x:is>
      </x:c>
      <x:c r="J7" s="4" t="inlineStr">
        <x:is>
          <x:t xml:space="preserve">Heidelberg</x:t>
        </x:is>
      </x:c>
      <x:c r="K7" s="4" t="inlineStr">
        <x:is>
          <x:t xml:space="preserve">Baden-Württemberg</x:t>
        </x:is>
      </x:c>
      <x:c r="L7" s="4" t="inlineStr">
        <x:is>
          <x:t xml:space="preserve">06221 161331</x:t>
        </x:is>
      </x:c>
      <x:c r="M7" s="4" t="n"/>
      <x:c r="N7" s="4" t="inlineStr">
        <x:is>
          <x:t xml:space="preserve">info@eutb-heidelberg.de</x:t>
        </x:is>
      </x:c>
      <x:c r="O7" s="4" t="inlineStr">
        <x:is>
          <x:t xml:space="preserve">https://www.eutb-heidelberg.de</x:t>
        </x:is>
      </x:c>
      <x:c r="P7" s="4" t="n"/>
      <x:c r="Q7" s="4" t="n"/>
      <x:c r="R7" s="4" t="inlineStr">
        <x:is>
          <x:t xml:space="preserve">✔</x:t>
        </x:is>
      </x:c>
      <x:c r="S7" s="4" t="inlineStr">
        <x:is>
          <x:t xml:space="preserve">Offene Sprechstunde am Mittwoch von 14 Uhr bis 18 Uhr
Telefonsprechzeiten: Montag und Mittwoch von 10 Uhr bis 12 Uhr und Donnerstag von 14 Uhr bis 16 Uhr
Beratungen sind persönlich, telefonisch, per Mail oder ZOOM möglich.</x:t>
        </x:is>
      </x:c>
      <x:c r="T7" s="4" t="n">
        <x:v>49.40654</x:v>
      </x:c>
      <x:c r="U7" s="4" t="n">
        <x:v>8.67784</x:v>
      </x:c>
      <x:c r="V7" s="4" t="inlineStr">
        <x:is>
          <x:t xml:space="preserve">A/B</x:t>
        </x:is>
      </x:c>
      <x:c r="W7" s="4" t="inlineStr">
        <x:is>
          <x:t xml:space="preserve">Stufe A/B – Gebäude/Adresse Alte Eppelheimer Straße 40/1 verifiziert</x:t>
        </x:is>
      </x:c>
      <x:c r="X7" s="4" t="inlineStr">
        <x:is>
          <x:t xml:space="preserve">Alte Eppelheimer Straße 40/1, Hinterhaus, 69115 Heidelberg, Deutschland</x:t>
        </x:is>
      </x:c>
      <x:c r="Y7" s="4" t="inlineStr">
        <x:is>
          <x:t xml:space="preserve">https://www.teilhabeberatung.de/beratung/beratungsangebote-der-eutb</x:t>
        </x:is>
      </x:c>
      <x:c r="Z7" s="4" t="inlineStr">
        <x:is>
          <x:t xml:space="preserve">2026-08-22</x:t>
        </x:is>
      </x:c>
      <x:c r="AA7" s="4" t="inlineStr">
        <x:is>
          <x:t xml:space="preserve">Rhein-Neckar</x:t>
        </x:is>
      </x:c>
      <x:c r="AB7" s="4" t="inlineStr">
        <x:is>
          <x:t xml:space="preserve">MASTER – Kontaktdaten/Adresse geprüft</x:t>
        </x:is>
      </x:c>
      <x:c r="AC7" s="4" t="n"/>
      <x:c r="AD7" s="4" t="inlineStr">
        <x:is>
          <x:t xml:space="preserve">Öffentliche Adress-/Kartenquelle; Abgleich mit offizieller EUTB-Hausadresse</x:t>
        </x:is>
      </x:c>
      <x:c r="AE7" s="4" t="inlineStr">
        <x:is>
          <x:t xml:space="preserve">2026-08-23</x:t>
        </x:is>
      </x:c>
    </x:row>
    <x:row r="8">
      <x:c r="A8" s="4" t="inlineStr">
        <x:is>
          <x:t xml:space="preserve">EUTB-007</x:t>
        </x:is>
      </x:c>
      <x:c r="B8" s="4" t="inlineStr">
        <x:is>
          <x:t xml:space="preserve">Beratung / Teilhabe</x:t>
        </x:is>
      </x:c>
      <x:c r="C8" s="4" t="inlineStr">
        <x:is>
          <x:t xml:space="preserve">EUTB / unabhängige Teilhabeberatung</x:t>
        </x:is>
      </x:c>
      <x:c r="D8" s="4" t="inlineStr">
        <x:is>
          <x:t xml:space="preserve">Standort</x:t>
        </x:is>
      </x:c>
      <x:c r="E8" s="4" t="inlineStr">
        <x:is>
          <x:t xml:space="preserve">EUTB Rhein-Neckar des Heidelberger Selbsthilfebüros - Neckargemünd</x:t>
        </x:is>
      </x:c>
      <x:c r="F8" s="4" t="n"/>
      <x:c r="G8" s="4" t="inlineStr">
        <x:is>
          <x:t xml:space="preserve">Im Spitzerfeld 42</x:t>
        </x:is>
      </x:c>
      <x:c r="H8" s="4" t="inlineStr">
        <x:is>
          <x:t xml:space="preserve">ARCHE</x:t>
        </x:is>
      </x:c>
      <x:c r="I8" s="4" t="inlineStr">
        <x:is>
          <x:t xml:space="preserve">69151</x:t>
        </x:is>
      </x:c>
      <x:c r="J8" s="4" t="inlineStr">
        <x:is>
          <x:t xml:space="preserve">Neckargemünd</x:t>
        </x:is>
      </x:c>
      <x:c r="K8" s="4" t="inlineStr">
        <x:is>
          <x:t xml:space="preserve">Baden-Württemberg</x:t>
        </x:is>
      </x:c>
      <x:c r="L8" s="4" t="inlineStr">
        <x:is>
          <x:t xml:space="preserve">06221 161331</x:t>
        </x:is>
      </x:c>
      <x:c r="M8" s="4" t="n"/>
      <x:c r="N8" s="4" t="inlineStr">
        <x:is>
          <x:t xml:space="preserve">info@eutb-rnk.de</x:t>
        </x:is>
      </x:c>
      <x:c r="O8" s="4" t="n"/>
      <x:c r="P8" s="4" t="n"/>
      <x:c r="Q8" s="4" t="n"/>
      <x:c r="R8" s="4" t="n"/>
      <x:c r="S8" s="4" t="inlineStr">
        <x:is>
          <x:t xml:space="preserve">Offene Sprechstunde:
Mittwoch von 10 Uhr bis 12 Uhr
Telefonsprechzeiten:
Montag und Mittwoch von 10 Uhr bis 12 Uhr und Donnerstag von 14 Uhr bis 16 Uhr
Beratungen sind persönlich, telefonisch, per Mail oder ZOOM möglich.</x:t>
        </x:is>
      </x:c>
      <x:c r="T8" s="4" t="n">
        <x:v>49.3838553</x:v>
      </x:c>
      <x:c r="U8" s="4" t="n">
        <x:v>8.805148911708899</x:v>
      </x:c>
      <x:c r="V8" s="4" t="inlineStr">
        <x:is>
          <x:t xml:space="preserve">B</x:t>
        </x:is>
      </x:c>
      <x:c r="W8" s="4" t="inlineStr">
        <x:is>
          <x:t xml:space="preserve">Stufe B – Hausadresse + OSM-Routingpunkt verifiziert</x:t>
        </x:is>
      </x:c>
      <x:c r="X8" s="4" t="inlineStr">
        <x:is>
          <x:t xml:space="preserve">Im Spitzerfeld 42, ARCHE, 69151 Neckargemünd, Deutschland</x:t>
        </x:is>
      </x:c>
      <x:c r="Y8" s="4" t="inlineStr">
        <x:is>
          <x:t xml:space="preserve">https://www.teilhabeberatung.de/beratung/beratungsangebote-der-eutb</x:t>
        </x:is>
      </x:c>
      <x:c r="Z8" s="4" t="inlineStr">
        <x:is>
          <x:t xml:space="preserve">2026-08-22</x:t>
        </x:is>
      </x:c>
      <x:c r="AA8" s="4" t="inlineStr">
        <x:is>
          <x:t xml:space="preserve">Rhein-Neckar</x:t>
        </x:is>
      </x:c>
      <x:c r="AB8" s="4" t="inlineStr">
        <x:is>
          <x:t xml:space="preserve">MASTER – Kontaktdaten/Adresse geprüft</x:t>
        </x:is>
      </x:c>
      <x:c r="AC8" s="4" t="n"/>
      <x:c r="AD8" s="4" t="inlineStr">
        <x:is>
          <x:t xml:space="preserve">Öffentliche Adress-/Kartenquelle; Abgleich mit offizieller EUTB-Hausadresse</x:t>
        </x:is>
      </x:c>
      <x:c r="AE8" s="4" t="inlineStr">
        <x:is>
          <x:t xml:space="preserve">2026-08-23</x:t>
        </x:is>
      </x:c>
    </x:row>
    <x:row r="9">
      <x:c r="A9" s="4" t="inlineStr">
        <x:is>
          <x:t xml:space="preserve">EUTB-008</x:t>
        </x:is>
      </x:c>
      <x:c r="B9" s="4" t="inlineStr">
        <x:is>
          <x:t xml:space="preserve">Beratung / Teilhabe</x:t>
        </x:is>
      </x:c>
      <x:c r="C9" s="4" t="inlineStr">
        <x:is>
          <x:t xml:space="preserve">EUTB / unabhängige Teilhabeberatung</x:t>
        </x:is>
      </x:c>
      <x:c r="D9" s="4" t="inlineStr">
        <x:is>
          <x:t xml:space="preserve">Standort</x:t>
        </x:is>
      </x:c>
      <x:c r="E9" s="4" t="inlineStr">
        <x:is>
          <x:t xml:space="preserve">EUTB Rhein-Neckar des Heidelberger Selbsthilfebüros</x:t>
        </x:is>
      </x:c>
      <x:c r="F9" s="4" t="n"/>
      <x:c r="G9" s="4" t="inlineStr">
        <x:is>
          <x:t xml:space="preserve">Johann-Jakob-Astor-Straße 1 (keine Postanschrift)</x:t>
        </x:is>
      </x:c>
      <x:c r="H9" s="4" t="inlineStr">
        <x:is>
          <x:t xml:space="preserve">Hillesheimer Scheune</x:t>
        </x:is>
      </x:c>
      <x:c r="I9" s="4" t="inlineStr">
        <x:is>
          <x:t xml:space="preserve">69190</x:t>
        </x:is>
      </x:c>
      <x:c r="J9" s="4" t="inlineStr">
        <x:is>
          <x:t xml:space="preserve">Walldorf</x:t>
        </x:is>
      </x:c>
      <x:c r="K9" s="4" t="inlineStr">
        <x:is>
          <x:t xml:space="preserve">Baden-Württemberg</x:t>
        </x:is>
      </x:c>
      <x:c r="L9" s="4" t="inlineStr">
        <x:is>
          <x:t xml:space="preserve">06221 161331</x:t>
        </x:is>
      </x:c>
      <x:c r="M9" s="4" t="n"/>
      <x:c r="N9" s="4" t="inlineStr">
        <x:is>
          <x:t xml:space="preserve">info@eutb-rnk.de</x:t>
        </x:is>
      </x:c>
      <x:c r="O9" s="4" t="inlineStr">
        <x:is>
          <x:t xml:space="preserve">https://www.eutb-rnk.de</x:t>
        </x:is>
      </x:c>
      <x:c r="P9" s="4" t="n"/>
      <x:c r="Q9" s="4" t="n"/>
      <x:c r="R9" s="4" t="n"/>
      <x:c r="S9" s="4" t="inlineStr">
        <x:is>
          <x:t xml:space="preserve">Offene Sprechstunde: 
Dienstag und Donnerstag von 10 Uhr bis 12 Uhr in Walldorf
Telefonsprechzeiten: 
Montag und Mittwoch von 10 Uhr bis 12 Uhr und Donnerstag von 14 Uhr bis 16 Uhr
Beratungen sind persönlich, telefonisch, per Mail oder ZOOM möglich.</x:t>
        </x:is>
      </x:c>
      <x:c r="T9" s="4" t="n">
        <x:v>49.30353</x:v>
      </x:c>
      <x:c r="U9" s="4" t="n">
        <x:v>8.643509999999999</x:v>
      </x:c>
      <x:c r="V9" s="4" t="inlineStr">
        <x:is>
          <x:t xml:space="preserve">A</x:t>
        </x:is>
      </x:c>
      <x:c r="W9" s="4" t="inlineStr">
        <x:is>
          <x:t xml:space="preserve">Stufe A – Scheune Hillesheim / Johann-Jakob-Astor-Straße 1 verifiziert</x:t>
        </x:is>
      </x:c>
      <x:c r="X9" s="4" t="inlineStr">
        <x:is>
          <x:t xml:space="preserve">Johann-Jakob-Astor-Straße 1 (keine Postanschrift), Hillesheimer Scheune, 69190 Walldorf, Deutschland</x:t>
        </x:is>
      </x:c>
      <x:c r="Y9" s="4" t="inlineStr">
        <x:is>
          <x:t xml:space="preserve">https://www.teilhabeberatung.de/beratung/beratungsangebote-der-eutb</x:t>
        </x:is>
      </x:c>
      <x:c r="Z9" s="4" t="inlineStr">
        <x:is>
          <x:t xml:space="preserve">2026-08-22</x:t>
        </x:is>
      </x:c>
      <x:c r="AA9" s="4" t="inlineStr">
        <x:is>
          <x:t xml:space="preserve">Rhein-Neckar</x:t>
        </x:is>
      </x:c>
      <x:c r="AB9" s="4" t="inlineStr">
        <x:is>
          <x:t xml:space="preserve">MASTER – Kontaktdaten/Adresse geprüft</x:t>
        </x:is>
      </x:c>
      <x:c r="AC9" s="4" t="n"/>
      <x:c r="AD9" s="4" t="inlineStr">
        <x:is>
          <x:t xml:space="preserve">Öffentliche Adress-/Kartenquelle; Abgleich mit offizieller EUTB-Hausadresse</x:t>
        </x:is>
      </x:c>
      <x:c r="AE9" s="4" t="inlineStr">
        <x:is>
          <x:t xml:space="preserve">2026-08-23</x:t>
        </x:is>
      </x:c>
    </x:row>
    <x:row r="10">
      <x:c r="A10" s="4" t="inlineStr">
        <x:is>
          <x:t xml:space="preserve">EUTB-009</x:t>
        </x:is>
      </x:c>
      <x:c r="B10" s="4" t="inlineStr">
        <x:is>
          <x:t xml:space="preserve">Beratung / Teilhabe</x:t>
        </x:is>
      </x:c>
      <x:c r="C10" s="4" t="inlineStr">
        <x:is>
          <x:t xml:space="preserve">EUTB / unabhängige Teilhabeberatung</x:t>
        </x:is>
      </x:c>
      <x:c r="D10" s="4" t="inlineStr">
        <x:is>
          <x:t xml:space="preserve">Standort</x:t>
        </x:is>
      </x:c>
      <x:c r="E10" s="4" t="inlineStr">
        <x:is>
          <x:t xml:space="preserve">EUTB im Förderband e.V. Rhein-Neckar Kreis</x:t>
        </x:is>
      </x:c>
      <x:c r="F10" s="4" t="inlineStr">
        <x:is>
          <x:t xml:space="preserve">Förderband e.V.</x:t>
        </x:is>
      </x:c>
      <x:c r="G10" s="4" t="inlineStr">
        <x:is>
          <x:t xml:space="preserve">Friedrich-Ebert-Straße 30</x:t>
        </x:is>
      </x:c>
      <x:c r="H10" s="4" t="n"/>
      <x:c r="I10" s="4" t="inlineStr">
        <x:is>
          <x:t xml:space="preserve">69493</x:t>
        </x:is>
      </x:c>
      <x:c r="J10" s="4" t="inlineStr">
        <x:is>
          <x:t xml:space="preserve">Hirschberg - Großsachsen</x:t>
        </x:is>
      </x:c>
      <x:c r="K10" s="4" t="inlineStr">
        <x:is>
          <x:t xml:space="preserve">Baden-Württemberg</x:t>
        </x:is>
      </x:c>
      <x:c r="L10" s="4" t="inlineStr">
        <x:is>
          <x:t xml:space="preserve">0621 16 661 66</x:t>
        </x:is>
      </x:c>
      <x:c r="M10" s="4" t="inlineStr">
        <x:is>
          <x:t xml:space="preserve">0621 16 661 30</x:t>
        </x:is>
      </x:c>
      <x:c r="N10" s="4" t="inlineStr">
        <x:is>
          <x:t xml:space="preserve">info@foerderband-ma.de</x:t>
        </x:is>
      </x:c>
      <x:c r="O10" s="4" t="inlineStr">
        <x:is>
          <x:t xml:space="preserve">https://www.foerderband-ma.de/eutb/</x:t>
        </x:is>
      </x:c>
      <x:c r="P10" s="4" t="n"/>
      <x:c r="Q10" s="4" t="n"/>
      <x:c r="R10" s="4" t="n"/>
      <x:c r="S10" s="4" t="inlineStr">
        <x:is>
          <x:t xml:space="preserve">Mittwoch und  Freitag offene Sprechzeiten von 9 Uhr bis 12 Uhr sowie nach Vereinbarung</x:t>
        </x:is>
      </x:c>
      <x:c r="T10" s="4" t="n">
        <x:v>49.5077</x:v>
      </x:c>
      <x:c r="U10" s="4" t="n">
        <x:v>8.6616</x:v>
      </x:c>
      <x:c r="V10" s="4" t="inlineStr">
        <x:is>
          <x:t xml:space="preserve">B</x:t>
        </x:is>
      </x:c>
      <x:c r="W10" s="4" t="inlineStr">
        <x:is>
          <x:t xml:space="preserve">Stufe B – Hausadresse Friedrich-Ebert-Straße 30, Hirschberg-Großsachsen; adressbezogener Punkt verifiziert</x:t>
        </x:is>
      </x:c>
      <x:c r="X10" s="4" t="inlineStr">
        <x:is>
          <x:t xml:space="preserve">Friedrich-Ebert-Straße 30, 69493 Hirschberg - Großsachsen, Deutschland</x:t>
        </x:is>
      </x:c>
      <x:c r="Y10" s="4" t="inlineStr">
        <x:is>
          <x:t xml:space="preserve">https://www.teilhabeberatung.de/beratung/beratungsangebote-der-eutb</x:t>
        </x:is>
      </x:c>
      <x:c r="Z10" s="4" t="inlineStr">
        <x:is>
          <x:t xml:space="preserve">2026-08-22</x:t>
        </x:is>
      </x:c>
      <x:c r="AA10" s="4" t="inlineStr">
        <x:is>
          <x:t xml:space="preserve">Rhein-Neckar</x:t>
        </x:is>
      </x:c>
      <x:c r="AB10" s="4" t="inlineStr">
        <x:is>
          <x:t xml:space="preserve">MASTER – Kontaktdaten/Adresse geprüft</x:t>
        </x:is>
      </x:c>
      <x:c r="AC10" s="4" t="n"/>
      <x:c r="AD10" s="4" t="inlineStr">
        <x:is>
          <x:t xml:space="preserve">Öffentliche Adress-/Kartenquelle; Abgleich mit offizieller EUTB-Hausadresse</x:t>
        </x:is>
      </x:c>
      <x:c r="AE10" s="4" t="inlineStr">
        <x:is>
          <x:t xml:space="preserve">2026-08-23</x:t>
        </x:is>
      </x:c>
    </x:row>
    <x:row r="11">
      <x:c r="A11" s="4" t="inlineStr">
        <x:is>
          <x:t xml:space="preserve">EUTB-010</x:t>
        </x:is>
      </x:c>
      <x:c r="B11" s="4" t="inlineStr">
        <x:is>
          <x:t xml:space="preserve">Beratung / Teilhabe</x:t>
        </x:is>
      </x:c>
      <x:c r="C11" s="4" t="inlineStr">
        <x:is>
          <x:t xml:space="preserve">EUTB / unabhängige Teilhabeberatung</x:t>
        </x:is>
      </x:c>
      <x:c r="D11" s="4" t="inlineStr">
        <x:is>
          <x:t xml:space="preserve">Hauptstelle/Angebot</x:t>
        </x:is>
      </x:c>
      <x:c r="E11" s="4" t="inlineStr">
        <x:is>
          <x:t xml:space="preserve">EUTB Heilbronn</x:t>
        </x:is>
      </x:c>
      <x:c r="F11" s="4" t="n"/>
      <x:c r="G11" s="4" t="inlineStr">
        <x:is>
          <x:t xml:space="preserve">Längelterstraße 188</x:t>
        </x:is>
      </x:c>
      <x:c r="H11" s="4" t="n"/>
      <x:c r="I11" s="4" t="inlineStr">
        <x:is>
          <x:t xml:space="preserve">74080</x:t>
        </x:is>
      </x:c>
      <x:c r="J11" s="4" t="inlineStr">
        <x:is>
          <x:t xml:space="preserve">Heilbronn</x:t>
        </x:is>
      </x:c>
      <x:c r="K11" s="4" t="inlineStr">
        <x:is>
          <x:t xml:space="preserve">Baden-Württemberg</x:t>
        </x:is>
      </x:c>
      <x:c r="L11" s="4" t="inlineStr">
        <x:is>
          <x:t xml:space="preserve">0176 34 68 41 04 / 07131 74 87 203</x:t>
        </x:is>
      </x:c>
      <x:c r="M11" s="4" t="n"/>
      <x:c r="N11" s="4" t="inlineStr">
        <x:is>
          <x:t xml:space="preserve">teilhabeberatung06@eutb-thbw.de</x:t>
        </x:is>
      </x:c>
      <x:c r="O11" s="4" t="inlineStr">
        <x:is>
          <x:t xml:space="preserve">http://www.eutb-thbw.de</x:t>
        </x:is>
      </x:c>
      <x:c r="P11" s="4" t="inlineStr">
        <x:is>
          <x:t xml:space="preserve">B und besser</x:t>
        </x:is>
      </x:c>
      <x:c r="Q11" s="4" t="n"/>
      <x:c r="R11" s="4" t="n"/>
      <x:c r="S11" s="4" t="inlineStr">
        <x:is>
          <x:t xml:space="preserve">Telefonische Beratung und/oder Terminvergabe: montags bis freitags von 08.00 bis 13.00 Uhr
Offene Beratungs·Sprechstunde: dienstags von 8.00 bis 13.30 Uhr
Nach vorheriger Termin·Vereinbarung: 1 x monatlich samstags von 9.00 bis 13.00 Uhr
Erreichbar unter: 0176 34 68 41 04 und 07131 74 87 203
Erreichbarkeit außerhalb der Telefon·Zeit und Beratungs·Zeit:
Falls Sie außerhalb der Telefon·Zeiten und Beratungs·Zeiten anrufen oder wir gerade in Beratung sind, sprechen Sie bitte auf unseren Anruf·Beantworter. Wir melden uns schnellstmöglich zurück.
Sollten Sie die zuständigen Berater und Beraterinnen unter der angegebenen Telefonnummer nicht erreichen, können Sie von dienstags bis donnerstags in der Zeit von 10.00 bis 13.00 Uhr die Hotline zur Termin·Koordination unter 0176 42 05 13 84 erreichen.
Nutzen Sie auch gerne die Möglichkeit der Email-Nutzung: teilhabeberatung06@eutb-thbw.de
Optional sind wir auch über Signal zu erreichen.
Wir haben einen barriere·freien Zugang über den Haupteingang. Nutzen Sie sonst vorzugsweise den kürzeren Weg über den rechten Nebeneingang mit der EUTB-Beschilderung.
Die nächste Bahn-Haltestelle „Böckingen West“ der S4 und RE45 liegt etwa 650 m entfernt.
Die nächste Bus-Haltestelle „LebensWerkstatt“ der Linie 661 liegt etwa 100 m entfernt.
Seit November 2024 bieten wir auch Videoberatung an!</x:t>
        </x:is>
      </x:c>
      <x:c r="T11" s="4" t="n">
        <x:v>49.13775895</x:v>
      </x:c>
      <x:c r="U11" s="4" t="n">
        <x:v>9.171188506334699</x:v>
      </x:c>
      <x:c r="V11" s="4" t="inlineStr">
        <x:is>
          <x:t xml:space="preserve">B</x:t>
        </x:is>
      </x:c>
      <x:c r="W11" s="4" t="inlineStr">
        <x:is>
          <x:t xml:space="preserve">Stufe B – Hausadresse + OSM-Routingpunkt verifiziert</x:t>
        </x:is>
      </x:c>
      <x:c r="X11" s="4" t="inlineStr">
        <x:is>
          <x:t xml:space="preserve">Längelterstraße 188, 74080 Heilbronn, Deutschland</x:t>
        </x:is>
      </x:c>
      <x:c r="Y11" s="4" t="inlineStr">
        <x:is>
          <x:t xml:space="preserve">https://www.teilhabeberatung.de/beratung/beratungsangebote-der-eutb</x:t>
        </x:is>
      </x:c>
      <x:c r="Z11" s="4" t="inlineStr">
        <x:is>
          <x:t xml:space="preserve">2026-08-22</x:t>
        </x:is>
      </x:c>
      <x:c r="AA11" s="4" t="inlineStr">
        <x:is>
          <x:t xml:space="preserve">Heilbronn-Franken</x:t>
        </x:is>
      </x:c>
      <x:c r="AB11" s="4" t="inlineStr">
        <x:is>
          <x:t xml:space="preserve">MASTER – Kontaktdaten/Adresse geprüft</x:t>
        </x:is>
      </x:c>
      <x:c r="AC11" s="4" t="inlineStr">
        <x:is>
          <x:t xml:space="preserve">Telefon aus dem bereits vorhandenen offiziellen Öffnungs-/Erreichbarkeitstext in das Primärfeld übernommen (25.08.2026).</x:t>
        </x:is>
      </x:c>
      <x:c r="AD11" s="4" t="inlineStr">
        <x:is>
          <x:t xml:space="preserve">Öffentliche Adress-/Kartenquelle; Abgleich mit offizieller EUTB-Hausadresse</x:t>
        </x:is>
      </x:c>
      <x:c r="AE11" s="4" t="inlineStr">
        <x:is>
          <x:t xml:space="preserve">2026-08-23</x:t>
        </x:is>
      </x:c>
    </x:row>
    <x:row r="12">
      <x:c r="A12" s="4" t="inlineStr">
        <x:is>
          <x:t xml:space="preserve">EUTB-011</x:t>
        </x:is>
      </x:c>
      <x:c r="B12" s="4" t="inlineStr">
        <x:is>
          <x:t xml:space="preserve">Beratung / Teilhabe</x:t>
        </x:is>
      </x:c>
      <x:c r="C12" s="4" t="inlineStr">
        <x:is>
          <x:t xml:space="preserve">EUTB / unabhängige Teilhabeberatung</x:t>
        </x:is>
      </x:c>
      <x:c r="D12" s="4" t="inlineStr">
        <x:is>
          <x:t xml:space="preserve">Hauptstelle/Angebot</x:t>
        </x:is>
      </x:c>
      <x:c r="E12" s="4" t="inlineStr">
        <x:is>
          <x:t xml:space="preserve">EUTB Landkreis Heilbronn</x:t>
        </x:is>
      </x:c>
      <x:c r="F12" s="4" t="n"/>
      <x:c r="G12" s="4" t="inlineStr">
        <x:is>
          <x:t xml:space="preserve">Hauptstraße 51</x:t>
        </x:is>
      </x:c>
      <x:c r="H12" s="4" t="n"/>
      <x:c r="I12" s="4" t="inlineStr">
        <x:is>
          <x:t xml:space="preserve">74196</x:t>
        </x:is>
      </x:c>
      <x:c r="J12" s="4" t="inlineStr">
        <x:is>
          <x:t xml:space="preserve">Neuenstadt am Kocher</x:t>
        </x:is>
      </x:c>
      <x:c r="K12" s="4" t="inlineStr">
        <x:is>
          <x:t xml:space="preserve">Baden-Württemberg</x:t>
        </x:is>
      </x:c>
      <x:c r="L12" s="4" t="inlineStr">
        <x:is>
          <x:t xml:space="preserve">07139 5368885</x:t>
        </x:is>
      </x:c>
      <x:c r="M12" s="4" t="n"/>
      <x:c r="N12" s="4" t="inlineStr">
        <x:is>
          <x:t xml:space="preserve">teilhabeberatung05@eutb-thbw.de</x:t>
        </x:is>
      </x:c>
      <x:c r="O12" s="4" t="inlineStr">
        <x:is>
          <x:t xml:space="preserve">http://www.eutb-thbw.de</x:t>
        </x:is>
      </x:c>
      <x:c r="P12" s="4" t="inlineStr">
        <x:is>
          <x:t xml:space="preserve">B und besser</x:t>
        </x:is>
      </x:c>
      <x:c r="Q12" s="4" t="n"/>
      <x:c r="R12" s="4" t="inlineStr">
        <x:is>
          <x:t xml:space="preserve">✔</x:t>
        </x:is>
      </x:c>
      <x:c r="S12" s="4" t="inlineStr">
        <x:is>
          <x:t xml:space="preserve">Montag bis Donnerstag 09:00 Uhr bis 16:00 Uhr Beratung nach Vereinbarung
 Freitag 10:00 Uhr bis 13:00 Uhr offene Sprechstunde ohne Anmeldung
Samstag (1 x monatlich) 10:00 Uhr bis 12:00 Uhr Beratung nach Vereinbarung
________________________________________________________________________________
Sollten Sie die zuständigen Berater:innen unter der angegebenen Telefonnummer nicht erreichen, können Sie von Dienstag bis Donnerstag in der Zeit von 10:00 bis 13:00 Uhr die Hotline zur Terminkoordination unter 0176 42051384 anrufen.
Haben Sie Schwierigkeiten bzgl. der Mobilität, Orientierung oder der Kommunikation? Rufen Sie uns an oder Schreiben Sie uns. Wir finden eine Lösung!</x:t>
        </x:is>
      </x:c>
      <x:c r="T12" s="4" t="n">
        <x:v>49.236721</x:v>
      </x:c>
      <x:c r="U12" s="4" t="n">
        <x:v>9.327009729262199</x:v>
      </x:c>
      <x:c r="V12" s="4" t="inlineStr">
        <x:is>
          <x:t xml:space="preserve">B</x:t>
        </x:is>
      </x:c>
      <x:c r="W12" s="4" t="inlineStr">
        <x:is>
          <x:t xml:space="preserve">Stufe B – Hausadresse + OSM-Routingpunkt verifiziert</x:t>
        </x:is>
      </x:c>
      <x:c r="X12" s="4" t="inlineStr">
        <x:is>
          <x:t xml:space="preserve">Hauptstraße 51, 74196 Neuenstadt am Kocher, Deutschland</x:t>
        </x:is>
      </x:c>
      <x:c r="Y12" s="4" t="inlineStr">
        <x:is>
          <x:t xml:space="preserve">https://www.teilhabeberatung.de/beratung/beratungsangebote-der-eutb</x:t>
        </x:is>
      </x:c>
      <x:c r="Z12" s="4" t="inlineStr">
        <x:is>
          <x:t xml:space="preserve">2026-08-22</x:t>
        </x:is>
      </x:c>
      <x:c r="AA12" s="4" t="inlineStr">
        <x:is>
          <x:t xml:space="preserve">Heilbronn-Franken</x:t>
        </x:is>
      </x:c>
      <x:c r="AB12" s="4" t="inlineStr">
        <x:is>
          <x:t xml:space="preserve">MASTER – Kontaktdaten/Adresse geprüft</x:t>
        </x:is>
      </x:c>
      <x:c r="AC12" s="4" t="n"/>
      <x:c r="AD12" s="4" t="inlineStr">
        <x:is>
          <x:t xml:space="preserve">Öffentliche Adress-/Kartenquelle; Abgleich mit offizieller EUTB-Hausadresse</x:t>
        </x:is>
      </x:c>
      <x:c r="AE12" s="4" t="inlineStr">
        <x:is>
          <x:t xml:space="preserve">2026-08-23</x:t>
        </x:is>
      </x:c>
    </x:row>
    <x:row r="13">
      <x:c r="A13" s="4" t="inlineStr">
        <x:is>
          <x:t xml:space="preserve">EUTB-012</x:t>
        </x:is>
      </x:c>
      <x:c r="B13" s="4" t="inlineStr">
        <x:is>
          <x:t xml:space="preserve">Beratung / Teilhabe</x:t>
        </x:is>
      </x:c>
      <x:c r="C13" s="4" t="inlineStr">
        <x:is>
          <x:t xml:space="preserve">EUTB / unabhängige Teilhabeberatung</x:t>
        </x:is>
      </x:c>
      <x:c r="D13" s="4" t="inlineStr">
        <x:is>
          <x:t xml:space="preserve">Standort</x:t>
        </x:is>
      </x:c>
      <x:c r="E13" s="4" t="inlineStr">
        <x:is>
          <x:t xml:space="preserve">EUTB Landkreis Heilbronn in Möckmühl</x:t>
        </x:is>
      </x:c>
      <x:c r="F13" s="4" t="n"/>
      <x:c r="G13" s="4" t="inlineStr">
        <x:is>
          <x:t xml:space="preserve">Hauptstraße 36</x:t>
        </x:is>
      </x:c>
      <x:c r="H13" s="4" t="n"/>
      <x:c r="I13" s="4" t="inlineStr">
        <x:is>
          <x:t xml:space="preserve">74219</x:t>
        </x:is>
      </x:c>
      <x:c r="J13" s="4" t="inlineStr">
        <x:is>
          <x:t xml:space="preserve">Möckmühl</x:t>
        </x:is>
      </x:c>
      <x:c r="K13" s="4" t="inlineStr">
        <x:is>
          <x:t xml:space="preserve">Baden-Württemberg</x:t>
        </x:is>
      </x:c>
      <x:c r="L13" s="4" t="inlineStr">
        <x:is>
          <x:t xml:space="preserve">07139 5368885</x:t>
        </x:is>
      </x:c>
      <x:c r="M13" s="4" t="n"/>
      <x:c r="N13" s="4" t="inlineStr">
        <x:is>
          <x:t xml:space="preserve">teilhabeberatung05@eutb-thbw.de</x:t>
        </x:is>
      </x:c>
      <x:c r="O13" s="4" t="n"/>
      <x:c r="P13" s="4" t="inlineStr">
        <x:is>
          <x:t xml:space="preserve">B und besser</x:t>
        </x:is>
      </x:c>
      <x:c r="Q13" s="4" t="n"/>
      <x:c r="R13" s="4" t="n"/>
      <x:c r="S13" s="4" t="inlineStr">
        <x:is>
          <x:t xml:space="preserve">Beratungen finden regelmäßig nach vorheriger Vereinbarung, montags jeweils von 9 Uhr bis 13 Uhr im Besprechungszimmer der „offenen Hilfen“ statt.</x:t>
        </x:is>
      </x:c>
      <x:c r="T13" s="4" t="n">
        <x:v>49.32377215</x:v>
      </x:c>
      <x:c r="U13" s="4" t="n">
        <x:v>9.360024649549899</x:v>
      </x:c>
      <x:c r="V13" s="4" t="inlineStr">
        <x:is>
          <x:t xml:space="preserve">B</x:t>
        </x:is>
      </x:c>
      <x:c r="W13" s="4" t="inlineStr">
        <x:is>
          <x:t xml:space="preserve">Stufe B – Hausadresse + OSM-Routingpunkt verifiziert</x:t>
        </x:is>
      </x:c>
      <x:c r="X13" s="4" t="inlineStr">
        <x:is>
          <x:t xml:space="preserve">Hauptstraße 36, 74219 Möckmühl, Deutschland</x:t>
        </x:is>
      </x:c>
      <x:c r="Y13" s="4" t="inlineStr">
        <x:is>
          <x:t xml:space="preserve">https://www.teilhabeberatung.de/beratung/beratungsangebote-der-eutb</x:t>
        </x:is>
      </x:c>
      <x:c r="Z13" s="4" t="inlineStr">
        <x:is>
          <x:t xml:space="preserve">2026-08-22</x:t>
        </x:is>
      </x:c>
      <x:c r="AA13" s="4" t="inlineStr">
        <x:is>
          <x:t xml:space="preserve">Heilbronn-Franken</x:t>
        </x:is>
      </x:c>
      <x:c r="AB13" s="4" t="inlineStr">
        <x:is>
          <x:t xml:space="preserve">MASTER – Kontaktdaten/Adresse geprüft</x:t>
        </x:is>
      </x:c>
      <x:c r="AC13" s="4" t="n"/>
      <x:c r="AD13" s="4" t="inlineStr">
        <x:is>
          <x:t xml:space="preserve">Öffentliche Adress-/Kartenquelle; Abgleich mit offizieller EUTB-Hausadresse</x:t>
        </x:is>
      </x:c>
      <x:c r="AE13" s="4" t="inlineStr">
        <x:is>
          <x:t xml:space="preserve">2026-08-23</x:t>
        </x:is>
      </x:c>
    </x:row>
    <x:row r="14">
      <x:c r="A14" s="4" t="inlineStr">
        <x:is>
          <x:t xml:space="preserve">EUTB-013</x:t>
        </x:is>
      </x:c>
      <x:c r="B14" s="4" t="inlineStr">
        <x:is>
          <x:t xml:space="preserve">Beratung / Teilhabe</x:t>
        </x:is>
      </x:c>
      <x:c r="C14" s="4" t="inlineStr">
        <x:is>
          <x:t xml:space="preserve">EUTB / unabhängige Teilhabeberatung</x:t>
        </x:is>
      </x:c>
      <x:c r="D14" s="4" t="inlineStr">
        <x:is>
          <x:t xml:space="preserve">Standort</x:t>
        </x:is>
      </x:c>
      <x:c r="E14" s="4" t="inlineStr">
        <x:is>
          <x:t xml:space="preserve">EUTB Landkreis Hohenlohe - Künzelsau</x:t>
        </x:is>
      </x:c>
      <x:c r="F14" s="4" t="n"/>
      <x:c r="G14" s="4" t="inlineStr">
        <x:is>
          <x:t xml:space="preserve">Hauptstraße 41</x:t>
        </x:is>
      </x:c>
      <x:c r="H14" s="4" t="inlineStr">
        <x:is>
          <x:t xml:space="preserve">im Alten Rathaus; Bürgerraum 2. OG (Aufzug vorhanden)</x:t>
        </x:is>
      </x:c>
      <x:c r="I14" s="4" t="inlineStr">
        <x:is>
          <x:t xml:space="preserve">74653</x:t>
        </x:is>
      </x:c>
      <x:c r="J14" s="4" t="inlineStr">
        <x:is>
          <x:t xml:space="preserve">Künzelsau</x:t>
        </x:is>
      </x:c>
      <x:c r="K14" s="4" t="inlineStr">
        <x:is>
          <x:t xml:space="preserve">Baden-Württemberg</x:t>
        </x:is>
      </x:c>
      <x:c r="L14" s="4" t="inlineStr">
        <x:is>
          <x:t xml:space="preserve">0176 5790 4272</x:t>
        </x:is>
      </x:c>
      <x:c r="M14" s="4" t="n"/>
      <x:c r="N14" s="4" t="inlineStr">
        <x:is>
          <x:t xml:space="preserve">teilhabeberatung04@eutb-thbw.de</x:t>
        </x:is>
      </x:c>
      <x:c r="O14" s="4" t="inlineStr">
        <x:is>
          <x:t xml:space="preserve">http://www.eutb-thbw.de</x:t>
        </x:is>
      </x:c>
      <x:c r="P14" s="4" t="inlineStr">
        <x:is>
          <x:t xml:space="preserve">B und besser</x:t>
        </x:is>
      </x:c>
      <x:c r="Q14" s="4" t="n"/>
      <x:c r="R14" s="4" t="n"/>
      <x:c r="S14" s="4" t="inlineStr">
        <x:is>
          <x:t xml:space="preserve">Jeden Dienstag von 10:00-12:00 Uhr mit Termin
Jeden Dienstag von 12:00-14:00 Uhr Offene Sprechstunde</x:t>
        </x:is>
      </x:c>
      <x:c r="T14" s="4" t="n">
        <x:v>49.2790275</x:v>
      </x:c>
      <x:c r="U14" s="4" t="n">
        <x:v>9.6893176522441</x:v>
      </x:c>
      <x:c r="V14" s="4" t="inlineStr">
        <x:is>
          <x:t xml:space="preserve">B</x:t>
        </x:is>
      </x:c>
      <x:c r="W14" s="4" t="inlineStr">
        <x:is>
          <x:t xml:space="preserve">Stufe B – Hausadresse + OSM-Routingpunkt verifiziert</x:t>
        </x:is>
      </x:c>
      <x:c r="X14" s="4" t="inlineStr">
        <x:is>
          <x:t xml:space="preserve">Hauptstraße 41, im Alten Rathaus; Bürgerraum 2. OG (Aufzug vorhanden), 74653 Künzelsau, Deutschland</x:t>
        </x:is>
      </x:c>
      <x:c r="Y14" s="4" t="inlineStr">
        <x:is>
          <x:t xml:space="preserve">https://www.teilhabeberatung.de/beratung/beratungsangebote-der-eutb</x:t>
        </x:is>
      </x:c>
      <x:c r="Z14" s="4" t="inlineStr">
        <x:is>
          <x:t xml:space="preserve">2026-08-22</x:t>
        </x:is>
      </x:c>
      <x:c r="AA14" s="4" t="inlineStr">
        <x:is>
          <x:t xml:space="preserve">Heilbronn-Franken</x:t>
        </x:is>
      </x:c>
      <x:c r="AB14" s="4" t="inlineStr">
        <x:is>
          <x:t xml:space="preserve">MASTER – Kontaktdaten/Adresse geprüft</x:t>
        </x:is>
      </x:c>
      <x:c r="AC14" s="4" t="n"/>
      <x:c r="AD14" s="4" t="inlineStr">
        <x:is>
          <x:t xml:space="preserve">Öffentliche Adress-/Kartenquelle; Abgleich mit offizieller EUTB-Hausadresse</x:t>
        </x:is>
      </x:c>
      <x:c r="AE14" s="4" t="inlineStr">
        <x:is>
          <x:t xml:space="preserve">2026-08-23</x:t>
        </x:is>
      </x:c>
    </x:row>
    <x:row r="15">
      <x:c r="A15" s="4" t="inlineStr">
        <x:is>
          <x:t xml:space="preserve">EUTB-014</x:t>
        </x:is>
      </x:c>
      <x:c r="B15" s="4" t="inlineStr">
        <x:is>
          <x:t xml:space="preserve">Beratung / Teilhabe</x:t>
        </x:is>
      </x:c>
      <x:c r="C15" s="4" t="inlineStr">
        <x:is>
          <x:t xml:space="preserve">EUTB / unabhängige Teilhabeberatung</x:t>
        </x:is>
      </x:c>
      <x:c r="D15" s="4" t="inlineStr">
        <x:is>
          <x:t xml:space="preserve">Standort</x:t>
        </x:is>
      </x:c>
      <x:c r="E15" s="4" t="inlineStr">
        <x:is>
          <x:t xml:space="preserve">EUTB Neckar-Odenwald-Kreis in Buchen</x:t>
        </x:is>
      </x:c>
      <x:c r="F15" s="4" t="n"/>
      <x:c r="G15" s="4" t="inlineStr">
        <x:is>
          <x:t xml:space="preserve">Hollergasse 14</x:t>
        </x:is>
      </x:c>
      <x:c r="H15" s="4" t="inlineStr">
        <x:is>
          <x:t xml:space="preserve">gegenüber Netto-Markt</x:t>
        </x:is>
      </x:c>
      <x:c r="I15" s="4" t="inlineStr">
        <x:is>
          <x:t xml:space="preserve">74722</x:t>
        </x:is>
      </x:c>
      <x:c r="J15" s="4" t="inlineStr">
        <x:is>
          <x:t xml:space="preserve">Buchen</x:t>
        </x:is>
      </x:c>
      <x:c r="K15" s="4" t="inlineStr">
        <x:is>
          <x:t xml:space="preserve">Baden-Württemberg</x:t>
        </x:is>
      </x:c>
      <x:c r="L15" s="4" t="inlineStr">
        <x:is>
          <x:t xml:space="preserve">06261 312 95 85</x:t>
        </x:is>
      </x:c>
      <x:c r="M15" s="4" t="n"/>
      <x:c r="N15" s="4" t="inlineStr">
        <x:is>
          <x:t xml:space="preserve">s.baumgartner@eutb-thbw.de</x:t>
        </x:is>
      </x:c>
      <x:c r="O15" s="4" t="inlineStr">
        <x:is>
          <x:t xml:space="preserve">http://www.eutb-thbw.de</x:t>
        </x:is>
      </x:c>
      <x:c r="P15" s="4" t="inlineStr">
        <x:is>
          <x:t xml:space="preserve">Muttersprach-Niveau</x:t>
        </x:is>
      </x:c>
      <x:c r="Q15" s="4" t="n"/>
      <x:c r="R15" s="4" t="n"/>
      <x:c r="S15" s="4" t="inlineStr">
        <x:is>
          <x:t xml:space="preserve">Montag 10 Uhr bis 15 Uhr Beratung nach Vereinbarung 
Beratungstermine können auf Wunsch persönlich, telefonisch und Online durchgeführt werden.
Sollten Sie den zuständigen Berater unter der angegebenen Telefonnummer nicht erreichen, können Sie von Dienstag bis Donnerstag in der Zeit von 10:00 bis 13:00 Uhr die Hotline zur Terminkoordination unter 0176 42051384 erreichen
Haben Sie Schwierigkeiten bzgl. der Mobilität, Orientierung oder der Kommunikation? Rufen Sie uns an oder Schreiben Sie uns. Wir finden eine Lösung!</x:t>
        </x:is>
      </x:c>
      <x:c r="T15" s="4" t="n">
        <x:v>49.5215988</x:v>
      </x:c>
      <x:c r="U15" s="4" t="n">
        <x:v>9.3209818</x:v>
      </x:c>
      <x:c r="V15" s="4" t="inlineStr">
        <x:is>
          <x:t xml:space="preserve">B</x:t>
        </x:is>
      </x:c>
      <x:c r="W15" s="4" t="inlineStr">
        <x:is>
          <x:t xml:space="preserve">Stufe B – Hausadresse Hollergasse 14 verifiziert</x:t>
        </x:is>
      </x:c>
      <x:c r="X15" s="4" t="inlineStr">
        <x:is>
          <x:t xml:space="preserve">Hollergasse 14, gegenüber Netto-Markt, 74722 Buchen, Deutschland</x:t>
        </x:is>
      </x:c>
      <x:c r="Y15" s="4" t="inlineStr">
        <x:is>
          <x:t xml:space="preserve">https://www.teilhabeberatung.de/beratung/beratungsangebote-der-eutb</x:t>
        </x:is>
      </x:c>
      <x:c r="Z15" s="4" t="inlineStr">
        <x:is>
          <x:t xml:space="preserve">2026-08-22</x:t>
        </x:is>
      </x:c>
      <x:c r="AA15" s="4" t="inlineStr">
        <x:is>
          <x:t xml:space="preserve">Heilbronn-Franken</x:t>
        </x:is>
      </x:c>
      <x:c r="AB15" s="4" t="inlineStr">
        <x:is>
          <x:t xml:space="preserve">MASTER – Kontaktdaten/Adresse geprüft</x:t>
        </x:is>
      </x:c>
      <x:c r="AC15" s="4" t="n"/>
      <x:c r="AD15" s="4" t="inlineStr">
        <x:is>
          <x:t xml:space="preserve">Öffentliche Adress-/Kartenquelle; Abgleich mit offizieller EUTB-Hausadresse</x:t>
        </x:is>
      </x:c>
      <x:c r="AE15" s="4" t="inlineStr">
        <x:is>
          <x:t xml:space="preserve">2026-08-23</x:t>
        </x:is>
      </x:c>
    </x:row>
    <x:row r="16">
      <x:c r="A16" s="4" t="inlineStr">
        <x:is>
          <x:t xml:space="preserve">EUTB-015</x:t>
        </x:is>
      </x:c>
      <x:c r="B16" s="4" t="inlineStr">
        <x:is>
          <x:t xml:space="preserve">Beratung / Teilhabe</x:t>
        </x:is>
      </x:c>
      <x:c r="C16" s="4" t="inlineStr">
        <x:is>
          <x:t xml:space="preserve">EUTB / unabhängige Teilhabeberatung</x:t>
        </x:is>
      </x:c>
      <x:c r="D16" s="4" t="inlineStr">
        <x:is>
          <x:t xml:space="preserve">Standort</x:t>
        </x:is>
      </x:c>
      <x:c r="E16" s="4" t="inlineStr">
        <x:is>
          <x:t xml:space="preserve">EUTB Neckar-Odenwald-Kreis</x:t>
        </x:is>
      </x:c>
      <x:c r="F16" s="4" t="n"/>
      <x:c r="G16" s="4" t="inlineStr">
        <x:is>
          <x:t xml:space="preserve">Alte Bergsteige 4</x:t>
        </x:is>
      </x:c>
      <x:c r="H16" s="4" t="inlineStr">
        <x:is>
          <x:t xml:space="preserve">Mehrgenerationenhaus Mosbach</x:t>
        </x:is>
      </x:c>
      <x:c r="I16" s="4" t="inlineStr">
        <x:is>
          <x:t xml:space="preserve">74821</x:t>
        </x:is>
      </x:c>
      <x:c r="J16" s="4" t="inlineStr">
        <x:is>
          <x:t xml:space="preserve">Mosbach</x:t>
        </x:is>
      </x:c>
      <x:c r="K16" s="4" t="inlineStr">
        <x:is>
          <x:t xml:space="preserve">Baden-Württemberg</x:t>
        </x:is>
      </x:c>
      <x:c r="L16" s="4" t="inlineStr">
        <x:is>
          <x:t xml:space="preserve">06261 312 95 85</x:t>
        </x:is>
      </x:c>
      <x:c r="M16" s="4" t="n"/>
      <x:c r="N16" s="4" t="inlineStr">
        <x:is>
          <x:t xml:space="preserve">s.baumgartner@eutb-thbw.de</x:t>
        </x:is>
      </x:c>
      <x:c r="O16" s="4" t="inlineStr">
        <x:is>
          <x:t xml:space="preserve">http://www.eutb-thbw.de</x:t>
        </x:is>
      </x:c>
      <x:c r="P16" s="4" t="inlineStr">
        <x:is>
          <x:t xml:space="preserve">Muttersprach-Niveau</x:t>
        </x:is>
      </x:c>
      <x:c r="Q16" s="4" t="n"/>
      <x:c r="R16" s="4" t="n"/>
      <x:c r="S16" s="4" t="inlineStr">
        <x:is>
          <x:t xml:space="preserve">Di.  09:00 Uhr bis 16:00 Uhr Beratung nach Vereinbarung
Mi. 09:00 Uhr bis 13:00 Uhr offene Sprechstunde ohne Anmeldung
Do. 09:00 Uhr bis 16:00 Uhr Beratung nach Vereinbarung
Fr.  09:00 Uhr bis 12:00 Uhr Beratung nach Vereinbarung
Samstag (1 x monatlich) 10:00 Uhr bis 12.00 Uhr Beratung nach Vereinbarung
Sollten Sie die zuständigen Beratenden unter der angegebenen Telefonnummer nicht erreichen, können Sie von Dienstag bis Donnerstag in der Zeit von 10:00 bis 13:00 Uhr die Hotline zur Terminkoordination unter 0176 42051384 erreichen.
Haben Sie Schwierigkeiten bzgl. der Mobilität, Orientierung oder der Kommunikation? Rufen Sie uns an oder Schreiben Sie uns. Wir finden eine Lösung!</x:t>
        </x:is>
      </x:c>
      <x:c r="T16" s="4" t="n">
        <x:v>49.352758</x:v>
      </x:c>
      <x:c r="U16" s="4" t="n">
        <x:v>9.148242</x:v>
      </x:c>
      <x:c r="V16" s="4" t="inlineStr">
        <x:is>
          <x:t xml:space="preserve">B</x:t>
        </x:is>
      </x:c>
      <x:c r="W16" s="4" t="inlineStr">
        <x:is>
          <x:t xml:space="preserve">Stufe B – Hausadresse Alte Bergsteige 4 verifiziert</x:t>
        </x:is>
      </x:c>
      <x:c r="X16" s="4" t="inlineStr">
        <x:is>
          <x:t xml:space="preserve">Alte Bergsteige 4, Mehrgenerationenhaus Mosbach, 74821 Mosbach, Deutschland</x:t>
        </x:is>
      </x:c>
      <x:c r="Y16" s="4" t="inlineStr">
        <x:is>
          <x:t xml:space="preserve">https://www.teilhabeberatung.de/beratung/beratungsangebote-der-eutb</x:t>
        </x:is>
      </x:c>
      <x:c r="Z16" s="4" t="inlineStr">
        <x:is>
          <x:t xml:space="preserve">2026-08-22</x:t>
        </x:is>
      </x:c>
      <x:c r="AA16" s="4" t="inlineStr">
        <x:is>
          <x:t xml:space="preserve">Heilbronn-Franken</x:t>
        </x:is>
      </x:c>
      <x:c r="AB16" s="4" t="inlineStr">
        <x:is>
          <x:t xml:space="preserve">MASTER – Kontaktdaten/Adresse geprüft</x:t>
        </x:is>
      </x:c>
      <x:c r="AC16" s="4" t="n"/>
      <x:c r="AD16" s="4" t="inlineStr">
        <x:is>
          <x:t xml:space="preserve">Öffentliche Adress-/Kartenquelle; Abgleich mit offizieller EUTB-Hausadresse</x:t>
        </x:is>
      </x:c>
      <x:c r="AE16" s="4" t="inlineStr">
        <x:is>
          <x:t xml:space="preserve">2026-08-23</x:t>
        </x:is>
      </x:c>
    </x:row>
    <x:row r="17">
      <x:c r="A17" s="4" t="inlineStr">
        <x:is>
          <x:t xml:space="preserve">EUTB-016</x:t>
        </x:is>
      </x:c>
      <x:c r="B17" s="4" t="inlineStr">
        <x:is>
          <x:t xml:space="preserve">Beratung / Teilhabe</x:t>
        </x:is>
      </x:c>
      <x:c r="C17" s="4" t="inlineStr">
        <x:is>
          <x:t xml:space="preserve">EUTB / unabhängige Teilhabeberatung</x:t>
        </x:is>
      </x:c>
      <x:c r="D17" s="4" t="inlineStr">
        <x:is>
          <x:t xml:space="preserve">Nebenstandort</x:t>
        </x:is>
      </x:c>
      <x:c r="E17" s="4" t="inlineStr">
        <x:is>
          <x:t xml:space="preserve">EUTB Karlsruhe Land der AGBO e.V.-Nebenstandort Bretten</x:t>
        </x:is>
      </x:c>
      <x:c r="F17" s="4" t="inlineStr">
        <x:is>
          <x:t xml:space="preserve">AGBO e.V.</x:t>
        </x:is>
      </x:c>
      <x:c r="G17" s="4" t="inlineStr">
        <x:is>
          <x:t xml:space="preserve">Untere Kirchgasse 9</x:t>
        </x:is>
      </x:c>
      <x:c r="H17" s="4" t="inlineStr">
        <x:is>
          <x:t xml:space="preserve">Rathaus Bretten</x:t>
        </x:is>
      </x:c>
      <x:c r="I17" s="4" t="inlineStr">
        <x:is>
          <x:t xml:space="preserve">75015</x:t>
        </x:is>
      </x:c>
      <x:c r="J17" s="4" t="inlineStr">
        <x:is>
          <x:t xml:space="preserve">Bretten</x:t>
        </x:is>
      </x:c>
      <x:c r="K17" s="4" t="inlineStr">
        <x:is>
          <x:t xml:space="preserve">Baden-Württemberg</x:t>
        </x:is>
      </x:c>
      <x:c r="L17" s="4" t="inlineStr">
        <x:is>
          <x:t xml:space="preserve">0781 289488 30</x:t>
        </x:is>
      </x:c>
      <x:c r="M17" s="4" t="n"/>
      <x:c r="N17" s="4" t="inlineStr">
        <x:is>
          <x:t xml:space="preserve">eutb@agbo.info</x:t>
        </x:is>
      </x:c>
      <x:c r="O17" s="4" t="inlineStr">
        <x:is>
          <x:t xml:space="preserve">https://www.eutb-agbo.de</x:t>
        </x:is>
      </x:c>
      <x:c r="P17" s="4" t="inlineStr">
        <x:is>
          <x:t xml:space="preserve">B und besser</x:t>
        </x:is>
      </x:c>
      <x:c r="Q17" s="4" t="n"/>
      <x:c r="R17" s="4" t="n"/>
      <x:c r="S17" s="4" t="inlineStr">
        <x:is>
          <x:t xml:space="preserve">An jedem 2. Freitag im Monat von 9 Uhr bis 12 Uhr</x:t>
        </x:is>
      </x:c>
      <x:c r="T17" s="4" t="n">
        <x:v>49.036307</x:v>
      </x:c>
      <x:c r="U17" s="4" t="n">
        <x:v>8.705043999999999</x:v>
      </x:c>
      <x:c r="V17" s="4" t="inlineStr">
        <x:is>
          <x:t xml:space="preserve">B</x:t>
        </x:is>
      </x:c>
      <x:c r="W17" s="4" t="inlineStr">
        <x:is>
          <x:t xml:space="preserve">Stufe B – Hausadresse Untere Kirchgasse 9 verifiziert</x:t>
        </x:is>
      </x:c>
      <x:c r="X17" s="4" t="inlineStr">
        <x:is>
          <x:t xml:space="preserve">Untere Kirchgasse 9, Rathaus Bretten, 75015 Bretten, Deutschland</x:t>
        </x:is>
      </x:c>
      <x:c r="Y17" s="4" t="inlineStr">
        <x:is>
          <x:t xml:space="preserve">https://www.teilhabeberatung.de/beratung/beratungsangebote-der-eutb</x:t>
        </x:is>
      </x:c>
      <x:c r="Z17" s="4" t="inlineStr">
        <x:is>
          <x:t xml:space="preserve">2026-08-22</x:t>
        </x:is>
      </x:c>
      <x:c r="AA17" s="4" t="inlineStr">
        <x:is>
          <x:t xml:space="preserve">Nordbaden / Karlsruhe-Pforzheim</x:t>
        </x:is>
      </x:c>
      <x:c r="AB17" s="4" t="inlineStr">
        <x:is>
          <x:t xml:space="preserve">MASTER – Kontaktdaten/Adresse geprüft</x:t>
        </x:is>
      </x:c>
      <x:c r="AC17" s="4" t="n"/>
      <x:c r="AD17" s="4" t="inlineStr">
        <x:is>
          <x:t xml:space="preserve">Öffentliche Adress-/Kartenquelle; Abgleich mit offizieller EUTB-Hausadresse</x:t>
        </x:is>
      </x:c>
      <x:c r="AE17" s="4" t="inlineStr">
        <x:is>
          <x:t xml:space="preserve">2026-08-23</x:t>
        </x:is>
      </x:c>
    </x:row>
    <x:row r="18">
      <x:c r="A18" s="4" t="inlineStr">
        <x:is>
          <x:t xml:space="preserve">EUTB-017</x:t>
        </x:is>
      </x:c>
      <x:c r="B18" s="4" t="inlineStr">
        <x:is>
          <x:t xml:space="preserve">Beratung / Teilhabe</x:t>
        </x:is>
      </x:c>
      <x:c r="C18" s="4" t="inlineStr">
        <x:is>
          <x:t xml:space="preserve">EUTB / unabhängige Teilhabeberatung</x:t>
        </x:is>
      </x:c>
      <x:c r="D18" s="4" t="inlineStr">
        <x:is>
          <x:t xml:space="preserve">Standort</x:t>
        </x:is>
      </x:c>
      <x:c r="E18" s="4" t="inlineStr">
        <x:is>
          <x:t xml:space="preserve">EUTB Landkreis Heilbronn in Eppingen</x:t>
        </x:is>
      </x:c>
      <x:c r="F18" s="4" t="n"/>
      <x:c r="G18" s="4" t="inlineStr">
        <x:is>
          <x:t xml:space="preserve">Marktplatz 1</x:t>
        </x:is>
      </x:c>
      <x:c r="H18" s="4" t="inlineStr">
        <x:is>
          <x:t xml:space="preserve">Rathaus Eppingen, Besprechungszimmer 116 (1. OG)</x:t>
        </x:is>
      </x:c>
      <x:c r="I18" s="4" t="inlineStr">
        <x:is>
          <x:t xml:space="preserve">75031</x:t>
        </x:is>
      </x:c>
      <x:c r="J18" s="4" t="inlineStr">
        <x:is>
          <x:t xml:space="preserve">Eppingen</x:t>
        </x:is>
      </x:c>
      <x:c r="K18" s="4" t="inlineStr">
        <x:is>
          <x:t xml:space="preserve">Baden-Württemberg</x:t>
        </x:is>
      </x:c>
      <x:c r="L18" s="4" t="inlineStr">
        <x:is>
          <x:t xml:space="preserve">07139 5368885</x:t>
        </x:is>
      </x:c>
      <x:c r="M18" s="4" t="n"/>
      <x:c r="N18" s="4" t="inlineStr">
        <x:is>
          <x:t xml:space="preserve">teilhabeberatung05@eutb-thbw.de</x:t>
        </x:is>
      </x:c>
      <x:c r="O18" s="4" t="inlineStr">
        <x:is>
          <x:t xml:space="preserve">http://www.eutb-thbw.de</x:t>
        </x:is>
      </x:c>
      <x:c r="P18" s="4" t="inlineStr">
        <x:is>
          <x:t xml:space="preserve">B und besser</x:t>
        </x:is>
      </x:c>
      <x:c r="Q18" s="4" t="n"/>
      <x:c r="R18" s="4" t="n"/>
      <x:c r="S18" s="4" t="inlineStr">
        <x:is>
          <x:t xml:space="preserve">Beratungen finden im 2-Wochenrhythmus jeweils donnerstags statt.
Die kommenden Termine sind:
16.07.2026
30.07.2026
13.08.2026
27.08.2026
10.09.2026
24.09.2026
08.10.2026
22.10.2026
05.11.2026
19.11.2026
03.12.2026
17.12.2026
jeweils von 13 Uhr bis 16 Uhr im Besprechungszimmer 116 (1. OG) des Eppinger Rathauses</x:t>
        </x:is>
      </x:c>
      <x:c r="T18" s="4" t="n">
        <x:v>49.13708</x:v>
      </x:c>
      <x:c r="U18" s="4" t="n">
        <x:v>8.90901</x:v>
      </x:c>
      <x:c r="V18" s="4" t="inlineStr">
        <x:is>
          <x:t xml:space="preserve">A</x:t>
        </x:is>
      </x:c>
      <x:c r="W18" s="4" t="inlineStr">
        <x:is>
          <x:t xml:space="preserve">Stufe A – Rathaus Eppingen, Marktplatz 1, Gebäude verifiziert</x:t>
        </x:is>
      </x:c>
      <x:c r="X18" s="4" t="inlineStr">
        <x:is>
          <x:t xml:space="preserve">Marktplatz 1, Rathaus Eppingen, Besprechungszimmer 116 (1. OG), 75031 Eppingen, Deutschland</x:t>
        </x:is>
      </x:c>
      <x:c r="Y18" s="4" t="inlineStr">
        <x:is>
          <x:t xml:space="preserve">https://www.teilhabeberatung.de/beratung/beratungsangebote-der-eutb</x:t>
        </x:is>
      </x:c>
      <x:c r="Z18" s="4" t="inlineStr">
        <x:is>
          <x:t xml:space="preserve">2026-08-22</x:t>
        </x:is>
      </x:c>
      <x:c r="AA18" s="4" t="inlineStr">
        <x:is>
          <x:t xml:space="preserve">Nordbaden / Karlsruhe-Pforzheim</x:t>
        </x:is>
      </x:c>
      <x:c r="AB18" s="4" t="inlineStr">
        <x:is>
          <x:t xml:space="preserve">MASTER – Kontaktdaten/Adresse geprüft</x:t>
        </x:is>
      </x:c>
      <x:c r="AC18" s="4" t="n"/>
      <x:c r="AD18" s="4" t="inlineStr">
        <x:is>
          <x:t xml:space="preserve">Öffentliche Adress-/Kartenquelle; Abgleich mit offizieller EUTB-Hausadresse</x:t>
        </x:is>
      </x:c>
      <x:c r="AE18" s="4" t="inlineStr">
        <x:is>
          <x:t xml:space="preserve">2026-08-23</x:t>
        </x:is>
      </x:c>
    </x:row>
    <x:row r="19">
      <x:c r="A19" s="4" t="inlineStr">
        <x:is>
          <x:t xml:space="preserve">EUTB-018</x:t>
        </x:is>
      </x:c>
      <x:c r="B19" s="4" t="inlineStr">
        <x:is>
          <x:t xml:space="preserve">Beratung / Teilhabe</x:t>
        </x:is>
      </x:c>
      <x:c r="C19" s="4" t="inlineStr">
        <x:is>
          <x:t xml:space="preserve">EUTB / unabhängige Teilhabeberatung</x:t>
        </x:is>
      </x:c>
      <x:c r="D19" s="4" t="inlineStr">
        <x:is>
          <x:t xml:space="preserve">Standort</x:t>
        </x:is>
      </x:c>
      <x:c r="E19" s="4" t="inlineStr">
        <x:is>
          <x:t xml:space="preserve">EUTB-Beratungsangebot der Lebenshilfe Pforzheim in Pforzheim</x:t>
        </x:is>
      </x:c>
      <x:c r="F19" s="4" t="inlineStr">
        <x:is>
          <x:t xml:space="preserve">Lebenshilfe Pforzheim</x:t>
        </x:is>
      </x:c>
      <x:c r="G19" s="4" t="inlineStr">
        <x:is>
          <x:t xml:space="preserve">Mühlstraße 10</x:t>
        </x:is>
      </x:c>
      <x:c r="H19" s="4" t="n"/>
      <x:c r="I19" s="4" t="inlineStr">
        <x:is>
          <x:t xml:space="preserve">75172</x:t>
        </x:is>
      </x:c>
      <x:c r="J19" s="4" t="inlineStr">
        <x:is>
          <x:t xml:space="preserve">Pforzheim</x:t>
        </x:is>
      </x:c>
      <x:c r="K19" s="4" t="inlineStr">
        <x:is>
          <x:t xml:space="preserve">Baden-Württemberg</x:t>
        </x:is>
      </x:c>
      <x:c r="L19" s="4" t="inlineStr">
        <x:is>
          <x:t xml:space="preserve">07231 60959090</x:t>
        </x:is>
      </x:c>
      <x:c r="M19" s="4" t="inlineStr">
        <x:is>
          <x:t xml:space="preserve">07231/60959091</x:t>
        </x:is>
      </x:c>
      <x:c r="N19" s="4" t="inlineStr">
        <x:is>
          <x:t xml:space="preserve">eutb.sabisch@lebenshilfe-pforzheim.de</x:t>
        </x:is>
      </x:c>
      <x:c r="O19" s="4" t="inlineStr">
        <x:is>
          <x:t xml:space="preserve">https://www.lebenshilfe-pforzheim.de</x:t>
        </x:is>
      </x:c>
      <x:c r="P19" s="4" t="n"/>
      <x:c r="Q19" s="4" t="n"/>
      <x:c r="R19" s="4" t="n"/>
      <x:c r="S19" s="4" t="inlineStr">
        <x:is>
          <x:t xml:space="preserve">Termine nach Vereinbarung
Montag bis Freitag: ganztägig
Offene Sprechstunde:
Montag bis Freitag: ganztägig</x:t>
        </x:is>
      </x:c>
      <x:c r="T19" s="4" t="n">
        <x:v>48.889053</x:v>
      </x:c>
      <x:c r="U19" s="4" t="n">
        <x:v>8.670503</x:v>
      </x:c>
      <x:c r="V19" s="4" t="inlineStr">
        <x:is>
          <x:t xml:space="preserve">B</x:t>
        </x:is>
      </x:c>
      <x:c r="W19" s="4" t="inlineStr">
        <x:is>
          <x:t xml:space="preserve">Stufe B – Hausadresse + OSM-Routingpunkt verifiziert</x:t>
        </x:is>
      </x:c>
      <x:c r="X19" s="4" t="inlineStr">
        <x:is>
          <x:t xml:space="preserve">Mühlstraße 10, 75172 Pforzheim, Deutschland</x:t>
        </x:is>
      </x:c>
      <x:c r="Y19" s="4" t="inlineStr">
        <x:is>
          <x:t xml:space="preserve">https://www.teilhabeberatung.de/beratung/beratungsangebote-der-eutb</x:t>
        </x:is>
      </x:c>
      <x:c r="Z19" s="4" t="inlineStr">
        <x:is>
          <x:t xml:space="preserve">2026-08-22</x:t>
        </x:is>
      </x:c>
      <x:c r="AA19" s="4" t="inlineStr">
        <x:is>
          <x:t xml:space="preserve">Nordbaden / Karlsruhe-Pforzheim</x:t>
        </x:is>
      </x:c>
      <x:c r="AB19" s="4" t="inlineStr">
        <x:is>
          <x:t xml:space="preserve">MASTER – Kontaktdaten/Adresse geprüft</x:t>
        </x:is>
      </x:c>
      <x:c r="AC19" s="4" t="n"/>
      <x:c r="AD19" s="4" t="inlineStr">
        <x:is>
          <x:t xml:space="preserve">Öffentliche Adress-/Kartenquelle; Abgleich mit offizieller EUTB-Hausadresse</x:t>
        </x:is>
      </x:c>
      <x:c r="AE19" s="4" t="inlineStr">
        <x:is>
          <x:t xml:space="preserve">2026-08-23</x:t>
        </x:is>
      </x:c>
    </x:row>
    <x:row r="20">
      <x:c r="A20" s="4" t="inlineStr">
        <x:is>
          <x:t xml:space="preserve">EUTB-019</x:t>
        </x:is>
      </x:c>
      <x:c r="B20" s="4" t="inlineStr">
        <x:is>
          <x:t xml:space="preserve">Beratung / Teilhabe</x:t>
        </x:is>
      </x:c>
      <x:c r="C20" s="4" t="inlineStr">
        <x:is>
          <x:t xml:space="preserve">EUTB / unabhängige Teilhabeberatung</x:t>
        </x:is>
      </x:c>
      <x:c r="D20" s="4" t="inlineStr">
        <x:is>
          <x:t xml:space="preserve">Standort</x:t>
        </x:is>
      </x:c>
      <x:c r="E20" s="4" t="inlineStr">
        <x:is>
          <x:t xml:space="preserve">EUTB-Beratungsangebot der Lebenshilfe Pforzheim in Keltern</x:t>
        </x:is>
      </x:c>
      <x:c r="F20" s="4" t="inlineStr">
        <x:is>
          <x:t xml:space="preserve">Lebenshilfe Pforzheim</x:t>
        </x:is>
      </x:c>
      <x:c r="G20" s="4" t="inlineStr">
        <x:is>
          <x:t xml:space="preserve">Hoheneichstraße 18</x:t>
        </x:is>
      </x:c>
      <x:c r="H20" s="4" t="n"/>
      <x:c r="I20" s="4" t="inlineStr">
        <x:is>
          <x:t xml:space="preserve">75210</x:t>
        </x:is>
      </x:c>
      <x:c r="J20" s="4" t="inlineStr">
        <x:is>
          <x:t xml:space="preserve">Keltern</x:t>
        </x:is>
      </x:c>
      <x:c r="K20" s="4" t="inlineStr">
        <x:is>
          <x:t xml:space="preserve">Baden-Württemberg</x:t>
        </x:is>
      </x:c>
      <x:c r="L20" s="4" t="inlineStr">
        <x:is>
          <x:t xml:space="preserve">07231 60959092</x:t>
        </x:is>
      </x:c>
      <x:c r="M20" s="4" t="n"/>
      <x:c r="N20" s="4" t="inlineStr">
        <x:is>
          <x:t xml:space="preserve">Manuela.koppelhuber@lebenshilfe-pforzheim.de</x:t>
        </x:is>
      </x:c>
      <x:c r="O20" s="4" t="inlineStr">
        <x:is>
          <x:t xml:space="preserve">https://www.lebenshilfe-pforzheim.de</x:t>
        </x:is>
      </x:c>
      <x:c r="P20" s="4" t="n"/>
      <x:c r="Q20" s="4" t="n"/>
      <x:c r="R20" s="4" t="n"/>
      <x:c r="S20" s="4" t="inlineStr">
        <x:is>
          <x:t xml:space="preserve">Dienstag von 10.00 Uhr bis 13.00 Uhr
Donnerstag von 9.00 Uhr bis 12.00 Uhr
Freitag von 9.00 Uhr bis 12.00 Uhr</x:t>
        </x:is>
      </x:c>
      <x:c r="T20" s="4" t="n">
        <x:v>48.8879902</x:v>
      </x:c>
      <x:c r="U20" s="4" t="n">
        <x:v>8.6311936</x:v>
      </x:c>
      <x:c r="V20" s="4" t="inlineStr">
        <x:is>
          <x:t xml:space="preserve">B</x:t>
        </x:is>
      </x:c>
      <x:c r="W20" s="4" t="inlineStr">
        <x:is>
          <x:t xml:space="preserve">Stufe B – Hausadresse + OSM-Routingpunkt verifiziert</x:t>
        </x:is>
      </x:c>
      <x:c r="X20" s="4" t="inlineStr">
        <x:is>
          <x:t xml:space="preserve">Hoheneichstraße 18, 75210 Keltern, Deutschland</x:t>
        </x:is>
      </x:c>
      <x:c r="Y20" s="4" t="inlineStr">
        <x:is>
          <x:t xml:space="preserve">https://www.teilhabeberatung.de/beratung/beratungsangebote-der-eutb</x:t>
        </x:is>
      </x:c>
      <x:c r="Z20" s="4" t="inlineStr">
        <x:is>
          <x:t xml:space="preserve">2026-08-22</x:t>
        </x:is>
      </x:c>
      <x:c r="AA20" s="4" t="inlineStr">
        <x:is>
          <x:t xml:space="preserve">Nordbaden / Karlsruhe-Pforzheim</x:t>
        </x:is>
      </x:c>
      <x:c r="AB20" s="4" t="inlineStr">
        <x:is>
          <x:t xml:space="preserve">MASTER – Kontaktdaten/Adresse geprüft</x:t>
        </x:is>
      </x:c>
      <x:c r="AC20" s="4" t="n"/>
      <x:c r="AD20" s="4" t="inlineStr">
        <x:is>
          <x:t xml:space="preserve">Öffentliche Adress-/Kartenquelle; Abgleich mit offizieller EUTB-Hausadresse</x:t>
        </x:is>
      </x:c>
      <x:c r="AE20" s="4" t="inlineStr">
        <x:is>
          <x:t xml:space="preserve">2026-08-23</x:t>
        </x:is>
      </x:c>
    </x:row>
    <x:row r="21">
      <x:c r="A21" s="4" t="inlineStr">
        <x:is>
          <x:t xml:space="preserve">EUTB-020</x:t>
        </x:is>
      </x:c>
      <x:c r="B21" s="4" t="inlineStr">
        <x:is>
          <x:t xml:space="preserve">Beratung / Teilhabe</x:t>
        </x:is>
      </x:c>
      <x:c r="C21" s="4" t="inlineStr">
        <x:is>
          <x:t xml:space="preserve">EUTB / unabhängige Teilhabeberatung</x:t>
        </x:is>
      </x:c>
      <x:c r="D21" s="4" t="inlineStr">
        <x:is>
          <x:t xml:space="preserve">Hauptstelle/Angebot</x:t>
        </x:is>
      </x:c>
      <x:c r="E21" s="4" t="inlineStr">
        <x:is>
          <x:t xml:space="preserve">EUTB 1a Zugang LK Calw</x:t>
        </x:is>
      </x:c>
      <x:c r="F21" s="4" t="n"/>
      <x:c r="G21" s="4" t="inlineStr">
        <x:is>
          <x:t xml:space="preserve">Lederstraße 41</x:t>
        </x:is>
      </x:c>
      <x:c r="H21" s="4" t="n"/>
      <x:c r="I21" s="4" t="inlineStr">
        <x:is>
          <x:t xml:space="preserve">75365</x:t>
        </x:is>
      </x:c>
      <x:c r="J21" s="4" t="inlineStr">
        <x:is>
          <x:t xml:space="preserve">Calw</x:t>
        </x:is>
      </x:c>
      <x:c r="K21" s="4" t="inlineStr">
        <x:is>
          <x:t xml:space="preserve">Baden-Württemberg</x:t>
        </x:is>
      </x:c>
      <x:c r="L21" s="4" t="inlineStr">
        <x:is>
          <x:t xml:space="preserve">0162 6093821</x:t>
        </x:is>
      </x:c>
      <x:c r="M21" s="4" t="n"/>
      <x:c r="N21" s="4" t="inlineStr">
        <x:is>
          <x:t xml:space="preserve">Teilhabeberatung@campus-mensch.org</x:t>
        </x:is>
      </x:c>
      <x:c r="O21" s="4" t="inlineStr">
        <x:is>
          <x:t xml:space="preserve">https://www.1a-zugang.de/de/teilhabeberatung.html</x:t>
        </x:is>
      </x:c>
      <x:c r="P21" s="4" t="n"/>
      <x:c r="Q21" s="4" t="n"/>
      <x:c r="R21" s="4" t="n"/>
      <x:c r="S21" s="4" t="inlineStr">
        <x:is>
          <x:t xml:space="preserve">Offene Sprechzeiten: Donnerstag von 9 Uhr bis 11 Uhr
und Termine nach telefonischer Vereinbarung.</x:t>
        </x:is>
      </x:c>
      <x:c r="T21" s="4" t="n">
        <x:v>48.71641595</x:v>
      </x:c>
      <x:c r="U21" s="4" t="n">
        <x:v>8.7372012636364</x:v>
      </x:c>
      <x:c r="V21" s="4" t="inlineStr">
        <x:is>
          <x:t xml:space="preserve">B</x:t>
        </x:is>
      </x:c>
      <x:c r="W21" s="4" t="inlineStr">
        <x:is>
          <x:t xml:space="preserve">Stufe B – Hausadresse + OSM-Routingpunkt verifiziert</x:t>
        </x:is>
      </x:c>
      <x:c r="X21" s="4" t="inlineStr">
        <x:is>
          <x:t xml:space="preserve">Lederstraße 41, 75365 Calw, Deutschland</x:t>
        </x:is>
      </x:c>
      <x:c r="Y21" s="4" t="inlineStr">
        <x:is>
          <x:t xml:space="preserve">https://www.teilhabeberatung.de/beratung/beratungsangebote-der-eutb</x:t>
        </x:is>
      </x:c>
      <x:c r="Z21" s="4" t="inlineStr">
        <x:is>
          <x:t xml:space="preserve">2026-08-22</x:t>
        </x:is>
      </x:c>
      <x:c r="AA21" s="4" t="inlineStr">
        <x:is>
          <x:t xml:space="preserve">Nordbaden / Karlsruhe-Pforzheim</x:t>
        </x:is>
      </x:c>
      <x:c r="AB21" s="4" t="inlineStr">
        <x:is>
          <x:t xml:space="preserve">MASTER – Kontaktdaten/Adresse geprüft</x:t>
        </x:is>
      </x:c>
      <x:c r="AC21" s="4" t="n"/>
      <x:c r="AD21" s="4" t="inlineStr">
        <x:is>
          <x:t xml:space="preserve">Öffentliche Adress-/Kartenquelle; Abgleich mit offizieller EUTB-Hausadresse</x:t>
        </x:is>
      </x:c>
      <x:c r="AE21" s="4" t="inlineStr">
        <x:is>
          <x:t xml:space="preserve">2026-08-23</x:t>
        </x:is>
      </x:c>
    </x:row>
    <x:row r="22">
      <x:c r="A22" s="4" t="inlineStr">
        <x:is>
          <x:t xml:space="preserve">EUTB-021</x:t>
        </x:is>
      </x:c>
      <x:c r="B22" s="4" t="inlineStr">
        <x:is>
          <x:t xml:space="preserve">Beratung / Teilhabe</x:t>
        </x:is>
      </x:c>
      <x:c r="C22" s="4" t="inlineStr">
        <x:is>
          <x:t xml:space="preserve">EUTB / unabhängige Teilhabeberatung</x:t>
        </x:is>
      </x:c>
      <x:c r="D22" s="4" t="inlineStr">
        <x:is>
          <x:t xml:space="preserve">Hauptstelle/Angebot</x:t>
        </x:is>
      </x:c>
      <x:c r="E22" s="4" t="inlineStr">
        <x:is>
          <x:t xml:space="preserve">EUTB / miteinanderleben e.V.</x:t>
        </x:is>
      </x:c>
      <x:c r="F22" s="4" t="n"/>
      <x:c r="G22" s="4" t="inlineStr">
        <x:is>
          <x:t xml:space="preserve">Bahnhofstr.19</x:t>
        </x:is>
      </x:c>
      <x:c r="H22" s="4" t="n"/>
      <x:c r="I22" s="4" t="inlineStr">
        <x:is>
          <x:t xml:space="preserve">75417</x:t>
        </x:is>
      </x:c>
      <x:c r="J22" s="4" t="inlineStr">
        <x:is>
          <x:t xml:space="preserve">Mühlacker</x:t>
        </x:is>
      </x:c>
      <x:c r="K22" s="4" t="inlineStr">
        <x:is>
          <x:t xml:space="preserve">Baden-Württemberg</x:t>
        </x:is>
      </x:c>
      <x:c r="L22" s="4" t="inlineStr">
        <x:is>
          <x:t xml:space="preserve">07231 13331 51</x:t>
        </x:is>
      </x:c>
      <x:c r="M22" s="4" t="inlineStr">
        <x:is>
          <x:t xml:space="preserve">07231 13331 99</x:t>
        </x:is>
      </x:c>
      <x:c r="N22" s="4" t="inlineStr">
        <x:is>
          <x:t xml:space="preserve">eutb@miteinanderleben.de</x:t>
        </x:is>
      </x:c>
      <x:c r="O22" s="4" t="inlineStr">
        <x:is>
          <x:t xml:space="preserve">https://miteinanderleben.de/</x:t>
        </x:is>
      </x:c>
      <x:c r="P22" s="4" t="n"/>
      <x:c r="Q22" s="4" t="n"/>
      <x:c r="R22" s="4" t="n"/>
      <x:c r="S22" s="4" t="inlineStr">
        <x:is>
          <x:t xml:space="preserve">Montag:    9:00 Uhr bis 16:00 Uhr
Dienstag:  offene Sprechstunde    10.00 bis 12.00 Uhr /
                 9:00 Uhr bis 17:00
Mittwoch   9:00 Uhr bis 12:00 Uhr
Donnerstag: 9:00 Uhr bis 13:00 Uhr</x:t>
        </x:is>
      </x:c>
      <x:c r="T22" s="4" t="n"/>
      <x:c r="U22" s="4" t="n"/>
      <x:c r="V22" s="4" t="inlineStr">
        <x:is>
          <x:t xml:space="preserve">B-Adresse</x:t>
        </x:is>
      </x:c>
      <x:c r="W22" s="4" t="inlineStr">
        <x:is>
          <x:t xml:space="preserve">Hausadresse offiziell bestätigt; Koordinate in dieser Revision nicht belastbar als Hauspunkt extrahierbar – nicht geschätzt</x:t>
        </x:is>
      </x:c>
      <x:c r="X22" s="4" t="inlineStr">
        <x:is>
          <x:t xml:space="preserve">Bahnhofstr.19, 75417 Mühlacker, Deutschland</x:t>
        </x:is>
      </x:c>
      <x:c r="Y22" s="4" t="inlineStr">
        <x:is>
          <x:t xml:space="preserve">https://www.teilhabeberatung.de/beratung/beratungsangebote-der-eutb</x:t>
        </x:is>
      </x:c>
      <x:c r="Z22" s="4" t="inlineStr">
        <x:is>
          <x:t xml:space="preserve">2026-08-22</x:t>
        </x:is>
      </x:c>
      <x:c r="AA22" s="4" t="inlineStr">
        <x:is>
          <x:t xml:space="preserve">Nordbaden / Karlsruhe-Pforzheim</x:t>
        </x:is>
      </x:c>
      <x:c r="AB22" s="4" t="inlineStr">
        <x:is>
          <x:t xml:space="preserve">MASTER – Kontaktdaten/Adresse geprüft</x:t>
        </x:is>
      </x:c>
      <x:c r="AC22" s="4" t="n"/>
      <x:c r="AD22" s="4" t="inlineStr">
        <x:is>
          <x:t xml:space="preserve">Offizieller EUTB-Beratungsatlas / Betreiberadresse; Koordinate bewusst offen</x:t>
        </x:is>
      </x:c>
      <x:c r="AE22" s="4" t="inlineStr">
        <x:is>
          <x:t xml:space="preserve">2026-08-23</x:t>
        </x:is>
      </x:c>
    </x:row>
    <x:row r="23">
      <x:c r="A23" s="4" t="inlineStr">
        <x:is>
          <x:t xml:space="preserve">EUTB-022</x:t>
        </x:is>
      </x:c>
      <x:c r="B23" s="4" t="inlineStr">
        <x:is>
          <x:t xml:space="preserve">Beratung / Teilhabe</x:t>
        </x:is>
      </x:c>
      <x:c r="C23" s="4" t="inlineStr">
        <x:is>
          <x:t xml:space="preserve">EUTB / unabhängige Teilhabeberatung</x:t>
        </x:is>
      </x:c>
      <x:c r="D23" s="4" t="inlineStr">
        <x:is>
          <x:t xml:space="preserve">Standort</x:t>
        </x:is>
      </x:c>
      <x:c r="E23" s="4" t="inlineStr">
        <x:is>
          <x:t xml:space="preserve">EUTB Karlsruhe Landesverband für Menschen mit Körper- und Mehrfachbehinderung Baden-Württemberg e.V.</x:t>
        </x:is>
      </x:c>
      <x:c r="F23" s="4" t="n"/>
      <x:c r="G23" s="4" t="inlineStr">
        <x:is>
          <x:t xml:space="preserve">Fasanenstraße 10</x:t>
        </x:is>
      </x:c>
      <x:c r="H23" s="4" t="n"/>
      <x:c r="I23" s="4" t="inlineStr">
        <x:is>
          <x:t xml:space="preserve">76131</x:t>
        </x:is>
      </x:c>
      <x:c r="J23" s="4" t="inlineStr">
        <x:is>
          <x:t xml:space="preserve">Karlsruhe</x:t>
        </x:is>
      </x:c>
      <x:c r="K23" s="4" t="inlineStr">
        <x:is>
          <x:t xml:space="preserve">Baden-Württemberg</x:t>
        </x:is>
      </x:c>
      <x:c r="L23" s="4" t="inlineStr">
        <x:is>
          <x:t xml:space="preserve">0721 12083499</x:t>
        </x:is>
      </x:c>
      <x:c r="M23" s="4" t="n"/>
      <x:c r="N23" s="4" t="inlineStr">
        <x:is>
          <x:t xml:space="preserve">eutb-karlsruhe@lvkm-bw.de</x:t>
        </x:is>
      </x:c>
      <x:c r="O23" s="4" t="inlineStr">
        <x:is>
          <x:t xml:space="preserve">http://www.lvkm-bw.de</x:t>
        </x:is>
      </x:c>
      <x:c r="P23" s="4" t="n"/>
      <x:c r="Q23" s="4" t="n"/>
      <x:c r="R23" s="4" t="inlineStr">
        <x:is>
          <x:t xml:space="preserve">✔</x:t>
        </x:is>
      </x:c>
      <x:c r="S23" s="4" t="inlineStr">
        <x:is>
          <x:t xml:space="preserve">Montag, Dienstag und Donnerstag 10:00 - 17:00 Uhr
Mittwoch und Freitag 9:00 - 11:00 Uhr
und nach Vereinbarung
Die Beratung kann persönlich in der Beratungsstelle oder aufsuchend, telefonisch, per E-Mail oder per Video erfolgen.
Bitte vereinbaren Sie für persönliche Beratungen und für Videoberatungen zuvor einen Termin.</x:t>
        </x:is>
      </x:c>
      <x:c r="T23" s="4" t="n"/>
      <x:c r="U23" s="4" t="n"/>
      <x:c r="V23" s="4" t="inlineStr">
        <x:is>
          <x:t xml:space="preserve">B-Adresse</x:t>
        </x:is>
      </x:c>
      <x:c r="W23" s="4" t="inlineStr">
        <x:is>
          <x:t xml:space="preserve">Hausadresse offiziell bestätigt; Koordinate in dieser Revision nicht belastbar als Hauspunkt extrahierbar – nicht geschätzt</x:t>
        </x:is>
      </x:c>
      <x:c r="X23" s="4" t="inlineStr">
        <x:is>
          <x:t xml:space="preserve">Fasanenstraße 10, 76131 Karlsruhe, Deutschland</x:t>
        </x:is>
      </x:c>
      <x:c r="Y23" s="4" t="inlineStr">
        <x:is>
          <x:t xml:space="preserve">https://www.teilhabeberatung.de/beratung/beratungsangebote-der-eutb</x:t>
        </x:is>
      </x:c>
      <x:c r="Z23" s="4" t="inlineStr">
        <x:is>
          <x:t xml:space="preserve">2026-08-22</x:t>
        </x:is>
      </x:c>
      <x:c r="AA23" s="4" t="inlineStr">
        <x:is>
          <x:t xml:space="preserve">Nordbaden / Karlsruhe-Pforzheim</x:t>
        </x:is>
      </x:c>
      <x:c r="AB23" s="4" t="inlineStr">
        <x:is>
          <x:t xml:space="preserve">MASTER – Kontaktdaten/Adresse geprüft</x:t>
        </x:is>
      </x:c>
      <x:c r="AC23" s="4" t="n"/>
      <x:c r="AD23" s="4" t="inlineStr">
        <x:is>
          <x:t xml:space="preserve">Offizieller EUTB-Beratungsatlas / Betreiberadresse; Koordinate bewusst offen</x:t>
        </x:is>
      </x:c>
      <x:c r="AE23" s="4" t="inlineStr">
        <x:is>
          <x:t xml:space="preserve">2026-08-23</x:t>
        </x:is>
      </x:c>
    </x:row>
    <x:row r="24">
      <x:c r="A24" s="4" t="inlineStr">
        <x:is>
          <x:t xml:space="preserve">EUTB-023</x:t>
        </x:is>
      </x:c>
      <x:c r="B24" s="4" t="inlineStr">
        <x:is>
          <x:t xml:space="preserve">Beratung / Teilhabe</x:t>
        </x:is>
      </x:c>
      <x:c r="C24" s="4" t="inlineStr">
        <x:is>
          <x:t xml:space="preserve">EUTB / unabhängige Teilhabeberatung</x:t>
        </x:is>
      </x:c>
      <x:c r="D24" s="4" t="inlineStr">
        <x:is>
          <x:t xml:space="preserve">Hauptstelle/Angebot</x:t>
        </x:is>
      </x:c>
      <x:c r="E24" s="4" t="inlineStr">
        <x:is>
          <x:t xml:space="preserve">EUTB Karlsruhe Stadt der AGBO e.V.</x:t>
        </x:is>
      </x:c>
      <x:c r="F24" s="4" t="inlineStr">
        <x:is>
          <x:t xml:space="preserve">AGBO e.V.</x:t>
        </x:is>
      </x:c>
      <x:c r="G24" s="4" t="inlineStr">
        <x:is>
          <x:t xml:space="preserve">Mathystraße 12</x:t>
        </x:is>
      </x:c>
      <x:c r="H24" s="4" t="inlineStr">
        <x:is>
          <x:t xml:space="preserve">Mitmach-Laden Südwest</x:t>
        </x:is>
      </x:c>
      <x:c r="I24" s="4" t="inlineStr">
        <x:is>
          <x:t xml:space="preserve">76133</x:t>
        </x:is>
      </x:c>
      <x:c r="J24" s="4" t="inlineStr">
        <x:is>
          <x:t xml:space="preserve">Karlsruhe</x:t>
        </x:is>
      </x:c>
      <x:c r="K24" s="4" t="inlineStr">
        <x:is>
          <x:t xml:space="preserve">Baden-Württemberg</x:t>
        </x:is>
      </x:c>
      <x:c r="L24" s="4" t="inlineStr">
        <x:is>
          <x:t xml:space="preserve">0781 289488 30</x:t>
        </x:is>
      </x:c>
      <x:c r="M24" s="4" t="n"/>
      <x:c r="N24" s="4" t="inlineStr">
        <x:is>
          <x:t xml:space="preserve">eutb@agbo.info</x:t>
        </x:is>
      </x:c>
      <x:c r="O24" s="4" t="inlineStr">
        <x:is>
          <x:t xml:space="preserve">https://www.eutb-agbo.de</x:t>
        </x:is>
      </x:c>
      <x:c r="P24" s="4" t="inlineStr">
        <x:is>
          <x:t xml:space="preserve">B und besser</x:t>
        </x:is>
      </x:c>
      <x:c r="Q24" s="4" t="n"/>
      <x:c r="R24" s="4" t="n"/>
      <x:c r="S24" s="4" t="inlineStr">
        <x:is>
          <x:t xml:space="preserve">Jeden Freitag von 9.00 Uhr bis 16.00 Uhr, offene Sprechstunde von 11.00-12.30 Uhr</x:t>
        </x:is>
      </x:c>
      <x:c r="T24" s="4" t="n"/>
      <x:c r="U24" s="4" t="n"/>
      <x:c r="V24" s="4" t="inlineStr">
        <x:is>
          <x:t xml:space="preserve">B-Adresse</x:t>
        </x:is>
      </x:c>
      <x:c r="W24" s="4" t="inlineStr">
        <x:is>
          <x:t xml:space="preserve">Hausadresse offiziell bestätigt; Koordinate in dieser Revision nicht belastbar als Hauspunkt extrahierbar – nicht geschätzt</x:t>
        </x:is>
      </x:c>
      <x:c r="X24" s="4" t="inlineStr">
        <x:is>
          <x:t xml:space="preserve">Mathystraße 12, Mitmach-Laden Südwest, 76133 Karlsruhe, Deutschland</x:t>
        </x:is>
      </x:c>
      <x:c r="Y24" s="4" t="inlineStr">
        <x:is>
          <x:t xml:space="preserve">https://www.teilhabeberatung.de/beratung/beratungsangebote-der-eutb</x:t>
        </x:is>
      </x:c>
      <x:c r="Z24" s="4" t="inlineStr">
        <x:is>
          <x:t xml:space="preserve">2026-08-22</x:t>
        </x:is>
      </x:c>
      <x:c r="AA24" s="4" t="inlineStr">
        <x:is>
          <x:t xml:space="preserve">Nordbaden / Karlsruhe-Pforzheim</x:t>
        </x:is>
      </x:c>
      <x:c r="AB24" s="4" t="inlineStr">
        <x:is>
          <x:t xml:space="preserve">MASTER – Kontaktdaten/Adresse geprüft</x:t>
        </x:is>
      </x:c>
      <x:c r="AC24" s="4" t="n"/>
      <x:c r="AD24" s="4" t="inlineStr">
        <x:is>
          <x:t xml:space="preserve">Offizieller EUTB-Beratungsatlas / Betreiberadresse; Koordinate bewusst offen</x:t>
        </x:is>
      </x:c>
      <x:c r="AE24" s="4" t="inlineStr">
        <x:is>
          <x:t xml:space="preserve">2026-08-23</x:t>
        </x:is>
      </x:c>
    </x:row>
    <x:row r="25">
      <x:c r="A25" s="4" t="inlineStr">
        <x:is>
          <x:t xml:space="preserve">EUTB-024</x:t>
        </x:is>
      </x:c>
      <x:c r="B25" s="4" t="inlineStr">
        <x:is>
          <x:t xml:space="preserve">Beratung / Teilhabe</x:t>
        </x:is>
      </x:c>
      <x:c r="C25" s="4" t="inlineStr">
        <x:is>
          <x:t xml:space="preserve">EUTB / unabhängige Teilhabeberatung</x:t>
        </x:is>
      </x:c>
      <x:c r="D25" s="4" t="inlineStr">
        <x:is>
          <x:t xml:space="preserve">Hauptstelle/Angebot</x:t>
        </x:is>
      </x:c>
      <x:c r="E25" s="4" t="inlineStr">
        <x:is>
          <x:t xml:space="preserve">Paritätische Sozialdienste gGmbH Karlsruhe</x:t>
        </x:is>
      </x:c>
      <x:c r="F25" s="4" t="n"/>
      <x:c r="G25" s="4" t="inlineStr">
        <x:is>
          <x:t xml:space="preserve">Kanalweg 40/42</x:t>
        </x:is>
      </x:c>
      <x:c r="H25" s="4" t="inlineStr">
        <x:is>
          <x:t xml:space="preserve">im Hardtwaldzentrum</x:t>
        </x:is>
      </x:c>
      <x:c r="I25" s="4" t="inlineStr">
        <x:is>
          <x:t xml:space="preserve">76149</x:t>
        </x:is>
      </x:c>
      <x:c r="J25" s="4" t="inlineStr">
        <x:is>
          <x:t xml:space="preserve">Karlsruhe</x:t>
        </x:is>
      </x:c>
      <x:c r="K25" s="4" t="inlineStr">
        <x:is>
          <x:t xml:space="preserve">Baden-Württemberg</x:t>
        </x:is>
      </x:c>
      <x:c r="L25" s="4" t="inlineStr">
        <x:is>
          <x:t xml:space="preserve">0721 9123066</x:t>
        </x:is>
      </x:c>
      <x:c r="M25" s="4" t="inlineStr">
        <x:is>
          <x:t xml:space="preserve">0721 9123052</x:t>
        </x:is>
      </x:c>
      <x:c r="N25" s="4" t="inlineStr">
        <x:is>
          <x:t xml:space="preserve">eutb@paritaet-ka.de</x:t>
        </x:is>
      </x:c>
      <x:c r="O25" s="4" t="inlineStr">
        <x:is>
          <x:t xml:space="preserve">http://www.paritaet-ka.de</x:t>
        </x:is>
      </x:c>
      <x:c r="P25" s="4" t="n"/>
      <x:c r="Q25" s="4" t="n"/>
      <x:c r="R25" s="4" t="n"/>
      <x:c r="S25" s="4" t="inlineStr">
        <x:is>
          <x:t xml:space="preserve">Montag bis Mittwoch: 8.00 Uhr bis 13.00 Uhr
Donnerstag: 8.00 Uhr bis 16.00 Uhr
Bitte vereinbaren Sie zuvor einen Termin.</x:t>
        </x:is>
      </x:c>
      <x:c r="T25" s="4" t="n">
        <x:v>49.030486</x:v>
      </x:c>
      <x:c r="U25" s="4" t="n">
        <x:v>8.393128000000001</x:v>
      </x:c>
      <x:c r="V25" s="4" t="inlineStr">
        <x:is>
          <x:t xml:space="preserve">B</x:t>
        </x:is>
      </x:c>
      <x:c r="W25" s="4" t="inlineStr">
        <x:is>
          <x:t xml:space="preserve">Stufe B – Hausadresse Kanalweg 40/42 verifiziert</x:t>
        </x:is>
      </x:c>
      <x:c r="X25" s="4" t="inlineStr">
        <x:is>
          <x:t xml:space="preserve">Kanalweg 40/42, im Hardtwaldzentrum, 76149 Karlsruhe, Deutschland</x:t>
        </x:is>
      </x:c>
      <x:c r="Y25" s="4" t="inlineStr">
        <x:is>
          <x:t xml:space="preserve">https://www.teilhabeberatung.de/beratung/beratungsangebote-der-eutb</x:t>
        </x:is>
      </x:c>
      <x:c r="Z25" s="4" t="inlineStr">
        <x:is>
          <x:t xml:space="preserve">2026-08-22</x:t>
        </x:is>
      </x:c>
      <x:c r="AA25" s="4" t="inlineStr">
        <x:is>
          <x:t xml:space="preserve">Nordbaden / Karlsruhe-Pforzheim</x:t>
        </x:is>
      </x:c>
      <x:c r="AB25" s="4" t="inlineStr">
        <x:is>
          <x:t xml:space="preserve">MASTER – Kontaktdaten/Adresse geprüft</x:t>
        </x:is>
      </x:c>
      <x:c r="AC25" s="4" t="n"/>
      <x:c r="AD25" s="4" t="inlineStr">
        <x:is>
          <x:t xml:space="preserve">Öffentliche Adress-/Kartenquelle; Abgleich mit offizieller EUTB-Hausadresse</x:t>
        </x:is>
      </x:c>
      <x:c r="AE25" s="4" t="inlineStr">
        <x:is>
          <x:t xml:space="preserve">2026-08-23</x:t>
        </x:is>
      </x:c>
    </x:row>
    <x:row r="26">
      <x:c r="A26" s="4" t="inlineStr">
        <x:is>
          <x:t xml:space="preserve">EUTB-025</x:t>
        </x:is>
      </x:c>
      <x:c r="B26" s="4" t="inlineStr">
        <x:is>
          <x:t xml:space="preserve">Beratung / Teilhabe</x:t>
        </x:is>
      </x:c>
      <x:c r="C26" s="4" t="inlineStr">
        <x:is>
          <x:t xml:space="preserve">EUTB / unabhängige Teilhabeberatung</x:t>
        </x:is>
      </x:c>
      <x:c r="D26" s="4" t="inlineStr">
        <x:is>
          <x:t xml:space="preserve">Hauptstelle/Angebot</x:t>
        </x:is>
      </x:c>
      <x:c r="E26" s="4" t="inlineStr">
        <x:is>
          <x:t xml:space="preserve">EUTB Karlsruhe Land der AGBO e.V. – Standort Bruchsal</x:t>
        </x:is>
      </x:c>
      <x:c r="F26" s="4" t="inlineStr">
        <x:is>
          <x:t xml:space="preserve">AGBO e.V.</x:t>
        </x:is>
      </x:c>
      <x:c r="G26" s="4" t="inlineStr">
        <x:is>
          <x:t xml:space="preserve">Werner-von-Siemens-Straße 2-6</x:t>
        </x:is>
      </x:c>
      <x:c r="H26" s="4" t="inlineStr">
        <x:is>
          <x:t xml:space="preserve">Gebäude 5108, EG</x:t>
        </x:is>
      </x:c>
      <x:c r="I26" s="4" t="inlineStr">
        <x:is>
          <x:t xml:space="preserve">76646</x:t>
        </x:is>
      </x:c>
      <x:c r="J26" s="4" t="inlineStr">
        <x:is>
          <x:t xml:space="preserve">Bruchsal</x:t>
        </x:is>
      </x:c>
      <x:c r="K26" s="4" t="inlineStr">
        <x:is>
          <x:t xml:space="preserve">Baden-Württemberg</x:t>
        </x:is>
      </x:c>
      <x:c r="L26" s="4" t="inlineStr">
        <x:is>
          <x:t xml:space="preserve">0781 289488 30</x:t>
        </x:is>
      </x:c>
      <x:c r="M26" s="4" t="n"/>
      <x:c r="N26" s="4" t="inlineStr">
        <x:is>
          <x:t xml:space="preserve">eutb@agbo.info</x:t>
        </x:is>
      </x:c>
      <x:c r="O26" s="4" t="inlineStr">
        <x:is>
          <x:t xml:space="preserve">https://www.eutb-agbo.de</x:t>
        </x:is>
      </x:c>
      <x:c r="P26" s="4" t="inlineStr">
        <x:is>
          <x:t xml:space="preserve">B und besser</x:t>
        </x:is>
      </x:c>
      <x:c r="Q26" s="4" t="n"/>
      <x:c r="R26" s="4" t="n"/>
      <x:c r="S26" s="4" t="inlineStr">
        <x:is>
          <x:t xml:space="preserve">Telefonische Terminvereinbarung: Montag und Mittwoch von 8.30 Uhr bis 10.30 Uhr und Donnerstag von 12 Uhr bis 15 Uhr.
Offene Sprechstunde: Jeden Donnerstag von 10 Uhr bis 11:30 Uhr.
Beratungen nach Terminvereinbarung.</x:t>
        </x:is>
      </x:c>
      <x:c r="T26" s="4" t="n">
        <x:v>49.1278321</x:v>
      </x:c>
      <x:c r="U26" s="4" t="n">
        <x:v>8.588521699999999</x:v>
      </x:c>
      <x:c r="V26" s="4" t="inlineStr">
        <x:is>
          <x:t xml:space="preserve">B</x:t>
        </x:is>
      </x:c>
      <x:c r="W26" s="4" t="inlineStr">
        <x:is>
          <x:t xml:space="preserve">Stufe B – Hausadresse Werner-von-Siemens-Straße 2-6 exakt verifiziert</x:t>
        </x:is>
      </x:c>
      <x:c r="X26" s="4" t="inlineStr">
        <x:is>
          <x:t xml:space="preserve">Werner-von-Siemens-Straße 2-6, Gebäude 5108, EG, 76646 Bruchsal, Deutschland</x:t>
        </x:is>
      </x:c>
      <x:c r="Y26" s="4" t="inlineStr">
        <x:is>
          <x:t xml:space="preserve">https://www.teilhabeberatung.de/beratung/beratungsangebote-der-eutb</x:t>
        </x:is>
      </x:c>
      <x:c r="Z26" s="4" t="inlineStr">
        <x:is>
          <x:t xml:space="preserve">2026-08-22</x:t>
        </x:is>
      </x:c>
      <x:c r="AA26" s="4" t="inlineStr">
        <x:is>
          <x:t xml:space="preserve">Nordbaden / Karlsruhe-Pforzheim</x:t>
        </x:is>
      </x:c>
      <x:c r="AB26" s="4" t="inlineStr">
        <x:is>
          <x:t xml:space="preserve">MASTER – Kontaktdaten/Adresse geprüft</x:t>
        </x:is>
      </x:c>
      <x:c r="AC26" s="4" t="inlineStr">
        <x:is>
          <x:t xml:space="preserve">Offizieller Bruchsaler EUTB-Standort AGBO e.V.; PRO-RETINA-Datensatz entfernt.</x:t>
        </x:is>
      </x:c>
      <x:c r="AD26" s="4" t="inlineStr">
        <x:is>
          <x:t xml:space="preserve">Nutzerverifizierte EUTB-Adresse; Adresspunkt unabhängig bestätigt (Auskunft/Adressquelle)</x:t>
        </x:is>
      </x:c>
      <x:c r="AE26" s="4" t="inlineStr">
        <x:is>
          <x:t xml:space="preserve">2026-08-23</x:t>
        </x:is>
      </x:c>
    </x:row>
    <x:row r="27">
      <x:c r="A27" s="4" t="inlineStr">
        <x:is>
          <x:t xml:space="preserve">EUTB-026</x:t>
        </x:is>
      </x:c>
      <x:c r="B27" s="4" t="inlineStr">
        <x:is>
          <x:t xml:space="preserve">Beratung / Teilhabe</x:t>
        </x:is>
      </x:c>
      <x:c r="C27" s="4" t="inlineStr">
        <x:is>
          <x:t xml:space="preserve">EUTB / unabhängige Teilhabeberatung</x:t>
        </x:is>
      </x:c>
      <x:c r="D27" s="4" t="inlineStr">
        <x:is>
          <x:t xml:space="preserve">Standort</x:t>
        </x:is>
      </x:c>
      <x:c r="E27" s="4" t="inlineStr">
        <x:is>
          <x:t xml:space="preserve">Gesellschaft für Mukopolysaccharidosen e.V. - Aschaffenburg</x:t>
        </x:is>
      </x:c>
      <x:c r="F27" s="4" t="n"/>
      <x:c r="G27" s="4" t="inlineStr">
        <x:is>
          <x:t xml:space="preserve">Herstallstraße 35</x:t>
        </x:is>
      </x:c>
      <x:c r="H27" s="4" t="n"/>
      <x:c r="I27" s="4" t="inlineStr">
        <x:is>
          <x:t xml:space="preserve">63739</x:t>
        </x:is>
      </x:c>
      <x:c r="J27" s="4" t="inlineStr">
        <x:is>
          <x:t xml:space="preserve">Aschaffenburg</x:t>
        </x:is>
      </x:c>
      <x:c r="K27" s="4" t="inlineStr">
        <x:is>
          <x:t xml:space="preserve">Bayern</x:t>
        </x:is>
      </x:c>
      <x:c r="L27" s="4" t="inlineStr">
        <x:is>
          <x:t xml:space="preserve">06021 44636 20</x:t>
        </x:is>
      </x:c>
      <x:c r="M27" s="4" t="n"/>
      <x:c r="N27" s="4" t="inlineStr">
        <x:is>
          <x:t xml:space="preserve">info@eutb-aschaffenburg.de</x:t>
        </x:is>
      </x:c>
      <x:c r="O27" s="4" t="inlineStr">
        <x:is>
          <x:t xml:space="preserve">https://www.eutb-aschaffenburg.de/</x:t>
        </x:is>
      </x:c>
      <x:c r="P27" s="4" t="n"/>
      <x:c r="Q27" s="4" t="n"/>
      <x:c r="R27" s="4" t="n"/>
      <x:c r="S27" s="4" t="inlineStr">
        <x:is>
          <x:t xml:space="preserve">Dienstag von 09:30 Uhr bis 14:30 Uhr
Mittwoch von 09:30 Uhr bis 13:00 Uhr
Donnerstag von 09:30 Uhr bis 14:30 Uhr
Termine sind nach vorheriger telefonischer Vereinbarung möglich.
Hinweis:
Die Räumlichkeiten in der Herstallstraße verfügen über einen nicht rollstuhlgerechten Aufzug.
Für rollstuhlnutzende Personen organisieren wir gerne die Beratung in den barrierefreien Räumlichkeiten des Kinderhospiz und Aktivbüro. 
Bitte kontaktieren Sie uns, sodass wir eine Beratung vor Ort planen können.</x:t>
        </x:is>
      </x:c>
      <x:c r="T27" s="4" t="n"/>
      <x:c r="U27" s="4" t="n"/>
      <x:c r="V27" s="4" t="inlineStr">
        <x:is>
          <x:t xml:space="preserve">B-Adresse</x:t>
        </x:is>
      </x:c>
      <x:c r="W27" s="4" t="inlineStr">
        <x:is>
          <x:t xml:space="preserve">Hausadresse offiziell bestätigt; Koordinate in dieser Revision nicht belastbar als Hauspunkt extrahierbar – nicht geschätzt</x:t>
        </x:is>
      </x:c>
      <x:c r="X27" s="4" t="inlineStr">
        <x:is>
          <x:t xml:space="preserve">Herstallstraße 35, 63739 Aschaffenburg, Deutschland</x:t>
        </x:is>
      </x:c>
      <x:c r="Y27" s="4" t="inlineStr">
        <x:is>
          <x:t xml:space="preserve">https://www.teilhabeberatung.de/beratung/beratungsangebote-der-eutb</x:t>
        </x:is>
      </x:c>
      <x:c r="Z27" s="4" t="inlineStr">
        <x:is>
          <x:t xml:space="preserve">2026-08-22</x:t>
        </x:is>
      </x:c>
      <x:c r="AA27" s="4" t="inlineStr">
        <x:is>
          <x:t xml:space="preserve">Unterfränkischer Randbereich</x:t>
        </x:is>
      </x:c>
      <x:c r="AB27" s="4" t="inlineStr">
        <x:is>
          <x:t xml:space="preserve">MASTER – Kontaktdaten/Adresse geprüft</x:t>
        </x:is>
      </x:c>
      <x:c r="AC27" s="4" t="n"/>
      <x:c r="AD27" s="4" t="inlineStr">
        <x:is>
          <x:t xml:space="preserve">Offizieller EUTB-Beratungsatlas / Betreiberadresse; Koordinate bewusst offen</x:t>
        </x:is>
      </x:c>
      <x:c r="AE27" s="4" t="inlineStr">
        <x:is>
          <x:t xml:space="preserve">2026-08-23</x:t>
        </x:is>
      </x:c>
    </x:row>
    <x:row r="28">
      <x:c r="A28" s="4" t="inlineStr">
        <x:is>
          <x:t xml:space="preserve">EUTB-027</x:t>
        </x:is>
      </x:c>
      <x:c r="B28" s="4" t="inlineStr">
        <x:is>
          <x:t xml:space="preserve">Beratung / Teilhabe</x:t>
        </x:is>
      </x:c>
      <x:c r="C28" s="4" t="inlineStr">
        <x:is>
          <x:t xml:space="preserve">EUTB / unabhängige Teilhabeberatung</x:t>
        </x:is>
      </x:c>
      <x:c r="D28" s="4" t="inlineStr">
        <x:is>
          <x:t xml:space="preserve">Standort</x:t>
        </x:is>
      </x:c>
      <x:c r="E28" s="4" t="inlineStr">
        <x:is>
          <x:t xml:space="preserve">Gesellschaft für Mukopolysaccharidosen e.V. - LK Aschaffenburg</x:t>
        </x:is>
      </x:c>
      <x:c r="F28" s="4" t="n"/>
      <x:c r="G28" s="4" t="inlineStr">
        <x:is>
          <x:t xml:space="preserve">Hanauer Straße 7</x:t>
        </x:is>
      </x:c>
      <x:c r="H28" s="4" t="n"/>
      <x:c r="I28" s="4" t="inlineStr">
        <x:is>
          <x:t xml:space="preserve">63755</x:t>
        </x:is>
      </x:c>
      <x:c r="J28" s="4" t="inlineStr">
        <x:is>
          <x:t xml:space="preserve">Alzenau</x:t>
        </x:is>
      </x:c>
      <x:c r="K28" s="4" t="inlineStr">
        <x:is>
          <x:t xml:space="preserve">Bayern</x:t>
        </x:is>
      </x:c>
      <x:c r="L28" s="4" t="inlineStr">
        <x:is>
          <x:t xml:space="preserve">06021 44636 20</x:t>
        </x:is>
      </x:c>
      <x:c r="M28" s="4" t="n"/>
      <x:c r="N28" s="4" t="inlineStr">
        <x:is>
          <x:t xml:space="preserve">info@eutb-aschaffenburg.de</x:t>
        </x:is>
      </x:c>
      <x:c r="O28" s="4" t="inlineStr">
        <x:is>
          <x:t xml:space="preserve">https://www.eutb-aschaffenburg.de/</x:t>
        </x:is>
      </x:c>
      <x:c r="P28" s="4" t="n"/>
      <x:c r="Q28" s="4" t="n"/>
      <x:c r="R28" s="4" t="n"/>
      <x:c r="S28" s="4" t="inlineStr">
        <x:is>
          <x:t xml:space="preserve">Montag von 9.30 Uhr bis 14.00 Uhr  
Freitag von 9.30 Uhr bis 13.00 Uhr
Beratungen sind nur nach Termin-Absprache möglich.</x:t>
        </x:is>
      </x:c>
      <x:c r="T28" s="4" t="n"/>
      <x:c r="U28" s="4" t="n"/>
      <x:c r="V28" s="4" t="inlineStr">
        <x:is>
          <x:t xml:space="preserve">B-Adresse</x:t>
        </x:is>
      </x:c>
      <x:c r="W28" s="4" t="inlineStr">
        <x:is>
          <x:t xml:space="preserve">Hausadresse offiziell bestätigt; Koordinate in dieser Revision nicht belastbar als Hauspunkt extrahierbar – nicht geschätzt</x:t>
        </x:is>
      </x:c>
      <x:c r="X28" s="4" t="inlineStr">
        <x:is>
          <x:t xml:space="preserve">Hanauer Straße 7, 63755 Alzenau, Deutschland</x:t>
        </x:is>
      </x:c>
      <x:c r="Y28" s="4" t="inlineStr">
        <x:is>
          <x:t xml:space="preserve">https://www.teilhabeberatung.de/beratung/beratungsangebote-der-eutb</x:t>
        </x:is>
      </x:c>
      <x:c r="Z28" s="4" t="inlineStr">
        <x:is>
          <x:t xml:space="preserve">2026-08-22</x:t>
        </x:is>
      </x:c>
      <x:c r="AA28" s="4" t="inlineStr">
        <x:is>
          <x:t xml:space="preserve">Unterfränkischer Randbereich</x:t>
        </x:is>
      </x:c>
      <x:c r="AB28" s="4" t="inlineStr">
        <x:is>
          <x:t xml:space="preserve">MASTER – Kontaktdaten/Adresse geprüft</x:t>
        </x:is>
      </x:c>
      <x:c r="AC28" s="4" t="n"/>
      <x:c r="AD28" s="4" t="inlineStr">
        <x:is>
          <x:t xml:space="preserve">Offizieller EUTB-Beratungsatlas / Betreiberadresse; Koordinate bewusst offen</x:t>
        </x:is>
      </x:c>
      <x:c r="AE28" s="4" t="inlineStr">
        <x:is>
          <x:t xml:space="preserve">2026-08-23</x:t>
        </x:is>
      </x:c>
    </x:row>
    <x:row r="29">
      <x:c r="A29" s="4" t="inlineStr">
        <x:is>
          <x:t xml:space="preserve">EUTB-028</x:t>
        </x:is>
      </x:c>
      <x:c r="B29" s="4" t="inlineStr">
        <x:is>
          <x:t xml:space="preserve">Beratung / Teilhabe</x:t>
        </x:is>
      </x:c>
      <x:c r="C29" s="4" t="inlineStr">
        <x:is>
          <x:t xml:space="preserve">EUTB / unabhängige Teilhabeberatung</x:t>
        </x:is>
      </x:c>
      <x:c r="D29" s="4" t="inlineStr">
        <x:is>
          <x:t xml:space="preserve">Standort</x:t>
        </x:is>
      </x:c>
      <x:c r="E29" s="4" t="inlineStr">
        <x:is>
          <x:t xml:space="preserve">Gesellschaft für Mukopolysaccharidosen e.V. - Schöllkrippen</x:t>
        </x:is>
      </x:c>
      <x:c r="F29" s="4" t="n"/>
      <x:c r="G29" s="4" t="inlineStr">
        <x:is>
          <x:t xml:space="preserve">Vormwalder Straße 1</x:t>
        </x:is>
      </x:c>
      <x:c r="H29" s="4" t="n"/>
      <x:c r="I29" s="4" t="inlineStr">
        <x:is>
          <x:t xml:space="preserve">63825</x:t>
        </x:is>
      </x:c>
      <x:c r="J29" s="4" t="inlineStr">
        <x:is>
          <x:t xml:space="preserve">Schöllkrippen</x:t>
        </x:is>
      </x:c>
      <x:c r="K29" s="4" t="inlineStr">
        <x:is>
          <x:t xml:space="preserve">Bayern</x:t>
        </x:is>
      </x:c>
      <x:c r="L29" s="4" t="inlineStr">
        <x:is>
          <x:t xml:space="preserve">06021 44636 20</x:t>
        </x:is>
      </x:c>
      <x:c r="M29" s="4" t="n"/>
      <x:c r="N29" s="4" t="inlineStr">
        <x:is>
          <x:t xml:space="preserve">info@eutb-aschaffenburg.de</x:t>
        </x:is>
      </x:c>
      <x:c r="O29" s="4" t="n"/>
      <x:c r="P29" s="4" t="n"/>
      <x:c r="Q29" s="4" t="n"/>
      <x:c r="R29" s="4" t="n"/>
      <x:c r="S29" s="4" t="inlineStr">
        <x:is>
          <x:t xml:space="preserve">nur nach telefonischer Terminabsprache</x:t>
        </x:is>
      </x:c>
      <x:c r="T29" s="4" t="n"/>
      <x:c r="U29" s="4" t="n"/>
      <x:c r="V29" s="4" t="inlineStr">
        <x:is>
          <x:t xml:space="preserve">B-Adresse</x:t>
        </x:is>
      </x:c>
      <x:c r="W29" s="4" t="inlineStr">
        <x:is>
          <x:t xml:space="preserve">Hausadresse offiziell bestätigt; Koordinate in dieser Revision nicht belastbar als Hauspunkt extrahierbar – nicht geschätzt</x:t>
        </x:is>
      </x:c>
      <x:c r="X29" s="4" t="inlineStr">
        <x:is>
          <x:t xml:space="preserve">Vormwalder Straße 1, 63825 Schöllkrippen, Deutschland</x:t>
        </x:is>
      </x:c>
      <x:c r="Y29" s="4" t="inlineStr">
        <x:is>
          <x:t xml:space="preserve">https://www.teilhabeberatung.de/beratung/beratungsangebote-der-eutb</x:t>
        </x:is>
      </x:c>
      <x:c r="Z29" s="4" t="inlineStr">
        <x:is>
          <x:t xml:space="preserve">2026-08-22</x:t>
        </x:is>
      </x:c>
      <x:c r="AA29" s="4" t="inlineStr">
        <x:is>
          <x:t xml:space="preserve">Unterfränkischer Randbereich</x:t>
        </x:is>
      </x:c>
      <x:c r="AB29" s="4" t="inlineStr">
        <x:is>
          <x:t xml:space="preserve">MASTER – Kontaktdaten/Adresse geprüft</x:t>
        </x:is>
      </x:c>
      <x:c r="AC29" s="4" t="n"/>
      <x:c r="AD29" s="4" t="inlineStr">
        <x:is>
          <x:t xml:space="preserve">Offizieller EUTB-Beratungsatlas / Betreiberadresse; Koordinate bewusst offen</x:t>
        </x:is>
      </x:c>
      <x:c r="AE29" s="4" t="inlineStr">
        <x:is>
          <x:t xml:space="preserve">2026-08-23</x:t>
        </x:is>
      </x:c>
    </x:row>
    <x:row r="30">
      <x:c r="A30" s="4" t="inlineStr">
        <x:is>
          <x:t xml:space="preserve">EUTB-029</x:t>
        </x:is>
      </x:c>
      <x:c r="B30" s="4" t="inlineStr">
        <x:is>
          <x:t xml:space="preserve">Beratung / Teilhabe</x:t>
        </x:is>
      </x:c>
      <x:c r="C30" s="4" t="inlineStr">
        <x:is>
          <x:t xml:space="preserve">EUTB / unabhängige Teilhabeberatung</x:t>
        </x:is>
      </x:c>
      <x:c r="D30" s="4" t="inlineStr">
        <x:is>
          <x:t xml:space="preserve">Hauptstelle/Angebot</x:t>
        </x:is>
      </x:c>
      <x:c r="E30" s="4" t="inlineStr">
        <x:is>
          <x:t xml:space="preserve">Ergänzende Unabhängige Teilhabe Beratung Miltenberg</x:t>
        </x:is>
      </x:c>
      <x:c r="F30" s="4" t="n"/>
      <x:c r="G30" s="4" t="inlineStr">
        <x:is>
          <x:t xml:space="preserve">Luitpoldstr. 1</x:t>
        </x:is>
      </x:c>
      <x:c r="H30" s="4" t="inlineStr">
        <x:is>
          <x:t xml:space="preserve">2. OG (barrierefreie Parkplätze und Aufzug vorhanden)</x:t>
        </x:is>
      </x:c>
      <x:c r="I30" s="4" t="inlineStr">
        <x:is>
          <x:t xml:space="preserve">63897</x:t>
        </x:is>
      </x:c>
      <x:c r="J30" s="4" t="inlineStr">
        <x:is>
          <x:t xml:space="preserve">Miltenberg</x:t>
        </x:is>
      </x:c>
      <x:c r="K30" s="4" t="inlineStr">
        <x:is>
          <x:t xml:space="preserve">Bayern</x:t>
        </x:is>
      </x:c>
      <x:c r="L30" s="4" t="str">
        <x:v>09371 9493487</x:v>
      </x:c>
      <x:c r="M30" s="4" t="n"/>
      <x:c r="N30" s="4" t="inlineStr">
        <x:is>
          <x:t xml:space="preserve">eutb@awo-unterfranken.de</x:t>
        </x:is>
      </x:c>
      <x:c r="O30" s="4" t="inlineStr">
        <x:is>
          <x:t xml:space="preserve">https://www.awo-unterfranken.de/einrichtungen/ergaenzende-unabhaengige-teilhabeberatung/allgemeine-informationen.html</x:t>
        </x:is>
      </x:c>
      <x:c r="P30" s="4" t="n"/>
      <x:c r="Q30" s="4" t="n"/>
      <x:c r="R30" s="4" t="n"/>
      <x:c r="S30" s="4" t="inlineStr">
        <x:is>
          <x:t xml:space="preserve">Montag bis Freitag 9 Uhr bis 14 Uhr und nach Vereinbarung</x:t>
        </x:is>
      </x:c>
      <x:c r="T30" s="4" t="n"/>
      <x:c r="U30" s="4" t="n"/>
      <x:c r="V30" s="4" t="inlineStr">
        <x:is>
          <x:t xml:space="preserve">B-Adresse</x:t>
        </x:is>
      </x:c>
      <x:c r="W30" s="4" t="inlineStr">
        <x:is>
          <x:t xml:space="preserve">Hausadresse offiziell bestätigt; Koordinate in dieser Revision nicht belastbar als Hauspunkt extrahierbar – nicht geschätzt</x:t>
        </x:is>
      </x:c>
      <x:c r="X30" s="4" t="inlineStr">
        <x:is>
          <x:t xml:space="preserve">Luitpoldstr. 1, 2. OG (barrierefreie Parkplätze und Aufzug vorhanden), 63897 Miltenberg, Deutschland</x:t>
        </x:is>
      </x:c>
      <x:c r="Y30" s="4" t="inlineStr">
        <x:is>
          <x:t xml:space="preserve">https://www.teilhabeberatung.de/beratung/beratungsangebote-der-eutb</x:t>
        </x:is>
      </x:c>
      <x:c r="Z30" s="4" t="inlineStr">
        <x:is>
          <x:t xml:space="preserve">2026-08-22</x:t>
        </x:is>
      </x:c>
      <x:c r="AA30" s="4" t="inlineStr">
        <x:is>
          <x:t xml:space="preserve">Unterfränkischer Randbereich</x:t>
        </x:is>
      </x:c>
      <x:c r="AB30" s="4" t="inlineStr">
        <x:is>
          <x:t xml:space="preserve">MASTER – Kontaktdaten/Adresse geprüft</x:t>
        </x:is>
      </x:c>
      <x:c r="AC30" s="4" t="str">
        <x:v>Telefon durch aktuelle AWO-Unterfranken-Veröffentlichung bestätigt.</x:v>
      </x:c>
      <x:c r="AD30" s="4" t="inlineStr">
        <x:is>
          <x:t xml:space="preserve">Offizieller EUTB-Beratungsatlas / Betreiberadresse; Koordinate bewusst offen</x:t>
        </x:is>
      </x:c>
      <x:c r="AE30" s="4" t="inlineStr">
        <x:is>
          <x:t xml:space="preserve">2026-08-23</x:t>
        </x:is>
      </x:c>
    </x:row>
    <x:row r="31">
      <x:c r="A31" s="4" t="inlineStr">
        <x:is>
          <x:t xml:space="preserve">EUTB-030</x:t>
        </x:is>
      </x:c>
      <x:c r="B31" s="4" t="inlineStr">
        <x:is>
          <x:t xml:space="preserve">Beratung / Teilhabe</x:t>
        </x:is>
      </x:c>
      <x:c r="C31" s="4" t="inlineStr">
        <x:is>
          <x:t xml:space="preserve">EUTB / unabhängige Teilhabeberatung</x:t>
        </x:is>
      </x:c>
      <x:c r="D31" s="4" t="inlineStr">
        <x:is>
          <x:t xml:space="preserve">Hauptstelle/Angebot</x:t>
        </x:is>
      </x:c>
      <x:c r="E31" s="4" t="inlineStr">
        <x:is>
          <x:t xml:space="preserve">EUTB Assiston e.V. Würzburg</x:t>
        </x:is>
      </x:c>
      <x:c r="F31" s="4" t="n"/>
      <x:c r="G31" s="4" t="inlineStr">
        <x:is>
          <x:t xml:space="preserve">Pleichertorstraße 3</x:t>
        </x:is>
      </x:c>
      <x:c r="H31" s="4" t="n"/>
      <x:c r="I31" s="4" t="inlineStr">
        <x:is>
          <x:t xml:space="preserve">97070</x:t>
        </x:is>
      </x:c>
      <x:c r="J31" s="4" t="inlineStr">
        <x:is>
          <x:t xml:space="preserve">Würzburg</x:t>
        </x:is>
      </x:c>
      <x:c r="K31" s="4" t="inlineStr">
        <x:is>
          <x:t xml:space="preserve">Bayern</x:t>
        </x:is>
      </x:c>
      <x:c r="L31" s="4" t="inlineStr">
        <x:is>
          <x:t xml:space="preserve">0931 46621235</x:t>
        </x:is>
      </x:c>
      <x:c r="M31" s="4" t="n"/>
      <x:c r="N31" s="4" t="inlineStr">
        <x:is>
          <x:t xml:space="preserve">franziska.hecht@assiston.de</x:t>
        </x:is>
      </x:c>
      <x:c r="O31" s="4" t="inlineStr">
        <x:is>
          <x:t xml:space="preserve">https://www.teilhabeberatung-wuerzburg.de</x:t>
        </x:is>
      </x:c>
      <x:c r="P31" s="4" t="n"/>
      <x:c r="Q31" s="4" t="n"/>
      <x:c r="R31" s="4" t="n"/>
      <x:c r="S31" s="4" t="inlineStr">
        <x:is>
          <x:t xml:space="preserve">Montag bis Donnerstag: 9:00 - 14:00
Freitag: 9:00 - 12:00
Außerhalb der Öffnungszeiten: Nach Vereinbarung</x:t>
        </x:is>
      </x:c>
      <x:c r="T31" s="4" t="n">
        <x:v>49.7979022</x:v>
      </x:c>
      <x:c r="U31" s="4" t="n">
        <x:v>9.926065100000001</x:v>
      </x:c>
      <x:c r="V31" s="4" t="inlineStr">
        <x:is>
          <x:t xml:space="preserve">B</x:t>
        </x:is>
      </x:c>
      <x:c r="W31" s="4" t="inlineStr">
        <x:is>
          <x:t xml:space="preserve">Stufe B – Pleichertorstraße 3 – exakter Hauspunkt verifiziert</x:t>
        </x:is>
      </x:c>
      <x:c r="X31" s="4" t="inlineStr">
        <x:is>
          <x:t xml:space="preserve">Pleichertorstraße 3, 97070 Würzburg, Deutschland</x:t>
        </x:is>
      </x:c>
      <x:c r="Y31" s="4" t="inlineStr">
        <x:is>
          <x:t xml:space="preserve">https://www.teilhabeberatung.de/beratung/beratungsangebote-der-eutb</x:t>
        </x:is>
      </x:c>
      <x:c r="Z31" s="4" t="inlineStr">
        <x:is>
          <x:t xml:space="preserve">2026-08-22</x:t>
        </x:is>
      </x:c>
      <x:c r="AA31" s="4" t="inlineStr">
        <x:is>
          <x:t xml:space="preserve">Unterfränkischer Randbereich</x:t>
        </x:is>
      </x:c>
      <x:c r="AB31" s="4" t="inlineStr">
        <x:is>
          <x:t xml:space="preserve">MASTER – Kontaktdaten/Adresse geprüft</x:t>
        </x:is>
      </x:c>
      <x:c r="AC31" s="4" t="n"/>
      <x:c r="AD31" s="4" t="inlineStr">
        <x:is>
          <x:t xml:space="preserve">Webrecherche 23.08.2026: Adress-/Kartenquelle Pleichertorstraße 3</x:t>
        </x:is>
      </x:c>
      <x:c r="AE31" s="4" t="inlineStr">
        <x:is>
          <x:t xml:space="preserve">2026-08-23</x:t>
        </x:is>
      </x:c>
    </x:row>
    <x:row r="32">
      <x:c r="A32" s="4" t="inlineStr">
        <x:is>
          <x:t xml:space="preserve">EUTB-031</x:t>
        </x:is>
      </x:c>
      <x:c r="B32" s="4" t="inlineStr">
        <x:is>
          <x:t xml:space="preserve">Beratung / Teilhabe</x:t>
        </x:is>
      </x:c>
      <x:c r="C32" s="4" t="inlineStr">
        <x:is>
          <x:t xml:space="preserve">EUTB / unabhängige Teilhabeberatung</x:t>
        </x:is>
      </x:c>
      <x:c r="D32" s="4" t="inlineStr">
        <x:is>
          <x:t xml:space="preserve">Standort</x:t>
        </x:is>
      </x:c>
      <x:c r="E32" s="4" t="inlineStr">
        <x:is>
          <x:t xml:space="preserve">EUTB WüSL - Karlstadt</x:t>
        </x:is>
      </x:c>
      <x:c r="F32" s="4" t="inlineStr">
        <x:is>
          <x:t xml:space="preserve">WüSL</x:t>
        </x:is>
      </x:c>
      <x:c r="G32" s="4" t="inlineStr">
        <x:is>
          <x:t xml:space="preserve">Alte Bahnhofstraße 12</x:t>
        </x:is>
      </x:c>
      <x:c r="H32" s="4" t="n"/>
      <x:c r="I32" s="4" t="inlineStr">
        <x:is>
          <x:t xml:space="preserve">97753</x:t>
        </x:is>
      </x:c>
      <x:c r="J32" s="4" t="inlineStr">
        <x:is>
          <x:t xml:space="preserve">Karlstadt</x:t>
        </x:is>
      </x:c>
      <x:c r="K32" s="4" t="inlineStr">
        <x:is>
          <x:t xml:space="preserve">Bayern</x:t>
        </x:is>
      </x:c>
      <x:c r="L32" s="4" t="inlineStr">
        <x:is>
          <x:t xml:space="preserve">09353 989 9020</x:t>
        </x:is>
      </x:c>
      <x:c r="M32" s="4" t="n"/>
      <x:c r="N32" s="4" t="inlineStr">
        <x:is>
          <x:t xml:space="preserve">eutb@wuesl.de</x:t>
        </x:is>
      </x:c>
      <x:c r="O32" s="4" t="inlineStr">
        <x:is>
          <x:t xml:space="preserve">https://www.eutb.wuesl.de</x:t>
        </x:is>
      </x:c>
      <x:c r="P32" s="4" t="n"/>
      <x:c r="Q32" s="4" t="n"/>
      <x:c r="R32" s="4" t="n"/>
      <x:c r="S32" s="4" t="n"/>
      <x:c r="T32" s="4" t="n">
        <x:v>49.96136</x:v>
      </x:c>
      <x:c r="U32" s="4" t="n">
        <x:v>9.765643000000001</x:v>
      </x:c>
      <x:c r="V32" s="4" t="inlineStr">
        <x:is>
          <x:t xml:space="preserve">B</x:t>
        </x:is>
      </x:c>
      <x:c r="W32" s="4" t="inlineStr">
        <x:is>
          <x:t xml:space="preserve">Stufe B – exakter Hauspunkt Alte Bahnhofstraße 12 verifiziert</x:t>
        </x:is>
      </x:c>
      <x:c r="X32" s="4" t="inlineStr">
        <x:is>
          <x:t xml:space="preserve">Alte Bahnhofstraße 12, 97753 Karlstadt, Deutschland</x:t>
        </x:is>
      </x:c>
      <x:c r="Y32" s="4" t="inlineStr">
        <x:is>
          <x:t xml:space="preserve">https://www.teilhabeberatung.de/beratung/beratungsangebote-der-eutb</x:t>
        </x:is>
      </x:c>
      <x:c r="Z32" s="4" t="inlineStr">
        <x:is>
          <x:t xml:space="preserve">2026-08-22</x:t>
        </x:is>
      </x:c>
      <x:c r="AA32" s="4" t="inlineStr">
        <x:is>
          <x:t xml:space="preserve">Unterfränkischer Randbereich</x:t>
        </x:is>
      </x:c>
      <x:c r="AB32" s="4" t="inlineStr">
        <x:is>
          <x:t xml:space="preserve">MASTER – Kontaktdaten/Adresse geprüft</x:t>
        </x:is>
      </x:c>
      <x:c r="AC32" s="4" t="n"/>
      <x:c r="AD32" s="4" t="inlineStr">
        <x:is>
          <x:t xml:space="preserve">Adress-/GPS-Quelle Alte Bahnhofstraße 12, Karlstadt; Abgleich mit offiziellem EUTB-Eintrag</x:t>
        </x:is>
      </x:c>
      <x:c r="AE32" s="4" t="inlineStr">
        <x:is>
          <x:t xml:space="preserve">2026-08-23</x:t>
        </x:is>
      </x:c>
    </x:row>
    <x:row r="33">
      <x:c r="A33" s="4" t="inlineStr">
        <x:is>
          <x:t xml:space="preserve">EUTB-032</x:t>
        </x:is>
      </x:c>
      <x:c r="B33" s="4" t="inlineStr">
        <x:is>
          <x:t xml:space="preserve">Beratung / Teilhabe</x:t>
        </x:is>
      </x:c>
      <x:c r="C33" s="4" t="inlineStr">
        <x:is>
          <x:t xml:space="preserve">EUTB / unabhängige Teilhabeberatung</x:t>
        </x:is>
      </x:c>
      <x:c r="D33" s="4" t="inlineStr">
        <x:is>
          <x:t xml:space="preserve">Standort</x:t>
        </x:is>
      </x:c>
      <x:c r="E33" s="4" t="inlineStr">
        <x:is>
          <x:t xml:space="preserve">EUTB der Gesellschaft für MPS e.V. - Karlstadt</x:t>
        </x:is>
      </x:c>
      <x:c r="F33" s="4" t="n"/>
      <x:c r="G33" s="4" t="inlineStr">
        <x:is>
          <x:t xml:space="preserve">Alte Bahnhofstrasse 12</x:t>
        </x:is>
      </x:c>
      <x:c r="H33" s="4" t="n"/>
      <x:c r="I33" s="4" t="inlineStr">
        <x:is>
          <x:t xml:space="preserve">97753</x:t>
        </x:is>
      </x:c>
      <x:c r="J33" s="4" t="inlineStr">
        <x:is>
          <x:t xml:space="preserve">Karlstadt</x:t>
        </x:is>
      </x:c>
      <x:c r="K33" s="4" t="inlineStr">
        <x:is>
          <x:t xml:space="preserve">Bayern</x:t>
        </x:is>
      </x:c>
      <x:c r="L33" s="4" t="inlineStr">
        <x:is>
          <x:t xml:space="preserve">09353 582 4999</x:t>
        </x:is>
      </x:c>
      <x:c r="M33" s="4" t="n"/>
      <x:c r="N33" s="4" t="inlineStr">
        <x:is>
          <x:t xml:space="preserve">info@eutb-main-spessart.de</x:t>
        </x:is>
      </x:c>
      <x:c r="O33" s="4" t="inlineStr">
        <x:is>
          <x:t xml:space="preserve">https://www.eutb-main-spessart.de</x:t>
        </x:is>
      </x:c>
      <x:c r="P33" s="4" t="n"/>
      <x:c r="Q33" s="4" t="n"/>
      <x:c r="R33" s="4" t="n"/>
      <x:c r="S33" s="4" t="inlineStr">
        <x:is>
          <x:t xml:space="preserve">Montag: 9 Uhr bis 14 Uhr
Donnerstag: 9 Uhr bis 14 Uhr
Freitag: 9 Uhr bis 13.30 Uhr
Offene Sprechstunde:
Montag: 12 Uhr bis 13 Uhr
Die telefonische Erreichbarkeit ist von:
Montag, Dienstag, Mittwoch, Donnerstag: 9 Uhr bis 14 Uhr
Freitag: 9 Uhr bis 13.30 Uhr</x:t>
        </x:is>
      </x:c>
      <x:c r="T33" s="4" t="n"/>
      <x:c r="U33" s="4" t="n"/>
      <x:c r="V33" s="4" t="inlineStr">
        <x:is>
          <x:t xml:space="preserve">B-Adresse</x:t>
        </x:is>
      </x:c>
      <x:c r="W33" s="4" t="inlineStr">
        <x:is>
          <x:t xml:space="preserve">Hausadresse offiziell bestätigt; Koordinate in dieser Revision nicht belastbar als Hauspunkt extrahierbar – nicht geschätzt</x:t>
        </x:is>
      </x:c>
      <x:c r="X33" s="4" t="inlineStr">
        <x:is>
          <x:t xml:space="preserve">Alte Bahnhofstrasse 12, 97753 Karlstadt, Deutschland</x:t>
        </x:is>
      </x:c>
      <x:c r="Y33" s="4" t="inlineStr">
        <x:is>
          <x:t xml:space="preserve">https://www.teilhabeberatung.de/beratung/beratungsangebote-der-eutb</x:t>
        </x:is>
      </x:c>
      <x:c r="Z33" s="4" t="inlineStr">
        <x:is>
          <x:t xml:space="preserve">2026-08-22</x:t>
        </x:is>
      </x:c>
      <x:c r="AA33" s="4" t="inlineStr">
        <x:is>
          <x:t xml:space="preserve">Unterfränkischer Randbereich</x:t>
        </x:is>
      </x:c>
      <x:c r="AB33" s="4" t="inlineStr">
        <x:is>
          <x:t xml:space="preserve">MASTER – Kontaktdaten/Adresse geprüft</x:t>
        </x:is>
      </x:c>
      <x:c r="AC33" s="4" t="n"/>
      <x:c r="AD33" s="4" t="inlineStr">
        <x:is>
          <x:t xml:space="preserve">Offizieller EUTB-Beratungsatlas / Betreiberadresse; Koordinate bewusst offen</x:t>
        </x:is>
      </x:c>
      <x:c r="AE33" s="4" t="inlineStr">
        <x:is>
          <x:t xml:space="preserve">2026-08-23</x:t>
        </x:is>
      </x:c>
    </x:row>
    <x:row r="34">
      <x:c r="A34" s="4" t="inlineStr">
        <x:is>
          <x:t xml:space="preserve">EUTB-033</x:t>
        </x:is>
      </x:c>
      <x:c r="B34" s="4" t="inlineStr">
        <x:is>
          <x:t xml:space="preserve">Beratung / Teilhabe</x:t>
        </x:is>
      </x:c>
      <x:c r="C34" s="4" t="inlineStr">
        <x:is>
          <x:t xml:space="preserve">EUTB / unabhängige Teilhabeberatung</x:t>
        </x:is>
      </x:c>
      <x:c r="D34" s="4" t="inlineStr">
        <x:is>
          <x:t xml:space="preserve">Hauptstelle/Angebot</x:t>
        </x:is>
      </x:c>
      <x:c r="E34" s="4" t="inlineStr">
        <x:is>
          <x:t xml:space="preserve">EUTB Frankfurt</x:t>
        </x:is>
      </x:c>
      <x:c r="F34" s="4" t="n"/>
      <x:c r="G34" s="4" t="inlineStr">
        <x:is>
          <x:t xml:space="preserve">Mörfelder Landstraße 6-8</x:t>
        </x:is>
      </x:c>
      <x:c r="H34" s="4" t="n"/>
      <x:c r="I34" s="4" t="inlineStr">
        <x:is>
          <x:t xml:space="preserve">60598</x:t>
        </x:is>
      </x:c>
      <x:c r="J34" s="4" t="inlineStr">
        <x:is>
          <x:t xml:space="preserve">Frankfurt</x:t>
        </x:is>
      </x:c>
      <x:c r="K34" s="4" t="inlineStr">
        <x:is>
          <x:t xml:space="preserve">Hessen</x:t>
        </x:is>
      </x:c>
      <x:c r="L34" s="4" t="inlineStr">
        <x:is>
          <x:t xml:space="preserve">069 15 05 96 81</x:t>
        </x:is>
      </x:c>
      <x:c r="M34" s="4" t="inlineStr">
        <x:is>
          <x:t xml:space="preserve">069 15 05 96 77</x:t>
        </x:is>
      </x:c>
      <x:c r="N34" s="4" t="inlineStr">
        <x:is>
          <x:t xml:space="preserve">frankfurt@bsbh-teilhabeberatung.org</x:t>
        </x:is>
      </x:c>
      <x:c r="O34" s="4" t="inlineStr">
        <x:is>
          <x:t xml:space="preserve">http://www.bsbh.org</x:t>
        </x:is>
      </x:c>
      <x:c r="P34" s="4" t="n"/>
      <x:c r="Q34" s="4" t="n"/>
      <x:c r="R34" s="4" t="n"/>
      <x:c r="S34" s="4" t="inlineStr">
        <x:is>
          <x:t xml:space="preserve">Offene Sprechstunde: 
Montag, Donnerstag 10:00 - 15:00 Uhr
Telefonische Erreichbarkeit: 
Montag, Dienstag, Donnerstag 10:00 - 16:00 Uhr
Mittwoch 10:00 - 17:00 Uhr</x:t>
        </x:is>
      </x:c>
      <x:c r="T34" s="4" t="n">
        <x:v>50.1006385</x:v>
      </x:c>
      <x:c r="U34" s="4" t="n">
        <x:v>8.6909714</x:v>
      </x:c>
      <x:c r="V34" s="4" t="inlineStr">
        <x:is>
          <x:t xml:space="preserve">B</x:t>
        </x:is>
      </x:c>
      <x:c r="W34" s="4" t="inlineStr">
        <x:is>
          <x:t xml:space="preserve">Stufe B – Mörfelder Landstraße 6-8 – exakter Adresspunkt verifiziert</x:t>
        </x:is>
      </x:c>
      <x:c r="X34" s="4" t="inlineStr">
        <x:is>
          <x:t xml:space="preserve">Mörfelder Landstraße 6-8, 60598 Frankfurt, Deutschland</x:t>
        </x:is>
      </x:c>
      <x:c r="Y34" s="4" t="inlineStr">
        <x:is>
          <x:t xml:space="preserve">https://www.teilhabeberatung.de/beratung/beratungsangebote-der-eutb</x:t>
        </x:is>
      </x:c>
      <x:c r="Z34" s="4" t="inlineStr">
        <x:is>
          <x:t xml:space="preserve">2026-08-22</x:t>
        </x:is>
      </x:c>
      <x:c r="AA34" s="4" t="inlineStr">
        <x:is>
          <x:t xml:space="preserve">Rhein-Main (regionaler Rand)</x:t>
        </x:is>
      </x:c>
      <x:c r="AB34" s="4" t="inlineStr">
        <x:is>
          <x:t xml:space="preserve">MASTER – Kontaktdaten/Adresse geprüft</x:t>
        </x:is>
      </x:c>
      <x:c r="AC34" s="4" t="n"/>
      <x:c r="AD34" s="4" t="inlineStr">
        <x:is>
          <x:t xml:space="preserve">Webrecherche 23.08.2026: exakter Adresspunkt Mörfelder Landstraße 6-8</x:t>
        </x:is>
      </x:c>
      <x:c r="AE34" s="4" t="inlineStr">
        <x:is>
          <x:t xml:space="preserve">2026-08-23</x:t>
        </x:is>
      </x:c>
    </x:row>
    <x:row r="35">
      <x:c r="A35" s="4" t="inlineStr">
        <x:is>
          <x:t xml:space="preserve">EUTB-034</x:t>
        </x:is>
      </x:c>
      <x:c r="B35" s="4" t="inlineStr">
        <x:is>
          <x:t xml:space="preserve">Beratung / Teilhabe</x:t>
        </x:is>
      </x:c>
      <x:c r="C35" s="4" t="inlineStr">
        <x:is>
          <x:t xml:space="preserve">EUTB / unabhängige Teilhabeberatung</x:t>
        </x:is>
      </x:c>
      <x:c r="D35" s="4" t="inlineStr">
        <x:is>
          <x:t xml:space="preserve">Standort</x:t>
        </x:is>
      </x:c>
      <x:c r="E35" s="4" t="inlineStr">
        <x:is>
          <x:t xml:space="preserve">EUTB Main-Kinzig-Kreis</x:t>
        </x:is>
      </x:c>
      <x:c r="F35" s="4" t="n"/>
      <x:c r="G35" s="4" t="inlineStr">
        <x:is>
          <x:t xml:space="preserve">Kurt-Blaum-Platz 2</x:t>
        </x:is>
      </x:c>
      <x:c r="H35" s="4" t="n"/>
      <x:c r="I35" s="4" t="inlineStr">
        <x:is>
          <x:t xml:space="preserve">63450</x:t>
        </x:is>
      </x:c>
      <x:c r="J35" s="4" t="inlineStr">
        <x:is>
          <x:t xml:space="preserve">Hanau</x:t>
        </x:is>
      </x:c>
      <x:c r="K35" s="4" t="inlineStr">
        <x:is>
          <x:t xml:space="preserve">Hessen</x:t>
        </x:is>
      </x:c>
      <x:c r="L35" s="4" t="inlineStr">
        <x:is>
          <x:t xml:space="preserve">06181 5045711</x:t>
        </x:is>
      </x:c>
      <x:c r="M35" s="4" t="inlineStr">
        <x:is>
          <x:t xml:space="preserve">06181 5045712</x:t>
        </x:is>
      </x:c>
      <x:c r="N35" s="4" t="inlineStr">
        <x:is>
          <x:t xml:space="preserve">info@eutb-mkk.de</x:t>
        </x:is>
      </x:c>
      <x:c r="O35" s="4" t="inlineStr">
        <x:is>
          <x:t xml:space="preserve">http://www.eutb-mkk.de</x:t>
        </x:is>
      </x:c>
      <x:c r="P35" s="4" t="n"/>
      <x:c r="Q35" s="4" t="n"/>
      <x:c r="R35" s="4" t="inlineStr">
        <x:is>
          <x:t xml:space="preserve">✔</x:t>
        </x:is>
      </x:c>
      <x:c r="S35" s="4" t="inlineStr">
        <x:is>
          <x:t xml:space="preserve">Geänderte Sprechzeiten in Hanau
Bis Ende September finden die Sprechstunden der EUTB in Hanau aufgrund der fehlenden Klimatisierung unserer Räume zu folgenden Zeiten statt:
Dienstag: 10:00 bis 12:00 Uhr
Donnerstag: 10:00 bis 12:00 Uhr
Individuelle Termine sind weiterhin nach Vereinbarung möglich.
Gelnhausen
montags 09:00 Uhr - 12:00 Uhr
Schlüchtern
mittwochs 09:00 Uhr - 12:00 Uhr</x:t>
        </x:is>
      </x:c>
      <x:c r="T35" s="4" t="n">
        <x:v>50.130731</x:v>
      </x:c>
      <x:c r="U35" s="4" t="n">
        <x:v>8.923639</x:v>
      </x:c>
      <x:c r="V35" s="4" t="inlineStr">
        <x:is>
          <x:t xml:space="preserve">B</x:t>
        </x:is>
      </x:c>
      <x:c r="W35" s="4" t="inlineStr">
        <x:is>
          <x:t xml:space="preserve">Stufe B – Kurt-Blaum-Platz 2 – exakter Hauspunkt verifiziert</x:t>
        </x:is>
      </x:c>
      <x:c r="X35" s="4" t="inlineStr">
        <x:is>
          <x:t xml:space="preserve">Kurt-Blaum-Platz 2, 63450 Hanau, Deutschland</x:t>
        </x:is>
      </x:c>
      <x:c r="Y35" s="4" t="inlineStr">
        <x:is>
          <x:t xml:space="preserve">https://www.teilhabeberatung.de/beratung/beratungsangebote-der-eutb</x:t>
        </x:is>
      </x:c>
      <x:c r="Z35" s="4" t="inlineStr">
        <x:is>
          <x:t xml:space="preserve">2026-08-22</x:t>
        </x:is>
      </x:c>
      <x:c r="AA35" s="4" t="inlineStr">
        <x:is>
          <x:t xml:space="preserve">Rhein-Main (regionaler Rand)</x:t>
        </x:is>
      </x:c>
      <x:c r="AB35" s="4" t="inlineStr">
        <x:is>
          <x:t xml:space="preserve">MASTER – Kontaktdaten/Adresse geprüft</x:t>
        </x:is>
      </x:c>
      <x:c r="AC35" s="4" t="n"/>
      <x:c r="AD35" s="4" t="inlineStr">
        <x:is>
          <x:t xml:space="preserve">Webrecherche 23.08.2026: Das Telefonbuch, Kurt-Blaum-Platz 2</x:t>
        </x:is>
      </x:c>
      <x:c r="AE35" s="4" t="inlineStr">
        <x:is>
          <x:t xml:space="preserve">2026-08-23</x:t>
        </x:is>
      </x:c>
    </x:row>
    <x:row r="36">
      <x:c r="A36" s="4" t="inlineStr">
        <x:is>
          <x:t xml:space="preserve">EUTB-035</x:t>
        </x:is>
      </x:c>
      <x:c r="B36" s="4" t="inlineStr">
        <x:is>
          <x:t xml:space="preserve">Beratung / Teilhabe</x:t>
        </x:is>
      </x:c>
      <x:c r="C36" s="4" t="inlineStr">
        <x:is>
          <x:t xml:space="preserve">EUTB / unabhängige Teilhabeberatung</x:t>
        </x:is>
      </x:c>
      <x:c r="D36" s="4" t="inlineStr">
        <x:is>
          <x:t xml:space="preserve">Standort</x:t>
        </x:is>
      </x:c>
      <x:c r="E36" s="4" t="inlineStr">
        <x:is>
          <x:t xml:space="preserve">EUTB Darmstadt/Landkreis Darmstadt-Dieburg</x:t>
        </x:is>
      </x:c>
      <x:c r="F36" s="4" t="n"/>
      <x:c r="G36" s="4" t="inlineStr">
        <x:is>
          <x:t xml:space="preserve">Rheinstraße 67</x:t>
        </x:is>
      </x:c>
      <x:c r="H36" s="4" t="n"/>
      <x:c r="I36" s="4" t="inlineStr">
        <x:is>
          <x:t xml:space="preserve">64295</x:t>
        </x:is>
      </x:c>
      <x:c r="J36" s="4" t="inlineStr">
        <x:is>
          <x:t xml:space="preserve">Darmstadt</x:t>
        </x:is>
      </x:c>
      <x:c r="K36" s="4" t="inlineStr">
        <x:is>
          <x:t xml:space="preserve">Hessen</x:t>
        </x:is>
      </x:c>
      <x:c r="L36" s="4" t="inlineStr">
        <x:is>
          <x:t xml:space="preserve">06151 8002021</x:t>
        </x:is>
      </x:c>
      <x:c r="M36" s="4" t="n"/>
      <x:c r="N36" s="4" t="inlineStr">
        <x:is>
          <x:t xml:space="preserve">info@eutb-darmstadt.de</x:t>
        </x:is>
      </x:c>
      <x:c r="O36" s="4" t="inlineStr">
        <x:is>
          <x:t xml:space="preserve">https://www.eutb-darmstadt.de/</x:t>
        </x:is>
      </x:c>
      <x:c r="P36" s="4" t="inlineStr">
        <x:is>
          <x:t xml:space="preserve">DGS externe Dolmetschung</x:t>
        </x:is>
      </x:c>
      <x:c r="Q36" s="4" t="n"/>
      <x:c r="R36" s="4" t="inlineStr">
        <x:is>
          <x:t xml:space="preserve">✔</x:t>
        </x:is>
      </x:c>
      <x:c r="S36" s="4" t="inlineStr">
        <x:is>
          <x:t xml:space="preserve">Montag und Mittwoch 9.00 Uhr bis 12.00 Uhr    
Dienstag und Freitag  14.00 Uhr bis 16.00 Uhr</x:t>
        </x:is>
      </x:c>
      <x:c r="T36" s="4" t="n">
        <x:v>49.87152</x:v>
      </x:c>
      <x:c r="U36" s="4" t="n">
        <x:v>8.64007</x:v>
      </x:c>
      <x:c r="V36" s="4" t="inlineStr">
        <x:is>
          <x:t xml:space="preserve">A</x:t>
        </x:is>
      </x:c>
      <x:c r="W36" s="4" t="inlineStr">
        <x:is>
          <x:t xml:space="preserve">Stufe A – EUTB Darmstadt selbst als OSM-Sozialeinrichtung verifiziert</x:t>
        </x:is>
      </x:c>
      <x:c r="X36" s="4" t="inlineStr">
        <x:is>
          <x:t xml:space="preserve">Rheinstraße 67, 64295 Darmstadt, Deutschland</x:t>
        </x:is>
      </x:c>
      <x:c r="Y36" s="4" t="inlineStr">
        <x:is>
          <x:t xml:space="preserve">https://www.teilhabeberatung.de/beratung/beratungsangebote-der-eutb</x:t>
        </x:is>
      </x:c>
      <x:c r="Z36" s="4" t="inlineStr">
        <x:is>
          <x:t xml:space="preserve">2026-08-22</x:t>
        </x:is>
      </x:c>
      <x:c r="AA36" s="4" t="inlineStr">
        <x:is>
          <x:t xml:space="preserve">Südhessen / Bergstraße / Odenwald</x:t>
        </x:is>
      </x:c>
      <x:c r="AB36" s="4" t="inlineStr">
        <x:is>
          <x:t xml:space="preserve">MASTER – Kontaktdaten/Adresse geprüft</x:t>
        </x:is>
      </x:c>
      <x:c r="AC36" s="4" t="n"/>
      <x:c r="AD36" s="4" t="inlineStr">
        <x:is>
          <x:t xml:space="preserve">Webrecherche 23.08.2026: Mapcarta/OSM, EUTB Darmstadt</x:t>
        </x:is>
      </x:c>
      <x:c r="AE36" s="4" t="inlineStr">
        <x:is>
          <x:t xml:space="preserve">2026-08-23</x:t>
        </x:is>
      </x:c>
    </x:row>
    <x:row r="37">
      <x:c r="A37" s="4" t="inlineStr">
        <x:is>
          <x:t xml:space="preserve">EUTB-036</x:t>
        </x:is>
      </x:c>
      <x:c r="B37" s="4" t="inlineStr">
        <x:is>
          <x:t xml:space="preserve">Beratung / Teilhabe</x:t>
        </x:is>
      </x:c>
      <x:c r="C37" s="4" t="inlineStr">
        <x:is>
          <x:t xml:space="preserve">EUTB / unabhängige Teilhabeberatung</x:t>
        </x:is>
      </x:c>
      <x:c r="D37" s="4" t="inlineStr">
        <x:is>
          <x:t xml:space="preserve">Standort</x:t>
        </x:is>
      </x:c>
      <x:c r="E37" s="4" t="inlineStr">
        <x:is>
          <x:t xml:space="preserve">EUTB Darmstadt/Landkreis Darmstadt-Dieburg-Griesheim</x:t>
        </x:is>
      </x:c>
      <x:c r="F37" s="4" t="n"/>
      <x:c r="G37" s="4" t="inlineStr">
        <x:is>
          <x:t xml:space="preserve">Georg-Schüler-Platz 8</x:t>
        </x:is>
      </x:c>
      <x:c r="H37" s="4" t="inlineStr">
        <x:is>
          <x:t xml:space="preserve">Georg-August-Zinn-Haus</x:t>
        </x:is>
      </x:c>
      <x:c r="I37" s="4" t="inlineStr">
        <x:is>
          <x:t xml:space="preserve">64347</x:t>
        </x:is>
      </x:c>
      <x:c r="J37" s="4" t="inlineStr">
        <x:is>
          <x:t xml:space="preserve">Griesheim</x:t>
        </x:is>
      </x:c>
      <x:c r="K37" s="4" t="inlineStr">
        <x:is>
          <x:t xml:space="preserve">Hessen</x:t>
        </x:is>
      </x:c>
      <x:c r="L37" s="4" t="str">
        <x:v>06151 8002021</x:v>
      </x:c>
      <x:c r="M37" s="4" t="n"/>
      <x:c r="N37" s="4" t="inlineStr">
        <x:is>
          <x:t xml:space="preserve">info@eutb-darmstadt.de</x:t>
        </x:is>
      </x:c>
      <x:c r="O37" s="4" t="str">
        <x:v>https://www.eutb-darmstadt.de/</x:v>
      </x:c>
      <x:c r="P37" s="4" t="n"/>
      <x:c r="Q37" s="4" t="n"/>
      <x:c r="R37" s="4" t="n"/>
      <x:c r="S37" s="4" t="inlineStr">
        <x:is>
          <x:t xml:space="preserve">Montag von 15.30 Uhr bis 17.30 Uhr</x:t>
        </x:is>
      </x:c>
      <x:c r="T37" s="4" t="n"/>
      <x:c r="U37" s="4" t="n"/>
      <x:c r="V37" s="4" t="inlineStr">
        <x:is>
          <x:t xml:space="preserve">B-Adresse</x:t>
        </x:is>
      </x:c>
      <x:c r="W37" s="4" t="inlineStr">
        <x:is>
          <x:t xml:space="preserve">Hausadresse offiziell bestätigt; Koordinate in dieser Revision nicht belastbar als Hauspunkt extrahierbar – nicht geschätzt</x:t>
        </x:is>
      </x:c>
      <x:c r="X37" s="4" t="inlineStr">
        <x:is>
          <x:t xml:space="preserve">Georg-Schüler-Platz 8, Georg-August-Zinn-Haus, 64347 Griesheim, Deutschland</x:t>
        </x:is>
      </x:c>
      <x:c r="Y37" s="4" t="inlineStr">
        <x:is>
          <x:t xml:space="preserve">https://www.teilhabeberatung.de/beratung/beratungsangebote-der-eutb</x:t>
        </x:is>
      </x:c>
      <x:c r="Z37" s="4" t="inlineStr">
        <x:is>
          <x:t xml:space="preserve">2026-08-22</x:t>
        </x:is>
      </x:c>
      <x:c r="AA37" s="4" t="inlineStr">
        <x:is>
          <x:t xml:space="preserve">Südhessen / Bergstraße / Odenwald</x:t>
        </x:is>
      </x:c>
      <x:c r="AB37" s="4" t="inlineStr">
        <x:is>
          <x:t xml:space="preserve">MASTER – Kontaktdaten/Adresse geprüft</x:t>
        </x:is>
      </x:c>
      <x:c r="AC37" s="4" t="str">
        <x:v>Zentraler EUTB-Kontakt des Hauptstandorts gilt auch für den Nebenstandort Griesheim.</x:v>
      </x:c>
      <x:c r="AD37" s="4" t="inlineStr">
        <x:is>
          <x:t xml:space="preserve">Offizieller EUTB-Beratungsatlas / Betreiberadresse; Koordinate bewusst offen</x:t>
        </x:is>
      </x:c>
      <x:c r="AE37" s="4" t="inlineStr">
        <x:is>
          <x:t xml:space="preserve">2026-08-23</x:t>
        </x:is>
      </x:c>
    </x:row>
    <x:row r="38">
      <x:c r="A38" s="4" t="inlineStr">
        <x:is>
          <x:t xml:space="preserve">EUTB-037</x:t>
        </x:is>
      </x:c>
      <x:c r="B38" s="4" t="inlineStr">
        <x:is>
          <x:t xml:space="preserve">Beratung / Teilhabe</x:t>
        </x:is>
      </x:c>
      <x:c r="C38" s="4" t="inlineStr">
        <x:is>
          <x:t xml:space="preserve">EUTB / unabhängige Teilhabeberatung</x:t>
        </x:is>
      </x:c>
      <x:c r="D38" s="4" t="inlineStr">
        <x:is>
          <x:t xml:space="preserve">Standort</x:t>
        </x:is>
      </x:c>
      <x:c r="E38" s="4" t="inlineStr">
        <x:is>
          <x:t xml:space="preserve">EUTB Bergstraße - Odenwald in Bensheim</x:t>
        </x:is>
      </x:c>
      <x:c r="F38" s="4" t="n"/>
      <x:c r="G38" s="4" t="inlineStr">
        <x:is>
          <x:t xml:space="preserve">Volkerstraße 37-39</x:t>
        </x:is>
      </x:c>
      <x:c r="H38" s="4" t="inlineStr">
        <x:is>
          <x:t xml:space="preserve">Stiftung Nieder-Ramstädter Diakonie</x:t>
        </x:is>
      </x:c>
      <x:c r="I38" s="4" t="inlineStr">
        <x:is>
          <x:t xml:space="preserve">64625</x:t>
        </x:is>
      </x:c>
      <x:c r="J38" s="4" t="inlineStr">
        <x:is>
          <x:t xml:space="preserve">Bensheim</x:t>
        </x:is>
      </x:c>
      <x:c r="K38" s="4" t="inlineStr">
        <x:is>
          <x:t xml:space="preserve">Hessen</x:t>
        </x:is>
      </x:c>
      <x:c r="L38" s="4" t="inlineStr">
        <x:is>
          <x:t xml:space="preserve">06201 8760306</x:t>
        </x:is>
      </x:c>
      <x:c r="M38" s="4" t="n"/>
      <x:c r="N38" s="4" t="inlineStr">
        <x:is>
          <x:t xml:space="preserve">eutb-bergstrasse@wir-dabei.de</x:t>
        </x:is>
      </x:c>
      <x:c r="O38" s="4" t="n"/>
      <x:c r="P38" s="4" t="n"/>
      <x:c r="Q38" s="4" t="n"/>
      <x:c r="R38" s="4" t="n"/>
      <x:c r="S38" s="4" t="inlineStr">
        <x:is>
          <x:t xml:space="preserve">Nach Vereinbarung
Wir bieten persönliche Beratungsgespräche in unseren Beratungsstellen sowie bei Bedarf in Form von aufsuchender Beratung an.
Auch Beratungsspaziergänge, Online-Beratung, sowie Beratung per Telefon und E-Mail gehören zu unserem Angebot.
Bitte beachten Sie, dass unsere Beratungsstellen bis auf Weiteres nur nach vorheriger Vereinbarung besucht werden können.</x:t>
        </x:is>
      </x:c>
      <x:c r="T38" s="4" t="n"/>
      <x:c r="U38" s="4" t="n"/>
      <x:c r="V38" s="4" t="inlineStr">
        <x:is>
          <x:t xml:space="preserve">B-Adresse</x:t>
        </x:is>
      </x:c>
      <x:c r="W38" s="4" t="inlineStr">
        <x:is>
          <x:t xml:space="preserve">Hausadresse offiziell bestätigt; Koordinate in dieser Revision nicht belastbar als Hauspunkt extrahierbar – nicht geschätzt</x:t>
        </x:is>
      </x:c>
      <x:c r="X38" s="4" t="inlineStr">
        <x:is>
          <x:t xml:space="preserve">Volkerstraße 37-39, Stiftung Nieder-Ramstädter Diakonie, 64625 Bensheim, Deutschland</x:t>
        </x:is>
      </x:c>
      <x:c r="Y38" s="4" t="inlineStr">
        <x:is>
          <x:t xml:space="preserve">https://www.teilhabeberatung.de/beratung/beratungsangebote-der-eutb</x:t>
        </x:is>
      </x:c>
      <x:c r="Z38" s="4" t="inlineStr">
        <x:is>
          <x:t xml:space="preserve">2026-08-22</x:t>
        </x:is>
      </x:c>
      <x:c r="AA38" s="4" t="inlineStr">
        <x:is>
          <x:t xml:space="preserve">Südhessen / Bergstraße / Odenwald</x:t>
        </x:is>
      </x:c>
      <x:c r="AB38" s="4" t="inlineStr">
        <x:is>
          <x:t xml:space="preserve">MASTER – Kontaktdaten/Adresse geprüft</x:t>
        </x:is>
      </x:c>
      <x:c r="AC38" s="4" t="n"/>
      <x:c r="AD38" s="4" t="inlineStr">
        <x:is>
          <x:t xml:space="preserve">Offizieller EUTB-Beratungsatlas / Betreiberadresse; Koordinate bewusst offen</x:t>
        </x:is>
      </x:c>
      <x:c r="AE38" s="4" t="inlineStr">
        <x:is>
          <x:t xml:space="preserve">2026-08-23</x:t>
        </x:is>
      </x:c>
    </x:row>
    <x:row r="39">
      <x:c r="A39" s="4" t="inlineStr">
        <x:is>
          <x:t xml:space="preserve">EUTB-038</x:t>
        </x:is>
      </x:c>
      <x:c r="B39" s="4" t="inlineStr">
        <x:is>
          <x:t xml:space="preserve">Beratung / Teilhabe</x:t>
        </x:is>
      </x:c>
      <x:c r="C39" s="4" t="inlineStr">
        <x:is>
          <x:t xml:space="preserve">EUTB / unabhängige Teilhabeberatung</x:t>
        </x:is>
      </x:c>
      <x:c r="D39" s="4" t="inlineStr">
        <x:is>
          <x:t xml:space="preserve">Standort</x:t>
        </x:is>
      </x:c>
      <x:c r="E39" s="4" t="inlineStr">
        <x:is>
          <x:t xml:space="preserve">EUTB Bergstraße - Odenwald in Erbach</x:t>
        </x:is>
      </x:c>
      <x:c r="F39" s="4" t="n"/>
      <x:c r="G39" s="4" t="inlineStr">
        <x:is>
          <x:t xml:space="preserve">Jahnstraße 9</x:t>
        </x:is>
      </x:c>
      <x:c r="H39" s="4" t="n"/>
      <x:c r="I39" s="4" t="inlineStr">
        <x:is>
          <x:t xml:space="preserve">64711</x:t>
        </x:is>
      </x:c>
      <x:c r="J39" s="4" t="inlineStr">
        <x:is>
          <x:t xml:space="preserve">Erbach</x:t>
        </x:is>
      </x:c>
      <x:c r="K39" s="4" t="inlineStr">
        <x:is>
          <x:t xml:space="preserve">Hessen</x:t>
        </x:is>
      </x:c>
      <x:c r="L39" s="4" t="inlineStr">
        <x:is>
          <x:t xml:space="preserve">06201 8760306</x:t>
        </x:is>
      </x:c>
      <x:c r="M39" s="4" t="n"/>
      <x:c r="N39" s="4" t="inlineStr">
        <x:is>
          <x:t xml:space="preserve">eutb-bergstrasse@wir-dabei.de</x:t>
        </x:is>
      </x:c>
      <x:c r="O39" s="4" t="inlineStr">
        <x:is>
          <x:t xml:space="preserve">https://www.eutb-bergstrasse.de</x:t>
        </x:is>
      </x:c>
      <x:c r="P39" s="4" t="n"/>
      <x:c r="Q39" s="4" t="n"/>
      <x:c r="R39" s="4" t="n"/>
      <x:c r="S39" s="4" t="inlineStr">
        <x:is>
          <x:t xml:space="preserve">nach Vereinbarung 
offene Sprechstunde: Dienstags von 9.00 bis 14.00 Uhr</x:t>
        </x:is>
      </x:c>
      <x:c r="T39" s="4" t="n">
        <x:v>49.6568442</x:v>
      </x:c>
      <x:c r="U39" s="4" t="n">
        <x:v>8.994451468511066</x:v>
      </x:c>
      <x:c r="V39" s="4" t="inlineStr">
        <x:is>
          <x:t xml:space="preserve">B</x:t>
        </x:is>
      </x:c>
      <x:c r="W39" s="4" t="inlineStr">
        <x:is>
          <x:t xml:space="preserve">Stufe B – Hausadresse Jahnstraße 9 verifiziert</x:t>
        </x:is>
      </x:c>
      <x:c r="X39" s="4" t="inlineStr">
        <x:is>
          <x:t xml:space="preserve">Jahnstraße 9, 64711 Erbach, Deutschland</x:t>
        </x:is>
      </x:c>
      <x:c r="Y39" s="4" t="inlineStr">
        <x:is>
          <x:t xml:space="preserve">https://www.teilhabeberatung.de/beratung/beratungsangebote-der-eutb</x:t>
        </x:is>
      </x:c>
      <x:c r="Z39" s="4" t="inlineStr">
        <x:is>
          <x:t xml:space="preserve">2026-08-22</x:t>
        </x:is>
      </x:c>
      <x:c r="AA39" s="4" t="inlineStr">
        <x:is>
          <x:t xml:space="preserve">Südhessen / Bergstraße / Odenwald</x:t>
        </x:is>
      </x:c>
      <x:c r="AB39" s="4" t="inlineStr">
        <x:is>
          <x:t xml:space="preserve">MASTER – Kontaktdaten/Adresse geprüft</x:t>
        </x:is>
      </x:c>
      <x:c r="AC39" s="4" t="n"/>
      <x:c r="AD39" s="4" t="inlineStr">
        <x:is>
          <x:t xml:space="preserve">Öffentliche Adress-/Kartenquelle; Abgleich mit offizieller EUTB-Hausadresse</x:t>
        </x:is>
      </x:c>
      <x:c r="AE39" s="4" t="inlineStr">
        <x:is>
          <x:t xml:space="preserve">2026-08-23</x:t>
        </x:is>
      </x:c>
    </x:row>
    <x:row r="40">
      <x:c r="A40" s="4" t="inlineStr">
        <x:is>
          <x:t xml:space="preserve">EUTB-039</x:t>
        </x:is>
      </x:c>
      <x:c r="B40" s="4" t="inlineStr">
        <x:is>
          <x:t xml:space="preserve">Beratung / Teilhabe</x:t>
        </x:is>
      </x:c>
      <x:c r="C40" s="4" t="inlineStr">
        <x:is>
          <x:t xml:space="preserve">EUTB / unabhängige Teilhabeberatung</x:t>
        </x:is>
      </x:c>
      <x:c r="D40" s="4" t="inlineStr">
        <x:is>
          <x:t xml:space="preserve">Standort</x:t>
        </x:is>
      </x:c>
      <x:c r="E40" s="4" t="inlineStr">
        <x:is>
          <x:t xml:space="preserve">EUTB Darmstadt/Landkreis Darmstadt-Dieburg - Dieburg</x:t>
        </x:is>
      </x:c>
      <x:c r="F40" s="4" t="n"/>
      <x:c r="G40" s="4" t="inlineStr">
        <x:is>
          <x:t xml:space="preserve">Markt 4</x:t>
        </x:is>
      </x:c>
      <x:c r="H40" s="4" t="inlineStr">
        <x:is>
          <x:t xml:space="preserve">Rathaus, Magistratszimmer 201</x:t>
        </x:is>
      </x:c>
      <x:c r="I40" s="4" t="inlineStr">
        <x:is>
          <x:t xml:space="preserve">64807</x:t>
        </x:is>
      </x:c>
      <x:c r="J40" s="4" t="inlineStr">
        <x:is>
          <x:t xml:space="preserve">Dieburg</x:t>
        </x:is>
      </x:c>
      <x:c r="K40" s="4" t="inlineStr">
        <x:is>
          <x:t xml:space="preserve">Hessen</x:t>
        </x:is>
      </x:c>
      <x:c r="L40" s="4" t="inlineStr">
        <x:is>
          <x:t xml:space="preserve">06151 8002021</x:t>
        </x:is>
      </x:c>
      <x:c r="M40" s="4" t="n"/>
      <x:c r="N40" s="4" t="inlineStr">
        <x:is>
          <x:t xml:space="preserve">info@eutb-darmstadt.de</x:t>
        </x:is>
      </x:c>
      <x:c r="O40" s="4" t="n"/>
      <x:c r="P40" s="4" t="n"/>
      <x:c r="Q40" s="4" t="n"/>
      <x:c r="R40" s="4" t="n"/>
      <x:c r="S40" s="4" t="inlineStr">
        <x:is>
          <x:t xml:space="preserve">Jeden 1. und 3. Freitag im Monat von 9 Uhr bis 11 Uhr</x:t>
        </x:is>
      </x:c>
      <x:c r="T40" s="4" t="n">
        <x:v>49.898187</x:v>
      </x:c>
      <x:c r="U40" s="4" t="n">
        <x:v>8.838462</x:v>
      </x:c>
      <x:c r="V40" s="4" t="inlineStr">
        <x:is>
          <x:t xml:space="preserve">A/B</x:t>
        </x:is>
      </x:c>
      <x:c r="W40" s="4" t="inlineStr">
        <x:is>
          <x:t xml:space="preserve">Stufe A/B – Rathaus Markt 4 adress-/gebäudegenau verifiziert</x:t>
        </x:is>
      </x:c>
      <x:c r="X40" s="4" t="inlineStr">
        <x:is>
          <x:t xml:space="preserve">Markt 4, Rathaus, Magistratszimmer 201, 64807 Dieburg, Deutschland</x:t>
        </x:is>
      </x:c>
      <x:c r="Y40" s="4" t="inlineStr">
        <x:is>
          <x:t xml:space="preserve">https://www.teilhabeberatung.de/beratung/beratungsangebote-der-eutb</x:t>
        </x:is>
      </x:c>
      <x:c r="Z40" s="4" t="inlineStr">
        <x:is>
          <x:t xml:space="preserve">2026-08-22</x:t>
        </x:is>
      </x:c>
      <x:c r="AA40" s="4" t="inlineStr">
        <x:is>
          <x:t xml:space="preserve">Südhessen / Bergstraße / Odenwald</x:t>
        </x:is>
      </x:c>
      <x:c r="AB40" s="4" t="inlineStr">
        <x:is>
          <x:t xml:space="preserve">MASTER – Kontaktdaten/Adresse geprüft</x:t>
        </x:is>
      </x:c>
      <x:c r="AC40" s="4" t="n"/>
      <x:c r="AD40" s="4" t="inlineStr">
        <x:is>
          <x:t xml:space="preserve">Öffentliche Adress-/Kartenquelle; Abgleich mit offizieller EUTB-Hausadresse</x:t>
        </x:is>
      </x:c>
      <x:c r="AE40" s="4" t="inlineStr">
        <x:is>
          <x:t xml:space="preserve">2026-08-23</x:t>
        </x:is>
      </x:c>
    </x:row>
    <x:row r="41">
      <x:c r="A41" s="4" t="inlineStr">
        <x:is>
          <x:t xml:space="preserve">EUTB-040</x:t>
        </x:is>
      </x:c>
      <x:c r="B41" s="4" t="inlineStr">
        <x:is>
          <x:t xml:space="preserve">Beratung / Teilhabe</x:t>
        </x:is>
      </x:c>
      <x:c r="C41" s="4" t="inlineStr">
        <x:is>
          <x:t xml:space="preserve">EUTB / unabhängige Teilhabeberatung</x:t>
        </x:is>
      </x:c>
      <x:c r="D41" s="4" t="inlineStr">
        <x:is>
          <x:t xml:space="preserve">Standort</x:t>
        </x:is>
      </x:c>
      <x:c r="E41" s="4" t="inlineStr">
        <x:is>
          <x:t xml:space="preserve">EUTB Landkreis Darmstadt-Dieburg</x:t>
        </x:is>
      </x:c>
      <x:c r="F41" s="4" t="n"/>
      <x:c r="G41" s="4" t="inlineStr">
        <x:is>
          <x:t xml:space="preserve">Rodensteinerstraße 1</x:t>
        </x:is>
      </x:c>
      <x:c r="H41" s="4" t="inlineStr">
        <x:is>
          <x:t xml:space="preserve">Seniorenwohnanlage der Stadt Groß-Umstadt</x:t>
        </x:is>
      </x:c>
      <x:c r="I41" s="4" t="inlineStr">
        <x:is>
          <x:t xml:space="preserve">64823</x:t>
        </x:is>
      </x:c>
      <x:c r="J41" s="4" t="inlineStr">
        <x:is>
          <x:t xml:space="preserve">Groß-Umstadt</x:t>
        </x:is>
      </x:c>
      <x:c r="K41" s="4" t="inlineStr">
        <x:is>
          <x:t xml:space="preserve">Hessen</x:t>
        </x:is>
      </x:c>
      <x:c r="L41" s="4" t="inlineStr">
        <x:is>
          <x:t xml:space="preserve">06151 8002021</x:t>
        </x:is>
      </x:c>
      <x:c r="M41" s="4" t="n"/>
      <x:c r="N41" s="4" t="inlineStr">
        <x:is>
          <x:t xml:space="preserve">info@eutb-darmstadt.de</x:t>
        </x:is>
      </x:c>
      <x:c r="O41" s="4" t="inlineStr">
        <x:is>
          <x:t xml:space="preserve">https://www.eutb-darmstadt.de/</x:t>
        </x:is>
      </x:c>
      <x:c r="P41" s="4" t="n"/>
      <x:c r="Q41" s="4" t="n"/>
      <x:c r="R41" s="4" t="n"/>
      <x:c r="S41" s="4" t="inlineStr">
        <x:is>
          <x:t xml:space="preserve">Freitag von 9 Uhr bis 15 Uhr und nach Vereinbarung</x:t>
        </x:is>
      </x:c>
      <x:c r="T41" s="4" t="n"/>
      <x:c r="U41" s="4" t="n"/>
      <x:c r="V41" s="4" t="inlineStr">
        <x:is>
          <x:t xml:space="preserve">B-Adresse</x:t>
        </x:is>
      </x:c>
      <x:c r="W41" s="4" t="inlineStr">
        <x:is>
          <x:t xml:space="preserve">Hausadresse offiziell bestätigt; Koordinate in dieser Revision nicht belastbar als Hauspunkt extrahierbar – nicht geschätzt</x:t>
        </x:is>
      </x:c>
      <x:c r="X41" s="4" t="inlineStr">
        <x:is>
          <x:t xml:space="preserve">Rodensteinerstraße 1, Seniorenwohnanlage der Stadt Groß-Umstadt, 64823 Groß-Umstadt, Deutschland</x:t>
        </x:is>
      </x:c>
      <x:c r="Y41" s="4" t="inlineStr">
        <x:is>
          <x:t xml:space="preserve">https://www.teilhabeberatung.de/beratung/beratungsangebote-der-eutb</x:t>
        </x:is>
      </x:c>
      <x:c r="Z41" s="4" t="inlineStr">
        <x:is>
          <x:t xml:space="preserve">2026-08-22</x:t>
        </x:is>
      </x:c>
      <x:c r="AA41" s="4" t="inlineStr">
        <x:is>
          <x:t xml:space="preserve">Südhessen / Bergstraße / Odenwald</x:t>
        </x:is>
      </x:c>
      <x:c r="AB41" s="4" t="inlineStr">
        <x:is>
          <x:t xml:space="preserve">MASTER – Kontaktdaten/Adresse geprüft</x:t>
        </x:is>
      </x:c>
      <x:c r="AC41" s="4" t="n"/>
      <x:c r="AD41" s="4" t="inlineStr">
        <x:is>
          <x:t xml:space="preserve">Offizieller EUTB-Beratungsatlas / Betreiberadresse; Koordinate bewusst offen</x:t>
        </x:is>
      </x:c>
      <x:c r="AE41" s="4" t="inlineStr">
        <x:is>
          <x:t xml:space="preserve">2026-08-23</x:t>
        </x:is>
      </x:c>
    </x:row>
    <x:row r="42">
      <x:c r="A42" s="4" t="inlineStr">
        <x:is>
          <x:t xml:space="preserve">EUTB-041</x:t>
        </x:is>
      </x:c>
      <x:c r="B42" s="4" t="inlineStr">
        <x:is>
          <x:t xml:space="preserve">Beratung / Teilhabe</x:t>
        </x:is>
      </x:c>
      <x:c r="C42" s="4" t="inlineStr">
        <x:is>
          <x:t xml:space="preserve">EUTB / unabhängige Teilhabeberatung</x:t>
        </x:is>
      </x:c>
      <x:c r="D42" s="4" t="inlineStr">
        <x:is>
          <x:t xml:space="preserve">Standort</x:t>
        </x:is>
      </x:c>
      <x:c r="E42" s="4" t="inlineStr">
        <x:is>
          <x:t xml:space="preserve">EUTB Darmstadt/Landkreis Darmstadt-Dieburg-Babenhausen</x:t>
        </x:is>
      </x:c>
      <x:c r="F42" s="4" t="n"/>
      <x:c r="G42" s="4" t="inlineStr">
        <x:is>
          <x:t xml:space="preserve">Bürgermeister Rühl Straße 6</x:t>
        </x:is>
      </x:c>
      <x:c r="H42" s="4" t="n"/>
      <x:c r="I42" s="4" t="inlineStr">
        <x:is>
          <x:t xml:space="preserve">64832</x:t>
        </x:is>
      </x:c>
      <x:c r="J42" s="4" t="inlineStr">
        <x:is>
          <x:t xml:space="preserve">Babenhausen</x:t>
        </x:is>
      </x:c>
      <x:c r="K42" s="4" t="inlineStr">
        <x:is>
          <x:t xml:space="preserve">Hessen</x:t>
        </x:is>
      </x:c>
      <x:c r="L42" s="4" t="inlineStr">
        <x:is>
          <x:t xml:space="preserve">06151 8002021</x:t>
        </x:is>
      </x:c>
      <x:c r="M42" s="4" t="n"/>
      <x:c r="N42" s="4" t="inlineStr">
        <x:is>
          <x:t xml:space="preserve">info@eutb-darmstadt.de</x:t>
        </x:is>
      </x:c>
      <x:c r="O42" s="4" t="inlineStr">
        <x:is>
          <x:t xml:space="preserve">https://www.eutb-darmstadt.de/</x:t>
        </x:is>
      </x:c>
      <x:c r="P42" s="4" t="n"/>
      <x:c r="Q42" s="4" t="n"/>
      <x:c r="R42" s="4" t="n"/>
      <x:c r="S42" s="4" t="inlineStr">
        <x:is>
          <x:t xml:space="preserve">Freitag von 13 Uhr bis 15 Uhr</x:t>
        </x:is>
      </x:c>
      <x:c r="T42" s="4" t="n"/>
      <x:c r="U42" s="4" t="n"/>
      <x:c r="V42" s="4" t="inlineStr">
        <x:is>
          <x:t xml:space="preserve">B-Adresse</x:t>
        </x:is>
      </x:c>
      <x:c r="W42" s="4" t="inlineStr">
        <x:is>
          <x:t xml:space="preserve">Hausadresse offiziell bestätigt; Koordinate in dieser Revision nicht belastbar als Hauspunkt extrahierbar – nicht geschätzt</x:t>
        </x:is>
      </x:c>
      <x:c r="X42" s="4" t="inlineStr">
        <x:is>
          <x:t xml:space="preserve">Bürgermeister Rühl Straße 6, 64832 Babenhausen, Deutschland</x:t>
        </x:is>
      </x:c>
      <x:c r="Y42" s="4" t="inlineStr">
        <x:is>
          <x:t xml:space="preserve">https://www.teilhabeberatung.de/beratung/beratungsangebote-der-eutb</x:t>
        </x:is>
      </x:c>
      <x:c r="Z42" s="4" t="inlineStr">
        <x:is>
          <x:t xml:space="preserve">2026-08-22</x:t>
        </x:is>
      </x:c>
      <x:c r="AA42" s="4" t="inlineStr">
        <x:is>
          <x:t xml:space="preserve">Südhessen / Bergstraße / Odenwald</x:t>
        </x:is>
      </x:c>
      <x:c r="AB42" s="4" t="inlineStr">
        <x:is>
          <x:t xml:space="preserve">MASTER – Kontaktdaten/Adresse geprüft</x:t>
        </x:is>
      </x:c>
      <x:c r="AC42" s="4" t="n"/>
      <x:c r="AD42" s="4" t="inlineStr">
        <x:is>
          <x:t xml:space="preserve">Offizieller EUTB-Beratungsatlas / Betreiberadresse; Koordinate bewusst offen</x:t>
        </x:is>
      </x:c>
      <x:c r="AE42" s="4" t="inlineStr">
        <x:is>
          <x:t xml:space="preserve">2026-08-23</x:t>
        </x:is>
      </x:c>
    </x:row>
    <x:row r="43">
      <x:c r="A43" s="4" t="inlineStr">
        <x:is>
          <x:t xml:space="preserve">EUTB-042</x:t>
        </x:is>
      </x:c>
      <x:c r="B43" s="4" t="inlineStr">
        <x:is>
          <x:t xml:space="preserve">Beratung / Teilhabe</x:t>
        </x:is>
      </x:c>
      <x:c r="C43" s="4" t="inlineStr">
        <x:is>
          <x:t xml:space="preserve">EUTB / unabhängige Teilhabeberatung</x:t>
        </x:is>
      </x:c>
      <x:c r="D43" s="4" t="inlineStr">
        <x:is>
          <x:t xml:space="preserve">Hauptstelle/Angebot</x:t>
        </x:is>
      </x:c>
      <x:c r="E43" s="4" t="inlineStr">
        <x:is>
          <x:t xml:space="preserve">EUTB IFB e. V.</x:t>
        </x:is>
      </x:c>
      <x:c r="F43" s="4" t="n"/>
      <x:c r="G43" s="4" t="inlineStr">
        <x:is>
          <x:t xml:space="preserve">Ehrengartstraße 15</x:t>
        </x:is>
      </x:c>
      <x:c r="H43" s="4" t="n"/>
      <x:c r="I43" s="4" t="inlineStr">
        <x:is>
          <x:t xml:space="preserve">65201</x:t>
        </x:is>
      </x:c>
      <x:c r="J43" s="4" t="inlineStr">
        <x:is>
          <x:t xml:space="preserve">Wiesbaden/Schierstein</x:t>
        </x:is>
      </x:c>
      <x:c r="K43" s="4" t="inlineStr">
        <x:is>
          <x:t xml:space="preserve">Hessen</x:t>
        </x:is>
      </x:c>
      <x:c r="L43" s="4" t="inlineStr">
        <x:is>
          <x:t xml:space="preserve">0611 33496528</x:t>
        </x:is>
      </x:c>
      <x:c r="M43" s="4" t="inlineStr">
        <x:is>
          <x:t xml:space="preserve">0611 33496529</x:t>
        </x:is>
      </x:c>
      <x:c r="N43" s="4" t="inlineStr">
        <x:is>
          <x:t xml:space="preserve">teilhabeberatung@ifbev.de</x:t>
        </x:is>
      </x:c>
      <x:c r="O43" s="4" t="inlineStr">
        <x:is>
          <x:t xml:space="preserve">https://eutb-wiesbaden.de/</x:t>
        </x:is>
      </x:c>
      <x:c r="P43" s="4" t="n"/>
      <x:c r="Q43" s="4" t="n"/>
      <x:c r="R43" s="4" t="inlineStr">
        <x:is>
          <x:t xml:space="preserve">✔</x:t>
        </x:is>
      </x:c>
      <x:c r="S43" s="4" t="inlineStr">
        <x:is>
          <x:t xml:space="preserve">Terminsprechstunde:
Montag - Donnerstag 9:00 - 17:00 Uhr und Freitag 9:00 - 16:00 Uhr
Offene Sprechstunde: 
Mittwoch 11:00 - 15:00 Uhr
Offene Sprechstunde im Rathaus Wiesbaden:
jeden 1. Mittwoch im Monat von 14:00 - 17:00 Uhr
Schlossplatz 6, 65183 Wiesbaden 
Erdgeschoss, Raum 16
Mobile Dienstnummer: 0152 04750393</x:t>
        </x:is>
      </x:c>
      <x:c r="T43" s="4" t="n"/>
      <x:c r="U43" s="4" t="n"/>
      <x:c r="V43" s="4" t="inlineStr">
        <x:is>
          <x:t xml:space="preserve">B-Adresse</x:t>
        </x:is>
      </x:c>
      <x:c r="W43" s="4" t="inlineStr">
        <x:is>
          <x:t xml:space="preserve">Hausadresse offiziell bestätigt; Koordinate in dieser Revision nicht belastbar als Hauspunkt extrahierbar – nicht geschätzt</x:t>
        </x:is>
      </x:c>
      <x:c r="X43" s="4" t="inlineStr">
        <x:is>
          <x:t xml:space="preserve">Ehrengartstraße 15, 65201 Wiesbaden/Schierstein, Deutschland</x:t>
        </x:is>
      </x:c>
      <x:c r="Y43" s="4" t="inlineStr">
        <x:is>
          <x:t xml:space="preserve">https://www.teilhabeberatung.de/beratung/beratungsangebote-der-eutb</x:t>
        </x:is>
      </x:c>
      <x:c r="Z43" s="4" t="inlineStr">
        <x:is>
          <x:t xml:space="preserve">2026-08-22</x:t>
        </x:is>
      </x:c>
      <x:c r="AA43" s="4" t="inlineStr">
        <x:is>
          <x:t xml:space="preserve">Rhein-Main (regionaler Rand)</x:t>
        </x:is>
      </x:c>
      <x:c r="AB43" s="4" t="inlineStr">
        <x:is>
          <x:t xml:space="preserve">MASTER – Kontaktdaten/Adresse geprüft</x:t>
        </x:is>
      </x:c>
      <x:c r="AC43" s="4" t="n"/>
      <x:c r="AD43" s="4" t="inlineStr">
        <x:is>
          <x:t xml:space="preserve">Offizieller EUTB-Beratungsatlas / Betreiberadresse; Koordinate bewusst offen</x:t>
        </x:is>
      </x:c>
      <x:c r="AE43" s="4" t="inlineStr">
        <x:is>
          <x:t xml:space="preserve">2026-08-23</x:t>
        </x:is>
      </x:c>
    </x:row>
    <x:row r="44">
      <x:c r="A44" s="4" t="inlineStr">
        <x:is>
          <x:t xml:space="preserve">EUTB-043</x:t>
        </x:is>
      </x:c>
      <x:c r="B44" s="4" t="inlineStr">
        <x:is>
          <x:t xml:space="preserve">Beratung / Teilhabe</x:t>
        </x:is>
      </x:c>
      <x:c r="C44" s="4" t="inlineStr">
        <x:is>
          <x:t xml:space="preserve">EUTB / unabhängige Teilhabeberatung</x:t>
        </x:is>
      </x:c>
      <x:c r="D44" s="4" t="inlineStr">
        <x:is>
          <x:t xml:space="preserve">Standort</x:t>
        </x:is>
      </x:c>
      <x:c r="E44" s="4" t="inlineStr">
        <x:is>
          <x:t xml:space="preserve">EUTB Kreis Groß-Gerau</x:t>
        </x:is>
      </x:c>
      <x:c r="F44" s="4" t="n"/>
      <x:c r="G44" s="4" t="inlineStr">
        <x:is>
          <x:t xml:space="preserve">Moselstraße 33</x:t>
        </x:is>
      </x:c>
      <x:c r="H44" s="4" t="n"/>
      <x:c r="I44" s="4" t="inlineStr">
        <x:is>
          <x:t xml:space="preserve">65428</x:t>
        </x:is>
      </x:c>
      <x:c r="J44" s="4" t="inlineStr">
        <x:is>
          <x:t xml:space="preserve">Rüsselsheim</x:t>
        </x:is>
      </x:c>
      <x:c r="K44" s="4" t="inlineStr">
        <x:is>
          <x:t xml:space="preserve">Hessen</x:t>
        </x:is>
      </x:c>
      <x:c r="L44" s="4" t="inlineStr">
        <x:is>
          <x:t xml:space="preserve">06142 4079241</x:t>
        </x:is>
      </x:c>
      <x:c r="M44" s="4" t="inlineStr">
        <x:is>
          <x:t xml:space="preserve">06142 4079242</x:t>
        </x:is>
      </x:c>
      <x:c r="N44" s="4" t="inlineStr">
        <x:is>
          <x:t xml:space="preserve">info@eutb-kreisgg.de</x:t>
        </x:is>
      </x:c>
      <x:c r="O44" s="4" t="inlineStr">
        <x:is>
          <x:t xml:space="preserve">http://www.eutb-kreisgg.de</x:t>
        </x:is>
      </x:c>
      <x:c r="P44" s="4" t="n"/>
      <x:c r="Q44" s="4" t="n"/>
      <x:c r="R44" s="4" t="n"/>
      <x:c r="S44" s="4" t="inlineStr">
        <x:is>
          <x:t xml:space="preserve">Offene Sprechstunde:
Montag 10.00 bis 12.00 Uhr
Donnerstag 14.00 bis 17.00 Uhr
Reguläre Beratungstermine von Montag bis Freitag nach vorheriger Terminabsprache.
Hausbesuche im Einzelfall möglich.</x:t>
        </x:is>
      </x:c>
      <x:c r="T44" s="4" t="n"/>
      <x:c r="U44" s="4" t="n"/>
      <x:c r="V44" s="4" t="inlineStr">
        <x:is>
          <x:t xml:space="preserve">B-Adresse</x:t>
        </x:is>
      </x:c>
      <x:c r="W44" s="4" t="inlineStr">
        <x:is>
          <x:t xml:space="preserve">Hausadresse offiziell bestätigt; Koordinate in dieser Revision nicht belastbar als Hauspunkt extrahierbar – nicht geschätzt</x:t>
        </x:is>
      </x:c>
      <x:c r="X44" s="4" t="inlineStr">
        <x:is>
          <x:t xml:space="preserve">Moselstraße 33, 65428 Rüsselsheim, Deutschland</x:t>
        </x:is>
      </x:c>
      <x:c r="Y44" s="4" t="inlineStr">
        <x:is>
          <x:t xml:space="preserve">https://www.teilhabeberatung.de/beratung/beratungsangebote-der-eutb</x:t>
        </x:is>
      </x:c>
      <x:c r="Z44" s="4" t="inlineStr">
        <x:is>
          <x:t xml:space="preserve">2026-08-22</x:t>
        </x:is>
      </x:c>
      <x:c r="AA44" s="4" t="inlineStr">
        <x:is>
          <x:t xml:space="preserve">Rhein-Main (regionaler Rand)</x:t>
        </x:is>
      </x:c>
      <x:c r="AB44" s="4" t="inlineStr">
        <x:is>
          <x:t xml:space="preserve">MASTER – Kontaktdaten/Adresse geprüft</x:t>
        </x:is>
      </x:c>
      <x:c r="AC44" s="4" t="n"/>
      <x:c r="AD44" s="4" t="inlineStr">
        <x:is>
          <x:t xml:space="preserve">Offizieller EUTB-Beratungsatlas / Betreiberadresse; Koordinate bewusst offen</x:t>
        </x:is>
      </x:c>
      <x:c r="AE44" s="4" t="inlineStr">
        <x:is>
          <x:t xml:space="preserve">2026-08-23</x:t>
        </x:is>
      </x:c>
    </x:row>
    <x:row r="45">
      <x:c r="A45" s="4" t="inlineStr">
        <x:is>
          <x:t xml:space="preserve">EUTB-044</x:t>
        </x:is>
      </x:c>
      <x:c r="B45" s="4" t="inlineStr">
        <x:is>
          <x:t xml:space="preserve">Beratung / Teilhabe</x:t>
        </x:is>
      </x:c>
      <x:c r="C45" s="4" t="inlineStr">
        <x:is>
          <x:t xml:space="preserve">EUTB / unabhängige Teilhabeberatung</x:t>
        </x:is>
      </x:c>
      <x:c r="D45" s="4" t="inlineStr">
        <x:is>
          <x:t xml:space="preserve">Hauptstelle/Angebot</x:t>
        </x:is>
      </x:c>
      <x:c r="E45" s="4" t="inlineStr">
        <x:is>
          <x:t xml:space="preserve">EUTB Zweibrücken</x:t>
        </x:is>
      </x:c>
      <x:c r="F45" s="4" t="n"/>
      <x:c r="G45" s="4" t="inlineStr">
        <x:is>
          <x:t xml:space="preserve">Maxstraße 7</x:t>
        </x:is>
      </x:c>
      <x:c r="H45" s="4" t="inlineStr">
        <x:is>
          <x:t xml:space="preserve">Mehrgenerationenhaus</x:t>
        </x:is>
      </x:c>
      <x:c r="I45" s="4" t="inlineStr">
        <x:is>
          <x:t xml:space="preserve">66482</x:t>
        </x:is>
      </x:c>
      <x:c r="J45" s="4" t="inlineStr">
        <x:is>
          <x:t xml:space="preserve">Zweibrücken</x:t>
        </x:is>
      </x:c>
      <x:c r="K45" s="4" t="inlineStr">
        <x:is>
          <x:t xml:space="preserve">Rheinland-Pfalz</x:t>
        </x:is>
      </x:c>
      <x:c r="L45" s="4" t="inlineStr">
        <x:is>
          <x:t xml:space="preserve">0151 23609540</x:t>
        </x:is>
      </x:c>
      <x:c r="M45" s="4" t="n"/>
      <x:c r="N45" s="4" t="inlineStr">
        <x:is>
          <x:t xml:space="preserve">zweibruecken@eutb-netzg.de</x:t>
        </x:is>
      </x:c>
      <x:c r="O45" s="4" t="n"/>
      <x:c r="P45" s="4" t="inlineStr">
        <x:is>
          <x:t xml:space="preserve">DGS externe Dolmetschung</x:t>
        </x:is>
      </x:c>
      <x:c r="Q45" s="4" t="n"/>
      <x:c r="R45" s="4" t="n"/>
      <x:c r="S45" s="4" t="inlineStr">
        <x:is>
          <x:t xml:space="preserve">Telefonische Erreichbarkeit:
Montag 11:00 bis 15:00 Uhr 
Dienstag 9:00 bis 16:00 Uhr
Mittwoch 9:00 bis 15:00 Uhr
Donnerstag 9:00 bis 17:00 Uhr
Freitag 8:00 bis 13:00 Uhr
Gerne vereinbaren wir persönliche Termine für unsere Standorte</x:t>
        </x:is>
      </x:c>
      <x:c r="T45" s="4" t="n"/>
      <x:c r="U45" s="4" t="n"/>
      <x:c r="V45" s="4" t="inlineStr">
        <x:is>
          <x:t xml:space="preserve">B-Adresse</x:t>
        </x:is>
      </x:c>
      <x:c r="W45" s="4" t="inlineStr">
        <x:is>
          <x:t xml:space="preserve">Hausadresse offiziell bestätigt; Koordinate in dieser Revision nicht belastbar als Hauspunkt extrahierbar – nicht geschätzt</x:t>
        </x:is>
      </x:c>
      <x:c r="X45" s="4" t="inlineStr">
        <x:is>
          <x:t xml:space="preserve">Maxstraße 7, Mehrgenerationenhaus, 66482 Zweibrücken, Deutschland</x:t>
        </x:is>
      </x:c>
      <x:c r="Y45" s="4" t="inlineStr">
        <x:is>
          <x:t xml:space="preserve">https://www.teilhabeberatung.de/beratung/beratungsangebote-der-eutb</x:t>
        </x:is>
      </x:c>
      <x:c r="Z45" s="4" t="inlineStr">
        <x:is>
          <x:t xml:space="preserve">2026-08-22</x:t>
        </x:is>
      </x:c>
      <x:c r="AA45" s="4" t="inlineStr">
        <x:is>
          <x:t xml:space="preserve">Vorderpfalz / Pfalz / Rheinhessen</x:t>
        </x:is>
      </x:c>
      <x:c r="AB45" s="4" t="inlineStr">
        <x:is>
          <x:t xml:space="preserve">MASTER – Kontaktdaten/Adresse geprüft</x:t>
        </x:is>
      </x:c>
      <x:c r="AC45" s="4" t="n"/>
      <x:c r="AD45" s="4" t="inlineStr">
        <x:is>
          <x:t xml:space="preserve">Offizieller EUTB-Beratungsatlas / Betreiberadresse; Koordinate bewusst offen</x:t>
        </x:is>
      </x:c>
      <x:c r="AE45" s="4" t="inlineStr">
        <x:is>
          <x:t xml:space="preserve">2026-08-23</x:t>
        </x:is>
      </x:c>
    </x:row>
    <x:row r="46">
      <x:c r="A46" s="4" t="inlineStr">
        <x:is>
          <x:t xml:space="preserve">EUTB-045</x:t>
        </x:is>
      </x:c>
      <x:c r="B46" s="4" t="inlineStr">
        <x:is>
          <x:t xml:space="preserve">Beratung / Teilhabe</x:t>
        </x:is>
      </x:c>
      <x:c r="C46" s="4" t="inlineStr">
        <x:is>
          <x:t xml:space="preserve">EUTB / unabhängige Teilhabeberatung</x:t>
        </x:is>
      </x:c>
      <x:c r="D46" s="4" t="inlineStr">
        <x:is>
          <x:t xml:space="preserve">Hauptstelle/Angebot</x:t>
        </x:is>
      </x:c>
      <x:c r="E46" s="4" t="inlineStr">
        <x:is>
          <x:t xml:space="preserve">EUTB Pirmasens</x:t>
        </x:is>
      </x:c>
      <x:c r="F46" s="4" t="n"/>
      <x:c r="G46" s="4" t="inlineStr">
        <x:is>
          <x:t xml:space="preserve">Schlossstraße 22</x:t>
        </x:is>
      </x:c>
      <x:c r="H46" s="4" t="inlineStr">
        <x:is>
          <x:t xml:space="preserve">Caritas-Förderzentrum Vinzenz von Paul</x:t>
        </x:is>
      </x:c>
      <x:c r="I46" s="4" t="inlineStr">
        <x:is>
          <x:t xml:space="preserve">66953</x:t>
        </x:is>
      </x:c>
      <x:c r="J46" s="4" t="inlineStr">
        <x:is>
          <x:t xml:space="preserve">Pirmasens</x:t>
        </x:is>
      </x:c>
      <x:c r="K46" s="4" t="inlineStr">
        <x:is>
          <x:t xml:space="preserve">Rheinland-Pfalz</x:t>
        </x:is>
      </x:c>
      <x:c r="L46" s="4" t="inlineStr">
        <x:is>
          <x:t xml:space="preserve">0151 23609540</x:t>
        </x:is>
      </x:c>
      <x:c r="M46" s="4" t="n"/>
      <x:c r="N46" s="4" t="inlineStr">
        <x:is>
          <x:t xml:space="preserve">pirmasens@eutb-netzg.de</x:t>
        </x:is>
      </x:c>
      <x:c r="O46" s="4" t="n"/>
      <x:c r="P46" s="4" t="inlineStr">
        <x:is>
          <x:t xml:space="preserve">DGS externe Dolmetschung</x:t>
        </x:is>
      </x:c>
      <x:c r="Q46" s="4" t="n"/>
      <x:c r="R46" s="4" t="n"/>
      <x:c r="S46" s="4" t="inlineStr">
        <x:is>
          <x:t xml:space="preserve">Telefonische Erreichbarkeit:
Montag 11:00 bis 15:00 Uhr 
Dienstag 9:00 bis 16:00 Uhr
Mittwoch 9:00 bis 15:00 Uhr
Donnerstag 9:00 bis 17:00 Uhr
Freitag 8:00 bis 13:00 Uhr
Gerne vereinbaren wir persönliche Termine für unsere Standorte</x:t>
        </x:is>
      </x:c>
      <x:c r="T46" s="4" t="n"/>
      <x:c r="U46" s="4" t="n"/>
      <x:c r="V46" s="4" t="inlineStr">
        <x:is>
          <x:t xml:space="preserve">B-Adresse</x:t>
        </x:is>
      </x:c>
      <x:c r="W46" s="4" t="inlineStr">
        <x:is>
          <x:t xml:space="preserve">Hausadresse offiziell bestätigt; Koordinate in dieser Revision nicht belastbar als Hauspunkt extrahierbar – nicht geschätzt</x:t>
        </x:is>
      </x:c>
      <x:c r="X46" s="4" t="inlineStr">
        <x:is>
          <x:t xml:space="preserve">Schlossstraße 22, Caritas-Förderzentrum Vinzenz von Paul, 66953 Pirmasens, Deutschland</x:t>
        </x:is>
      </x:c>
      <x:c r="Y46" s="4" t="inlineStr">
        <x:is>
          <x:t xml:space="preserve">https://www.teilhabeberatung.de/beratung/beratungsangebote-der-eutb</x:t>
        </x:is>
      </x:c>
      <x:c r="Z46" s="4" t="inlineStr">
        <x:is>
          <x:t xml:space="preserve">2026-08-22</x:t>
        </x:is>
      </x:c>
      <x:c r="AA46" s="4" t="inlineStr">
        <x:is>
          <x:t xml:space="preserve">Vorderpfalz / Pfalz / Rheinhessen</x:t>
        </x:is>
      </x:c>
      <x:c r="AB46" s="4" t="inlineStr">
        <x:is>
          <x:t xml:space="preserve">MASTER – Kontaktdaten/Adresse geprüft</x:t>
        </x:is>
      </x:c>
      <x:c r="AC46" s="4" t="n"/>
      <x:c r="AD46" s="4" t="inlineStr">
        <x:is>
          <x:t xml:space="preserve">Offizieller EUTB-Beratungsatlas / Betreiberadresse; Koordinate bewusst offen</x:t>
        </x:is>
      </x:c>
      <x:c r="AE46" s="4" t="inlineStr">
        <x:is>
          <x:t xml:space="preserve">2026-08-23</x:t>
        </x:is>
      </x:c>
    </x:row>
    <x:row r="47">
      <x:c r="A47" s="4" t="inlineStr">
        <x:is>
          <x:t xml:space="preserve">EUTB-046</x:t>
        </x:is>
      </x:c>
      <x:c r="B47" s="4" t="inlineStr">
        <x:is>
          <x:t xml:space="preserve">Beratung / Teilhabe</x:t>
        </x:is>
      </x:c>
      <x:c r="C47" s="4" t="inlineStr">
        <x:is>
          <x:t xml:space="preserve">EUTB / unabhängige Teilhabeberatung</x:t>
        </x:is>
      </x:c>
      <x:c r="D47" s="4" t="inlineStr">
        <x:is>
          <x:t xml:space="preserve">Hauptstelle/Angebot</x:t>
        </x:is>
      </x:c>
      <x:c r="E47" s="4" t="inlineStr">
        <x:is>
          <x:t xml:space="preserve">EUTB Ludwigshafen</x:t>
        </x:is>
      </x:c>
      <x:c r="F47" s="4" t="n"/>
      <x:c r="G47" s="4" t="inlineStr">
        <x:is>
          <x:t xml:space="preserve">Jaegerstraße 5</x:t>
        </x:is>
      </x:c>
      <x:c r="H47" s="4" t="n"/>
      <x:c r="I47" s="4" t="inlineStr">
        <x:is>
          <x:t xml:space="preserve">67059</x:t>
        </x:is>
      </x:c>
      <x:c r="J47" s="4" t="inlineStr">
        <x:is>
          <x:t xml:space="preserve">Ludwigshafen</x:t>
        </x:is>
      </x:c>
      <x:c r="K47" s="4" t="inlineStr">
        <x:is>
          <x:t xml:space="preserve">Rheinland-Pfalz</x:t>
        </x:is>
      </x:c>
      <x:c r="L47" s="4" t="inlineStr">
        <x:is>
          <x:t xml:space="preserve">0621 598 69 233</x:t>
        </x:is>
      </x:c>
      <x:c r="M47" s="4" t="n"/>
      <x:c r="N47" s="4" t="inlineStr">
        <x:is>
          <x:t xml:space="preserve">ludwigshafen@eutb-rlp.de</x:t>
        </x:is>
      </x:c>
      <x:c r="O47" s="4" t="inlineStr">
        <x:is>
          <x:t xml:space="preserve">https://www.eutb-rlp.de</x:t>
        </x:is>
      </x:c>
      <x:c r="P47" s="4" t="n"/>
      <x:c r="Q47" s="4" t="n"/>
      <x:c r="R47" s="4" t="n"/>
      <x:c r="S47" s="4" t="inlineStr">
        <x:is>
          <x:t xml:space="preserve">Montag: offene Sprechstunde und telefonische Erreichbarkeit      	 von 10 Uhr bis 15 Uhr
Mittwoch: offene Sprechstunde                                                	         von 10 Uhr bis 12 Uhr
Mittwoch: Telefonische Erreichbarkeit und Online-Beratungen	         von 12 Uhr bis 17 Uhr
Donnerstag: offene Sprechstunde und telefonische  Erreichbarkeit	 von 11 Uhr bis 15 Uhr
Freitag: Telefonische Erreichbarkeit und Online-Beratungen                  von 10 Uhr bis 13 Uhr
Individuelle Terminabsprachen nach Bedarf kurzfristig möglich.  Beratungen können außerhalb der genannten Zeiten auch aufsuchend, telefonisch, digital oder per E-mail durchgeführt werden.</x:t>
        </x:is>
      </x:c>
      <x:c r="T47" s="4" t="n"/>
      <x:c r="U47" s="4" t="n"/>
      <x:c r="V47" s="4" t="inlineStr">
        <x:is>
          <x:t xml:space="preserve">B-Adresse</x:t>
        </x:is>
      </x:c>
      <x:c r="W47" s="4" t="inlineStr">
        <x:is>
          <x:t xml:space="preserve">Hausadresse offiziell bestätigt; Koordinate in dieser Revision nicht belastbar als Hauspunkt extrahierbar – nicht geschätzt</x:t>
        </x:is>
      </x:c>
      <x:c r="X47" s="4" t="inlineStr">
        <x:is>
          <x:t xml:space="preserve">Jaegerstraße 5, 67059 Ludwigshafen, Deutschland</x:t>
        </x:is>
      </x:c>
      <x:c r="Y47" s="4" t="inlineStr">
        <x:is>
          <x:t xml:space="preserve">https://www.teilhabeberatung.de/beratung/beratungsangebote-der-eutb</x:t>
        </x:is>
      </x:c>
      <x:c r="Z47" s="4" t="inlineStr">
        <x:is>
          <x:t xml:space="preserve">2026-08-22</x:t>
        </x:is>
      </x:c>
      <x:c r="AA47" s="4" t="inlineStr">
        <x:is>
          <x:t xml:space="preserve">Vorderpfalz / Pfalz / Rheinhessen</x:t>
        </x:is>
      </x:c>
      <x:c r="AB47" s="4" t="inlineStr">
        <x:is>
          <x:t xml:space="preserve">MASTER – Kontaktdaten/Adresse geprüft</x:t>
        </x:is>
      </x:c>
      <x:c r="AC47" s="4" t="n"/>
      <x:c r="AD47" s="4" t="inlineStr">
        <x:is>
          <x:t xml:space="preserve">Offizieller EUTB-Beratungsatlas / Betreiberadresse; Koordinate bewusst offen</x:t>
        </x:is>
      </x:c>
      <x:c r="AE47" s="4" t="inlineStr">
        <x:is>
          <x:t xml:space="preserve">2026-08-23</x:t>
        </x:is>
      </x:c>
    </x:row>
    <x:row r="48">
      <x:c r="A48" s="4" t="inlineStr">
        <x:is>
          <x:t xml:space="preserve">EUTB-047</x:t>
        </x:is>
      </x:c>
      <x:c r="B48" s="4" t="inlineStr">
        <x:is>
          <x:t xml:space="preserve">Beratung / Teilhabe</x:t>
        </x:is>
      </x:c>
      <x:c r="C48" s="4" t="inlineStr">
        <x:is>
          <x:t xml:space="preserve">EUTB / unabhängige Teilhabeberatung</x:t>
        </x:is>
      </x:c>
      <x:c r="D48" s="4" t="inlineStr">
        <x:is>
          <x:t xml:space="preserve">Hauptstelle/Angebot</x:t>
        </x:is>
      </x:c>
      <x:c r="E48" s="4" t="inlineStr">
        <x:is>
          <x:t xml:space="preserve">EUTB Bad Dürkheim</x:t>
        </x:is>
      </x:c>
      <x:c r="F48" s="4" t="n"/>
      <x:c r="G48" s="4" t="inlineStr">
        <x:is>
          <x:t xml:space="preserve">Burgstraße 2A</x:t>
        </x:is>
      </x:c>
      <x:c r="H48" s="4" t="n"/>
      <x:c r="I48" s="4" t="inlineStr">
        <x:is>
          <x:t xml:space="preserve">67098</x:t>
        </x:is>
      </x:c>
      <x:c r="J48" s="4" t="inlineStr">
        <x:is>
          <x:t xml:space="preserve">Bad Dürkheim</x:t>
        </x:is>
      </x:c>
      <x:c r="K48" s="4" t="inlineStr">
        <x:is>
          <x:t xml:space="preserve">Rheinland-Pfalz</x:t>
        </x:is>
      </x:c>
      <x:c r="L48" s="4" t="inlineStr">
        <x:is>
          <x:t xml:space="preserve">06322 306490</x:t>
        </x:is>
      </x:c>
      <x:c r="M48" s="4" t="n"/>
      <x:c r="N48" s="4" t="inlineStr">
        <x:is>
          <x:t xml:space="preserve">bad-duerkheim@eutb-rlp.de</x:t>
        </x:is>
      </x:c>
      <x:c r="O48" s="4" t="inlineStr">
        <x:is>
          <x:t xml:space="preserve">https://www.eutb-rlp.de</x:t>
        </x:is>
      </x:c>
      <x:c r="P48" s="4" t="n"/>
      <x:c r="Q48" s="4" t="n"/>
      <x:c r="R48" s="4" t="n"/>
      <x:c r="S48" s="4" t="inlineStr">
        <x:is>
          <x:t xml:space="preserve">Offene Sprechstunden:
Montag:   10:00 - 15:00 Uhr 
Mittwoch: 13:00 - 17:00 Uhr
Donnerstag: 11:00 - 15:00 Uhr
Freitag:    10:00 - 13:00 Uhr.
Telefonische Erreichbarkeit :
Montag:   10:00 - 15:00 Uhr
Mittwoch: 13:00 - 17:00 Uhr
Donnerstag: 11:00 - 15:00 Uhr
Freitag:    10:00 - 13:00 Uhr.
Individuelle Terminabsprachen nach Bedarf kurzfristig möglich. Beratungen können außerhalb der genannten Zeiten auch telefonisch, digital oder per E-Mail durchgeführt werden.</x:t>
        </x:is>
      </x:c>
      <x:c r="T48" s="4" t="n"/>
      <x:c r="U48" s="4" t="n"/>
      <x:c r="V48" s="4" t="inlineStr">
        <x:is>
          <x:t xml:space="preserve">B-Adresse</x:t>
        </x:is>
      </x:c>
      <x:c r="W48" s="4" t="inlineStr">
        <x:is>
          <x:t xml:space="preserve">Hausadresse offiziell bestätigt; Koordinate in dieser Revision nicht belastbar als Hauspunkt extrahierbar – nicht geschätzt</x:t>
        </x:is>
      </x:c>
      <x:c r="X48" s="4" t="inlineStr">
        <x:is>
          <x:t xml:space="preserve">Burgstraße  2A, 67098 Bad Dürkheim, Deutschland</x:t>
        </x:is>
      </x:c>
      <x:c r="Y48" s="4" t="inlineStr">
        <x:is>
          <x:t xml:space="preserve">https://www.teilhabeberatung.de/beratung/beratungsangebote-der-eutb</x:t>
        </x:is>
      </x:c>
      <x:c r="Z48" s="4" t="inlineStr">
        <x:is>
          <x:t xml:space="preserve">2026-08-22</x:t>
        </x:is>
      </x:c>
      <x:c r="AA48" s="4" t="inlineStr">
        <x:is>
          <x:t xml:space="preserve">Vorderpfalz / Pfalz / Rheinhessen</x:t>
        </x:is>
      </x:c>
      <x:c r="AB48" s="4" t="inlineStr">
        <x:is>
          <x:t xml:space="preserve">MASTER – Kontaktdaten/Adresse geprüft</x:t>
        </x:is>
      </x:c>
      <x:c r="AC48" s="4" t="n"/>
      <x:c r="AD48" s="4" t="inlineStr">
        <x:is>
          <x:t xml:space="preserve">Offizieller EUTB-Beratungsatlas / Betreiberadresse; Koordinate bewusst offen</x:t>
        </x:is>
      </x:c>
      <x:c r="AE48" s="4" t="inlineStr">
        <x:is>
          <x:t xml:space="preserve">2026-08-23</x:t>
        </x:is>
      </x:c>
    </x:row>
    <x:row r="49">
      <x:c r="A49" s="4" t="inlineStr">
        <x:is>
          <x:t xml:space="preserve">EUTB-048</x:t>
        </x:is>
      </x:c>
      <x:c r="B49" s="4" t="inlineStr">
        <x:is>
          <x:t xml:space="preserve">Beratung / Teilhabe</x:t>
        </x:is>
      </x:c>
      <x:c r="C49" s="4" t="inlineStr">
        <x:is>
          <x:t xml:space="preserve">EUTB / unabhängige Teilhabeberatung</x:t>
        </x:is>
      </x:c>
      <x:c r="D49" s="4" t="inlineStr">
        <x:is>
          <x:t xml:space="preserve">Standort</x:t>
        </x:is>
      </x:c>
      <x:c r="E49" s="4" t="inlineStr">
        <x:is>
          <x:t xml:space="preserve">EUTB Rhein-Pfalz-Kreis</x:t>
        </x:is>
      </x:c>
      <x:c r="F49" s="4" t="n"/>
      <x:c r="G49" s="4" t="inlineStr">
        <x:is>
          <x:t xml:space="preserve">Dahlienstraße 3a</x:t>
        </x:is>
      </x:c>
      <x:c r="H49" s="4" t="inlineStr">
        <x:is>
          <x:t xml:space="preserve">(im Mandelgrabencenter)</x:t>
        </x:is>
      </x:c>
      <x:c r="I49" s="4" t="inlineStr">
        <x:is>
          <x:t xml:space="preserve">67112</x:t>
        </x:is>
      </x:c>
      <x:c r="J49" s="4" t="inlineStr">
        <x:is>
          <x:t xml:space="preserve">Mutterstadt</x:t>
        </x:is>
      </x:c>
      <x:c r="K49" s="4" t="inlineStr">
        <x:is>
          <x:t xml:space="preserve">Rheinland-Pfalz</x:t>
        </x:is>
      </x:c>
      <x:c r="L49" s="4" t="inlineStr">
        <x:is>
          <x:t xml:space="preserve">06234 604360</x:t>
        </x:is>
      </x:c>
      <x:c r="M49" s="4" t="n"/>
      <x:c r="N49" s="4" t="inlineStr">
        <x:is>
          <x:t xml:space="preserve">Rhein-Pfalz-Kreis@eutb-rlp.de</x:t>
        </x:is>
      </x:c>
      <x:c r="O49" s="4" t="inlineStr">
        <x:is>
          <x:t xml:space="preserve">http://www.eutb-rlp.de</x:t>
        </x:is>
      </x:c>
      <x:c r="P49" s="4" t="n"/>
      <x:c r="Q49" s="4" t="n"/>
      <x:c r="R49" s="4" t="n"/>
      <x:c r="S49" s="4" t="inlineStr">
        <x:is>
          <x:t xml:space="preserve">offene Sprechstunde:
Montag 10-15 Uhr, Mittwoch 10-12 Uhr und Donnerstag 11-15 Uhr 
telefonische Erreichbarkeit:
Montag 10-15 Uhr, Mittwoch 12-17 Uhr, Donnerstag 11-15 Uhr und Freitag 10-13 Uhr
Individuelle Terminabsprachen nach Bedarf kurzfristig möglich. 
Beratungen können außerhalb der genannten Zeiten telefonisch, digital, per E-mail oder auch aufsuchend durchgeführt werden.</x:t>
        </x:is>
      </x:c>
      <x:c r="T49" s="4" t="n"/>
      <x:c r="U49" s="4" t="n"/>
      <x:c r="V49" s="4" t="inlineStr">
        <x:is>
          <x:t xml:space="preserve">B-Adresse</x:t>
        </x:is>
      </x:c>
      <x:c r="W49" s="4" t="inlineStr">
        <x:is>
          <x:t xml:space="preserve">Hausadresse offiziell bestätigt; Koordinate in dieser Revision nicht belastbar als Hauspunkt extrahierbar – nicht geschätzt</x:t>
        </x:is>
      </x:c>
      <x:c r="X49" s="4" t="inlineStr">
        <x:is>
          <x:t xml:space="preserve">Dahlienstraße 3a, (im Mandelgrabencenter), 67112 Mutterstadt, Deutschland</x:t>
        </x:is>
      </x:c>
      <x:c r="Y49" s="4" t="inlineStr">
        <x:is>
          <x:t xml:space="preserve">https://www.teilhabeberatung.de/beratung/beratungsangebote-der-eutb</x:t>
        </x:is>
      </x:c>
      <x:c r="Z49" s="4" t="inlineStr">
        <x:is>
          <x:t xml:space="preserve">2026-08-22</x:t>
        </x:is>
      </x:c>
      <x:c r="AA49" s="4" t="inlineStr">
        <x:is>
          <x:t xml:space="preserve">Vorderpfalz / Pfalz / Rheinhessen</x:t>
        </x:is>
      </x:c>
      <x:c r="AB49" s="4" t="inlineStr">
        <x:is>
          <x:t xml:space="preserve">MASTER – Kontaktdaten/Adresse geprüft</x:t>
        </x:is>
      </x:c>
      <x:c r="AC49" s="4" t="n"/>
      <x:c r="AD49" s="4" t="inlineStr">
        <x:is>
          <x:t xml:space="preserve">Offizieller EUTB-Beratungsatlas / Betreiberadresse; Koordinate bewusst offen</x:t>
        </x:is>
      </x:c>
      <x:c r="AE49" s="4" t="inlineStr">
        <x:is>
          <x:t xml:space="preserve">2026-08-23</x:t>
        </x:is>
      </x:c>
    </x:row>
    <x:row r="50">
      <x:c r="A50" s="4" t="inlineStr">
        <x:is>
          <x:t xml:space="preserve">EUTB-049</x:t>
        </x:is>
      </x:c>
      <x:c r="B50" s="4" t="inlineStr">
        <x:is>
          <x:t xml:space="preserve">Beratung / Teilhabe</x:t>
        </x:is>
      </x:c>
      <x:c r="C50" s="4" t="inlineStr">
        <x:is>
          <x:t xml:space="preserve">EUTB / unabhängige Teilhabeberatung</x:t>
        </x:is>
      </x:c>
      <x:c r="D50" s="4" t="inlineStr">
        <x:is>
          <x:t xml:space="preserve">Hauptstelle/Angebot</x:t>
        </x:is>
      </x:c>
      <x:c r="E50" s="4" t="inlineStr">
        <x:is>
          <x:t xml:space="preserve">EUTB Frankenthal</x:t>
        </x:is>
      </x:c>
      <x:c r="F50" s="4" t="n"/>
      <x:c r="G50" s="4" t="inlineStr">
        <x:is>
          <x:t xml:space="preserve">Mahlastraße 35</x:t>
        </x:is>
      </x:c>
      <x:c r="H50" s="4" t="inlineStr">
        <x:is>
          <x:t xml:space="preserve">Mehrgenerationenhaus Frankenthal</x:t>
        </x:is>
      </x:c>
      <x:c r="I50" s="4" t="inlineStr">
        <x:is>
          <x:t xml:space="preserve">67227</x:t>
        </x:is>
      </x:c>
      <x:c r="J50" s="4" t="inlineStr">
        <x:is>
          <x:t xml:space="preserve">Frankenthal</x:t>
        </x:is>
      </x:c>
      <x:c r="K50" s="4" t="inlineStr">
        <x:is>
          <x:t xml:space="preserve">Rheinland-Pfalz</x:t>
        </x:is>
      </x:c>
      <x:c r="L50" s="4" t="inlineStr">
        <x:is>
          <x:t xml:space="preserve">0151 23609540</x:t>
        </x:is>
      </x:c>
      <x:c r="M50" s="4" t="n"/>
      <x:c r="N50" s="4" t="inlineStr">
        <x:is>
          <x:t xml:space="preserve">frankenthal@eutb-netzg.de</x:t>
        </x:is>
      </x:c>
      <x:c r="O50" s="4" t="n"/>
      <x:c r="P50" s="4" t="inlineStr">
        <x:is>
          <x:t xml:space="preserve">DGS externe Dolmetschung</x:t>
        </x:is>
      </x:c>
      <x:c r="Q50" s="4" t="n"/>
      <x:c r="R50" s="4" t="n"/>
      <x:c r="S50" s="4" t="inlineStr">
        <x:is>
          <x:t xml:space="preserve">Telefonische Erreichbarkeit:
Montag 11:00 bis 15:00 Uhr 
Dienstag 9:00 bis 16:00 Uhr
Mittwoch 9:00 bis 15:00 Uhr
Donnerstag 9:00 bis 17:00 Uhr
Freitag 8:00 - 13:00 Uhr
Gerne vereinbaren wir persönliche Termine für unsere Standorte</x:t>
        </x:is>
      </x:c>
      <x:c r="T50" s="4" t="n"/>
      <x:c r="U50" s="4" t="n"/>
      <x:c r="V50" s="4" t="inlineStr">
        <x:is>
          <x:t xml:space="preserve">B-Adresse</x:t>
        </x:is>
      </x:c>
      <x:c r="W50" s="4" t="inlineStr">
        <x:is>
          <x:t xml:space="preserve">Hausadresse offiziell bestätigt; Koordinate in dieser Revision nicht belastbar als Hauspunkt extrahierbar – nicht geschätzt</x:t>
        </x:is>
      </x:c>
      <x:c r="X50" s="4" t="inlineStr">
        <x:is>
          <x:t xml:space="preserve">Mahlastraße 35, Mehrgenerationenhaus Frankenthal, 67227 Frankenthal, Deutschland</x:t>
        </x:is>
      </x:c>
      <x:c r="Y50" s="4" t="inlineStr">
        <x:is>
          <x:t xml:space="preserve">https://www.teilhabeberatung.de/beratung/beratungsangebote-der-eutb</x:t>
        </x:is>
      </x:c>
      <x:c r="Z50" s="4" t="inlineStr">
        <x:is>
          <x:t xml:space="preserve">2026-08-22</x:t>
        </x:is>
      </x:c>
      <x:c r="AA50" s="4" t="inlineStr">
        <x:is>
          <x:t xml:space="preserve">Vorderpfalz / Pfalz / Rheinhessen</x:t>
        </x:is>
      </x:c>
      <x:c r="AB50" s="4" t="inlineStr">
        <x:is>
          <x:t xml:space="preserve">MASTER – Kontaktdaten/Adresse geprüft</x:t>
        </x:is>
      </x:c>
      <x:c r="AC50" s="4" t="n"/>
      <x:c r="AD50" s="4" t="inlineStr">
        <x:is>
          <x:t xml:space="preserve">Offizieller EUTB-Beratungsatlas / Betreiberadresse; Koordinate bewusst offen</x:t>
        </x:is>
      </x:c>
      <x:c r="AE50" s="4" t="inlineStr">
        <x:is>
          <x:t xml:space="preserve">2026-08-23</x:t>
        </x:is>
      </x:c>
    </x:row>
    <x:row r="51">
      <x:c r="A51" s="4" t="inlineStr">
        <x:is>
          <x:t xml:space="preserve">EUTB-050</x:t>
        </x:is>
      </x:c>
      <x:c r="B51" s="4" t="inlineStr">
        <x:is>
          <x:t xml:space="preserve">Beratung / Teilhabe</x:t>
        </x:is>
      </x:c>
      <x:c r="C51" s="4" t="inlineStr">
        <x:is>
          <x:t xml:space="preserve">EUTB / unabhängige Teilhabeberatung</x:t>
        </x:is>
      </x:c>
      <x:c r="D51" s="4" t="inlineStr">
        <x:is>
          <x:t xml:space="preserve">Hauptstelle/Angebot</x:t>
        </x:is>
      </x:c>
      <x:c r="E51" s="4" t="inlineStr">
        <x:is>
          <x:t xml:space="preserve">EUTB Donnersbergkreis</x:t>
        </x:is>
      </x:c>
      <x:c r="F51" s="4" t="n"/>
      <x:c r="G51" s="4" t="inlineStr">
        <x:is>
          <x:t xml:space="preserve">Schloßstraße 10</x:t>
        </x:is>
      </x:c>
      <x:c r="H51" s="4" t="n"/>
      <x:c r="I51" s="4" t="inlineStr">
        <x:is>
          <x:t xml:space="preserve">67292</x:t>
        </x:is>
      </x:c>
      <x:c r="J51" s="4" t="inlineStr">
        <x:is>
          <x:t xml:space="preserve">Kirchheimbolanden</x:t>
        </x:is>
      </x:c>
      <x:c r="K51" s="4" t="inlineStr">
        <x:is>
          <x:t xml:space="preserve">Rheinland-Pfalz</x:t>
        </x:is>
      </x:c>
      <x:c r="L51" s="4" t="inlineStr">
        <x:is>
          <x:t xml:space="preserve">06352 6788737</x:t>
        </x:is>
      </x:c>
      <x:c r="M51" s="4" t="n"/>
      <x:c r="N51" s="4" t="inlineStr">
        <x:is>
          <x:t xml:space="preserve">donnersbergkreis@eutb-rlp.de</x:t>
        </x:is>
      </x:c>
      <x:c r="O51" s="4" t="inlineStr">
        <x:is>
          <x:t xml:space="preserve">https://www.eutb-rlp.de</x:t>
        </x:is>
      </x:c>
      <x:c r="P51" s="4" t="n"/>
      <x:c r="Q51" s="4" t="n"/>
      <x:c r="R51" s="4" t="n"/>
      <x:c r="S51" s="4" t="inlineStr">
        <x:is>
          <x:t xml:space="preserve">Montag: offene Sprechstunde und telefonische Erreichbarkeit	11 Uhr bis 15 Uhr
Mittwoch: Telefonische Erreichbarkeit und Online-Beratungen	12 Uhr bis 17 Uhr
Donnerstag: offene Sprechstunde und telefonische Erreichbarkeit	11 Uhr bis 15 Uhr
Freitag: Telefonische Erreichbarkeit und Online-Beratungen	10 Uhr bis 13 Uhr
Individuelle Terminabsprachen nach Bedarf kurzfristig möglich. Beratungen können außerhalb der genannten Zeiten auch aufsuchend, telefonisch, digital oder per E-Mail durchgeführt werden.</x:t>
        </x:is>
      </x:c>
      <x:c r="T51" s="4" t="n"/>
      <x:c r="U51" s="4" t="n"/>
      <x:c r="V51" s="4" t="inlineStr">
        <x:is>
          <x:t xml:space="preserve">B-Adresse</x:t>
        </x:is>
      </x:c>
      <x:c r="W51" s="4" t="inlineStr">
        <x:is>
          <x:t xml:space="preserve">Hausadresse offiziell bestätigt; Koordinate in dieser Revision nicht belastbar als Hauspunkt extrahierbar – nicht geschätzt</x:t>
        </x:is>
      </x:c>
      <x:c r="X51" s="4" t="inlineStr">
        <x:is>
          <x:t xml:space="preserve">Schloßstraße 10, 67292 Kirchheimbolanden, Deutschland</x:t>
        </x:is>
      </x:c>
      <x:c r="Y51" s="4" t="inlineStr">
        <x:is>
          <x:t xml:space="preserve">https://www.teilhabeberatung.de/beratung/beratungsangebote-der-eutb</x:t>
        </x:is>
      </x:c>
      <x:c r="Z51" s="4" t="inlineStr">
        <x:is>
          <x:t xml:space="preserve">2026-08-22</x:t>
        </x:is>
      </x:c>
      <x:c r="AA51" s="4" t="inlineStr">
        <x:is>
          <x:t xml:space="preserve">Vorderpfalz / Pfalz / Rheinhessen</x:t>
        </x:is>
      </x:c>
      <x:c r="AB51" s="4" t="inlineStr">
        <x:is>
          <x:t xml:space="preserve">MASTER – Kontaktdaten/Adresse geprüft</x:t>
        </x:is>
      </x:c>
      <x:c r="AC51" s="4" t="n"/>
      <x:c r="AD51" s="4" t="inlineStr">
        <x:is>
          <x:t xml:space="preserve">Offizieller EUTB-Beratungsatlas / Betreiberadresse; Koordinate bewusst offen</x:t>
        </x:is>
      </x:c>
      <x:c r="AE51" s="4" t="inlineStr">
        <x:is>
          <x:t xml:space="preserve">2026-08-23</x:t>
        </x:is>
      </x:c>
    </x:row>
    <x:row r="52">
      <x:c r="A52" s="4" t="inlineStr">
        <x:is>
          <x:t xml:space="preserve">EUTB-051</x:t>
        </x:is>
      </x:c>
      <x:c r="B52" s="4" t="inlineStr">
        <x:is>
          <x:t xml:space="preserve">Beratung / Teilhabe</x:t>
        </x:is>
      </x:c>
      <x:c r="C52" s="4" t="inlineStr">
        <x:is>
          <x:t xml:space="preserve">EUTB / unabhängige Teilhabeberatung</x:t>
        </x:is>
      </x:c>
      <x:c r="D52" s="4" t="inlineStr">
        <x:is>
          <x:t xml:space="preserve">Hauptstelle/Angebot</x:t>
        </x:is>
      </x:c>
      <x:c r="E52" s="4" t="inlineStr">
        <x:is>
          <x:t xml:space="preserve">EUTB Speyer</x:t>
        </x:is>
      </x:c>
      <x:c r="F52" s="4" t="n"/>
      <x:c r="G52" s="4" t="inlineStr">
        <x:is>
          <x:t xml:space="preserve">Petronia-Steiner-Straße 3-5</x:t>
        </x:is>
      </x:c>
      <x:c r="H52" s="4" t="n"/>
      <x:c r="I52" s="4" t="inlineStr">
        <x:is>
          <x:t xml:space="preserve">67346</x:t>
        </x:is>
      </x:c>
      <x:c r="J52" s="4" t="inlineStr">
        <x:is>
          <x:t xml:space="preserve">Speyer</x:t>
        </x:is>
      </x:c>
      <x:c r="K52" s="4" t="inlineStr">
        <x:is>
          <x:t xml:space="preserve">Rheinland-Pfalz</x:t>
        </x:is>
      </x:c>
      <x:c r="L52" s="4" t="inlineStr">
        <x:is>
          <x:t xml:space="preserve">0160 4343182</x:t>
        </x:is>
      </x:c>
      <x:c r="M52" s="4" t="n"/>
      <x:c r="N52" s="4" t="inlineStr">
        <x:is>
          <x:t xml:space="preserve">speyer@eutb-rlp.de</x:t>
        </x:is>
      </x:c>
      <x:c r="O52" s="4" t="inlineStr">
        <x:is>
          <x:t xml:space="preserve">http://www.eutb-rlp.de</x:t>
        </x:is>
      </x:c>
      <x:c r="P52" s="4" t="n"/>
      <x:c r="Q52" s="4" t="n"/>
      <x:c r="R52" s="4" t="n"/>
      <x:c r="S52" s="4" t="inlineStr">
        <x:is>
          <x:t xml:space="preserve">Montags: 		offene Sprechstd. u. telefon. Erreichbarkeit		10 Uhr bis 15 Uhr
Mittwochs: 		Telefonische Erreichbarkeit u. Online-Beratungen	12 Uhr 17 Uhr
Individuelle Terminabsprachen nach Bedarf kurzfristig möglich.  Beratungen können außerhalb der genannten Zeiten auch aufsuchend, telefonisch, digital oder per E-mail durchgeführt werden.</x:t>
        </x:is>
      </x:c>
      <x:c r="T52" s="4" t="n"/>
      <x:c r="U52" s="4" t="n"/>
      <x:c r="V52" s="4" t="inlineStr">
        <x:is>
          <x:t xml:space="preserve">B-Adresse</x:t>
        </x:is>
      </x:c>
      <x:c r="W52" s="4" t="inlineStr">
        <x:is>
          <x:t xml:space="preserve">Hausadresse offiziell bestätigt; Koordinate in dieser Revision nicht belastbar als Hauspunkt extrahierbar – nicht geschätzt</x:t>
        </x:is>
      </x:c>
      <x:c r="X52" s="4" t="inlineStr">
        <x:is>
          <x:t xml:space="preserve">Petronia-Steiner-Straße 3-5, 67346 Speyer, Deutschland</x:t>
        </x:is>
      </x:c>
      <x:c r="Y52" s="4" t="inlineStr">
        <x:is>
          <x:t xml:space="preserve">https://www.teilhabeberatung.de/beratung/beratungsangebote-der-eutb</x:t>
        </x:is>
      </x:c>
      <x:c r="Z52" s="4" t="inlineStr">
        <x:is>
          <x:t xml:space="preserve">2026-08-22</x:t>
        </x:is>
      </x:c>
      <x:c r="AA52" s="4" t="inlineStr">
        <x:is>
          <x:t xml:space="preserve">Vorderpfalz / Pfalz / Rheinhessen</x:t>
        </x:is>
      </x:c>
      <x:c r="AB52" s="4" t="inlineStr">
        <x:is>
          <x:t xml:space="preserve">MASTER – Kontaktdaten/Adresse geprüft</x:t>
        </x:is>
      </x:c>
      <x:c r="AC52" s="4" t="n"/>
      <x:c r="AD52" s="4" t="inlineStr">
        <x:is>
          <x:t xml:space="preserve">Offizieller EUTB-Beratungsatlas / Betreiberadresse; Koordinate bewusst offen</x:t>
        </x:is>
      </x:c>
      <x:c r="AE52" s="4" t="inlineStr">
        <x:is>
          <x:t xml:space="preserve">2026-08-23</x:t>
        </x:is>
      </x:c>
    </x:row>
    <x:row r="53">
      <x:c r="A53" s="4" t="inlineStr">
        <x:is>
          <x:t xml:space="preserve">EUTB-052</x:t>
        </x:is>
      </x:c>
      <x:c r="B53" s="4" t="inlineStr">
        <x:is>
          <x:t xml:space="preserve">Beratung / Teilhabe</x:t>
        </x:is>
      </x:c>
      <x:c r="C53" s="4" t="inlineStr">
        <x:is>
          <x:t xml:space="preserve">EUTB / unabhängige Teilhabeberatung</x:t>
        </x:is>
      </x:c>
      <x:c r="D53" s="4" t="inlineStr">
        <x:is>
          <x:t xml:space="preserve">Hauptstelle/Angebot</x:t>
        </x:is>
      </x:c>
      <x:c r="E53" s="4" t="inlineStr">
        <x:is>
          <x:t xml:space="preserve">EUTB Neustadt</x:t>
        </x:is>
      </x:c>
      <x:c r="F53" s="4" t="n"/>
      <x:c r="G53" s="4" t="inlineStr">
        <x:is>
          <x:t xml:space="preserve">Von-Hartmann-Straße 11</x:t>
        </x:is>
      </x:c>
      <x:c r="H53" s="4" t="inlineStr">
        <x:is>
          <x:t xml:space="preserve">im Mehrgenerationenhaus Neustadt</x:t>
        </x:is>
      </x:c>
      <x:c r="I53" s="4" t="inlineStr">
        <x:is>
          <x:t xml:space="preserve">67433</x:t>
        </x:is>
      </x:c>
      <x:c r="J53" s="4" t="inlineStr">
        <x:is>
          <x:t xml:space="preserve">Neustadt an der Weinstraße</x:t>
        </x:is>
      </x:c>
      <x:c r="K53" s="4" t="inlineStr">
        <x:is>
          <x:t xml:space="preserve">Rheinland-Pfalz</x:t>
        </x:is>
      </x:c>
      <x:c r="L53" s="4" t="inlineStr">
        <x:is>
          <x:t xml:space="preserve">06341 7039935</x:t>
        </x:is>
      </x:c>
      <x:c r="M53" s="4" t="n"/>
      <x:c r="N53" s="4" t="inlineStr">
        <x:is>
          <x:t xml:space="preserve">neustadt@eutb-netzg.de</x:t>
        </x:is>
      </x:c>
      <x:c r="O53" s="4" t="inlineStr">
        <x:is>
          <x:t xml:space="preserve">https://eutb-landau.de</x:t>
        </x:is>
      </x:c>
      <x:c r="P53" s="4" t="n"/>
      <x:c r="Q53" s="4" t="n"/>
      <x:c r="R53" s="4" t="n"/>
      <x:c r="S53" s="4" t="inlineStr">
        <x:is>
          <x:t xml:space="preserve">jede Woche Donnerstag 13-17:30 Uhr
Telefonische Erreichbarkeit:
Montag, Dienstag, Mittwoch: 10-16 Uhr, Donnerstag 10-17:30 Uhr, Freitag 9-13 Uhr
Gerne vereinbaren wir persönliche Termine an unseren Standorten</x:t>
        </x:is>
      </x:c>
      <x:c r="T53" s="4" t="n"/>
      <x:c r="U53" s="4" t="n"/>
      <x:c r="V53" s="4" t="inlineStr">
        <x:is>
          <x:t xml:space="preserve">B-Adresse</x:t>
        </x:is>
      </x:c>
      <x:c r="W53" s="4" t="inlineStr">
        <x:is>
          <x:t xml:space="preserve">Hausadresse offiziell bestätigt; Koordinate in dieser Revision nicht belastbar als Hauspunkt extrahierbar – nicht geschätzt</x:t>
        </x:is>
      </x:c>
      <x:c r="X53" s="4" t="inlineStr">
        <x:is>
          <x:t xml:space="preserve">Von-Hartmann-Straße 11, im Mehrgenerationenhaus Neustadt, 67433 Neustadt an der Weinstraße, Deutschland</x:t>
        </x:is>
      </x:c>
      <x:c r="Y53" s="4" t="inlineStr">
        <x:is>
          <x:t xml:space="preserve">https://www.teilhabeberatung.de/beratung/beratungsangebote-der-eutb</x:t>
        </x:is>
      </x:c>
      <x:c r="Z53" s="4" t="inlineStr">
        <x:is>
          <x:t xml:space="preserve">2026-08-22</x:t>
        </x:is>
      </x:c>
      <x:c r="AA53" s="4" t="inlineStr">
        <x:is>
          <x:t xml:space="preserve">Vorderpfalz / Pfalz / Rheinhessen</x:t>
        </x:is>
      </x:c>
      <x:c r="AB53" s="4" t="inlineStr">
        <x:is>
          <x:t xml:space="preserve">MASTER – Kontaktdaten/Adresse geprüft</x:t>
        </x:is>
      </x:c>
      <x:c r="AC53" s="4" t="n"/>
      <x:c r="AD53" s="4" t="inlineStr">
        <x:is>
          <x:t xml:space="preserve">Offizieller EUTB-Beratungsatlas / Betreiberadresse; Koordinate bewusst offen</x:t>
        </x:is>
      </x:c>
      <x:c r="AE53" s="4" t="inlineStr">
        <x:is>
          <x:t xml:space="preserve">2026-08-23</x:t>
        </x:is>
      </x:c>
    </x:row>
    <x:row r="54">
      <x:c r="A54" s="4" t="inlineStr">
        <x:is>
          <x:t xml:space="preserve">EUTB-053</x:t>
        </x:is>
      </x:c>
      <x:c r="B54" s="4" t="inlineStr">
        <x:is>
          <x:t xml:space="preserve">Beratung / Teilhabe</x:t>
        </x:is>
      </x:c>
      <x:c r="C54" s="4" t="inlineStr">
        <x:is>
          <x:t xml:space="preserve">EUTB / unabhängige Teilhabeberatung</x:t>
        </x:is>
      </x:c>
      <x:c r="D54" s="4" t="inlineStr">
        <x:is>
          <x:t xml:space="preserve">Hauptstelle/Angebot</x:t>
        </x:is>
      </x:c>
      <x:c r="E54" s="4" t="inlineStr">
        <x:is>
          <x:t xml:space="preserve">EUTB Kaiserslautern Club Aktiv e.V.</x:t>
        </x:is>
      </x:c>
      <x:c r="F54" s="4" t="inlineStr">
        <x:is>
          <x:t xml:space="preserve">Club Aktiv e.V.</x:t>
        </x:is>
      </x:c>
      <x:c r="G54" s="4" t="inlineStr">
        <x:is>
          <x:t xml:space="preserve">Maxstraße 7</x:t>
        </x:is>
      </x:c>
      <x:c r="H54" s="4" t="inlineStr">
        <x:is>
          <x:t xml:space="preserve">3. Etage</x:t>
        </x:is>
      </x:c>
      <x:c r="I54" s="4" t="inlineStr">
        <x:is>
          <x:t xml:space="preserve">67659</x:t>
        </x:is>
      </x:c>
      <x:c r="J54" s="4" t="inlineStr">
        <x:is>
          <x:t xml:space="preserve">Kaiserslautern</x:t>
        </x:is>
      </x:c>
      <x:c r="K54" s="4" t="inlineStr">
        <x:is>
          <x:t xml:space="preserve">Rheinland-Pfalz</x:t>
        </x:is>
      </x:c>
      <x:c r="L54" s="4" t="inlineStr">
        <x:is>
          <x:t xml:space="preserve">0174 155 188 9</x:t>
        </x:is>
      </x:c>
      <x:c r="M54" s="4" t="n"/>
      <x:c r="N54" s="4" t="inlineStr">
        <x:is>
          <x:t xml:space="preserve">eutb-kaiserslautern@clubaktiv.de</x:t>
        </x:is>
      </x:c>
      <x:c r="O54" s="4" t="inlineStr">
        <x:is>
          <x:t xml:space="preserve">https://www.clubaktiv.de/</x:t>
        </x:is>
      </x:c>
      <x:c r="P54" s="4" t="n"/>
      <x:c r="Q54" s="4" t="n"/>
      <x:c r="R54" s="4" t="n"/>
      <x:c r="S54" s="4" t="inlineStr">
        <x:is>
          <x:t xml:space="preserve">Offene Sprechstunde von Montag bis Freitag von 9 Uhr bis 12 Uhr und nach Vereinbarung</x:t>
        </x:is>
      </x:c>
      <x:c r="T54" s="4" t="n">
        <x:v>49.44516</x:v>
      </x:c>
      <x:c r="U54" s="4" t="n">
        <x:v>7.76617</x:v>
      </x:c>
      <x:c r="V54" s="4" t="inlineStr">
        <x:is>
          <x:t xml:space="preserve">B</x:t>
        </x:is>
      </x:c>
      <x:c r="W54" s="4" t="inlineStr">
        <x:is>
          <x:t xml:space="preserve">Stufe B – Maxstraße 7 – exakter Adresspunkt verifiziert</x:t>
        </x:is>
      </x:c>
      <x:c r="X54" s="4" t="inlineStr">
        <x:is>
          <x:t xml:space="preserve">Maxstraße 7, 3. Etage, 67659 Kaiserslautern, Deutschland</x:t>
        </x:is>
      </x:c>
      <x:c r="Y54" s="4" t="inlineStr">
        <x:is>
          <x:t xml:space="preserve">https://www.teilhabeberatung.de/beratung/beratungsangebote-der-eutb</x:t>
        </x:is>
      </x:c>
      <x:c r="Z54" s="4" t="inlineStr">
        <x:is>
          <x:t xml:space="preserve">2026-08-22</x:t>
        </x:is>
      </x:c>
      <x:c r="AA54" s="4" t="inlineStr">
        <x:is>
          <x:t xml:space="preserve">Vorderpfalz / Pfalz / Rheinhessen</x:t>
        </x:is>
      </x:c>
      <x:c r="AB54" s="4" t="inlineStr">
        <x:is>
          <x:t xml:space="preserve">MASTER – Kontaktdaten/Adresse geprüft</x:t>
        </x:is>
      </x:c>
      <x:c r="AC54" s="4" t="n"/>
      <x:c r="AD54" s="4" t="inlineStr">
        <x:is>
          <x:t xml:space="preserve">Webrecherche 23.08.2026: Mapcarta/OSM Maxstraße 7</x:t>
        </x:is>
      </x:c>
      <x:c r="AE54" s="4" t="inlineStr">
        <x:is>
          <x:t xml:space="preserve">2026-08-23</x:t>
        </x:is>
      </x:c>
    </x:row>
    <x:row r="55">
      <x:c r="A55" s="4" t="inlineStr">
        <x:is>
          <x:t xml:space="preserve">EUTB-054</x:t>
        </x:is>
      </x:c>
      <x:c r="B55" s="4" t="inlineStr">
        <x:is>
          <x:t xml:space="preserve">Beratung / Teilhabe</x:t>
        </x:is>
      </x:c>
      <x:c r="C55" s="4" t="inlineStr">
        <x:is>
          <x:t xml:space="preserve">EUTB / unabhängige Teilhabeberatung</x:t>
        </x:is>
      </x:c>
      <x:c r="D55" s="4" t="inlineStr">
        <x:is>
          <x:t xml:space="preserve">Hauptstelle/Angebot</x:t>
        </x:is>
      </x:c>
      <x:c r="E55" s="4" t="inlineStr">
        <x:is>
          <x:t xml:space="preserve">EUTB LK Germersheim</x:t>
        </x:is>
      </x:c>
      <x:c r="F55" s="4" t="n"/>
      <x:c r="G55" s="4" t="inlineStr">
        <x:is>
          <x:t xml:space="preserve">Gutenbergstraße 7a</x:t>
        </x:is>
      </x:c>
      <x:c r="H55" s="4" t="n"/>
      <x:c r="I55" s="4" t="inlineStr">
        <x:is>
          <x:t xml:space="preserve">76761</x:t>
        </x:is>
      </x:c>
      <x:c r="J55" s="4" t="inlineStr">
        <x:is>
          <x:t xml:space="preserve">Rülzheim</x:t>
        </x:is>
      </x:c>
      <x:c r="K55" s="4" t="inlineStr">
        <x:is>
          <x:t xml:space="preserve">Rheinland-Pfalz</x:t>
        </x:is>
      </x:c>
      <x:c r="L55" s="4" t="inlineStr">
        <x:is>
          <x:t xml:space="preserve">06341 7039935</x:t>
        </x:is>
      </x:c>
      <x:c r="M55" s="4" t="n"/>
      <x:c r="N55" s="4" t="inlineStr">
        <x:is>
          <x:t xml:space="preserve">germersheim@eutb-netzg.de</x:t>
        </x:is>
      </x:c>
      <x:c r="O55" s="4" t="inlineStr">
        <x:is>
          <x:t xml:space="preserve">https://eutb-landau.de</x:t>
        </x:is>
      </x:c>
      <x:c r="P55" s="4" t="n"/>
      <x:c r="Q55" s="4" t="n"/>
      <x:c r="R55" s="4" t="n"/>
      <x:c r="S55" s="4" t="inlineStr">
        <x:is>
          <x:t xml:space="preserve">Jede Woche Montag bis Mittwoch von  10.00 bis 16.00 Uhr, Donnerstag von 10.00 bis 17.00 Uhr, Freitag von  10.00 bis-13.00 Uhr. 
Das Büro im Haus der Familie in Germersheim ist nur nach Terminabsprache besetzt.</x:t>
        </x:is>
      </x:c>
      <x:c r="T55" s="4" t="n"/>
      <x:c r="U55" s="4" t="n"/>
      <x:c r="V55" s="4" t="inlineStr">
        <x:is>
          <x:t xml:space="preserve">B-Adresse</x:t>
        </x:is>
      </x:c>
      <x:c r="W55" s="4" t="str">
        <x:v>Hauspunkt/Gebäude am 25.08.2026 manuell per Kartenansicht verifiziert; numerische Koordinate bewusst nicht geschätzt.</x:v>
      </x:c>
      <x:c r="X55" s="4" t="inlineStr">
        <x:is>
          <x:t xml:space="preserve">Gutenbergstraße 7a, 76761 Rülzheim, Deutschland</x:t>
        </x:is>
      </x:c>
      <x:c r="Y55" s="4" t="inlineStr">
        <x:is>
          <x:t xml:space="preserve">https://www.teilhabeberatung.de/beratung/beratungsangebote-der-eutb</x:t>
        </x:is>
      </x:c>
      <x:c r="Z55" s="4" t="inlineStr">
        <x:is>
          <x:t xml:space="preserve">2026-08-22</x:t>
        </x:is>
      </x:c>
      <x:c r="AA55" s="4" t="inlineStr">
        <x:is>
          <x:t xml:space="preserve">Vorderpfalz / Pfalz / Rheinhessen</x:t>
        </x:is>
      </x:c>
      <x:c r="AB55" s="4" t="str">
        <x:v>MASTER – Adresse und Hauspunkt manuell verifiziert</x:v>
      </x:c>
      <x:c r="AC55" s="4" t="n"/>
      <x:c r="AD55" s="4" t="inlineStr">
        <x:is>
          <x:t xml:space="preserve">Offizieller EUTB-Beratungsatlas / Betreiberadresse; Koordinate bewusst offen</x:t>
        </x:is>
      </x:c>
      <x:c r="AE55" s="4" t="str">
        <x:v>2026-08-25</x:v>
      </x:c>
    </x:row>
    <x:row r="56">
      <x:c r="A56" s="4" t="inlineStr">
        <x:is>
          <x:t xml:space="preserve">EUTB-055</x:t>
        </x:is>
      </x:c>
      <x:c r="B56" s="4" t="inlineStr">
        <x:is>
          <x:t xml:space="preserve">Beratung / Teilhabe</x:t>
        </x:is>
      </x:c>
      <x:c r="C56" s="4" t="inlineStr">
        <x:is>
          <x:t xml:space="preserve">EUTB / unabhängige Teilhabeberatung</x:t>
        </x:is>
      </x:c>
      <x:c r="D56" s="4" t="inlineStr">
        <x:is>
          <x:t xml:space="preserve">Hauptstelle/Angebot</x:t>
        </x:is>
      </x:c>
      <x:c r="E56" s="4" t="inlineStr">
        <x:is>
          <x:t xml:space="preserve">EUTB Landau</x:t>
        </x:is>
      </x:c>
      <x:c r="F56" s="4" t="n"/>
      <x:c r="G56" s="4" t="inlineStr">
        <x:is>
          <x:t xml:space="preserve">Bodelschwinghstraße 27</x:t>
        </x:is>
      </x:c>
      <x:c r="H56" s="4" t="inlineStr">
        <x:is>
          <x:t xml:space="preserve">im Diakonissen Bethesda</x:t>
        </x:is>
      </x:c>
      <x:c r="I56" s="4" t="inlineStr">
        <x:is>
          <x:t xml:space="preserve">76829</x:t>
        </x:is>
      </x:c>
      <x:c r="J56" s="4" t="inlineStr">
        <x:is>
          <x:t xml:space="preserve">Landau in der Pfalz</x:t>
        </x:is>
      </x:c>
      <x:c r="K56" s="4" t="inlineStr">
        <x:is>
          <x:t xml:space="preserve">Rheinland-Pfalz</x:t>
        </x:is>
      </x:c>
      <x:c r="L56" s="4" t="inlineStr">
        <x:is>
          <x:t xml:space="preserve">06341 7039935</x:t>
        </x:is>
      </x:c>
      <x:c r="M56" s="4" t="n"/>
      <x:c r="N56" s="4" t="inlineStr">
        <x:is>
          <x:t xml:space="preserve">landau@eutb-netzg.de</x:t>
        </x:is>
      </x:c>
      <x:c r="O56" s="4" t="inlineStr">
        <x:is>
          <x:t xml:space="preserve">https://eutb-landau.de</x:t>
        </x:is>
      </x:c>
      <x:c r="P56" s="4" t="n"/>
      <x:c r="Q56" s="4" t="n"/>
      <x:c r="R56" s="4" t="n"/>
      <x:c r="S56" s="4" t="inlineStr">
        <x:is>
          <x:t xml:space="preserve">Dienstag von 9 Uhr bis 17 Uhr
Mittwoch von 9 Uhr bis 17 Uhr
Freitag von 9 Uhr bis 13 Uhr
Telefonische Erreichbarkeit:
Montag, Dienstag, Mittwoch: 10-16 Uhr, Donnerstag 10-17:30 Uhr, Freitag 9-13 Uhr
Gerne vereinbaren wir persönliche Termine an unseren Standorten.</x:t>
        </x:is>
      </x:c>
      <x:c r="T56" s="4" t="n">
        <x:v>49.2061225</x:v>
      </x:c>
      <x:c r="U56" s="4" t="n">
        <x:v>8.105558500000001</x:v>
      </x:c>
      <x:c r="V56" s="4" t="inlineStr">
        <x:is>
          <x:t xml:space="preserve">A/B</x:t>
        </x:is>
      </x:c>
      <x:c r="W56" s="4" t="inlineStr">
        <x:is>
          <x:t xml:space="preserve">Stufe A/B – Bodelschwinghstraße 27 / Bethesda – Gebäude-/Adresspunkt verifiziert</x:t>
        </x:is>
      </x:c>
      <x:c r="X56" s="4" t="inlineStr">
        <x:is>
          <x:t xml:space="preserve">Bodelschwinghstraße 27, im Diakonissen Bethesda, 76829 Landau in der Pfalz, Deutschland</x:t>
        </x:is>
      </x:c>
      <x:c r="Y56" s="4" t="inlineStr">
        <x:is>
          <x:t xml:space="preserve">https://www.teilhabeberatung.de/beratung/beratungsangebote-der-eutb</x:t>
        </x:is>
      </x:c>
      <x:c r="Z56" s="4" t="inlineStr">
        <x:is>
          <x:t xml:space="preserve">2026-08-22</x:t>
        </x:is>
      </x:c>
      <x:c r="AA56" s="4" t="inlineStr">
        <x:is>
          <x:t xml:space="preserve">Vorderpfalz / Pfalz / Rheinhessen</x:t>
        </x:is>
      </x:c>
      <x:c r="AB56" s="4" t="inlineStr">
        <x:is>
          <x:t xml:space="preserve">MASTER – Kontaktdaten/Adresse geprüft</x:t>
        </x:is>
      </x:c>
      <x:c r="AC56" s="4" t="n"/>
      <x:c r="AD56" s="4" t="inlineStr">
        <x:is>
          <x:t xml:space="preserve">Webrecherche 23.08.2026: Pfalz.de/Bethesda Bodelschwinghstraße 27</x:t>
        </x:is>
      </x:c>
      <x:c r="AE56" s="4" t="inlineStr">
        <x:is>
          <x:t xml:space="preserve">2026-08-23</x:t>
        </x:is>
      </x:c>
    </x:row>
    <x:row r="57">
      <x:c r="A57" s="4" t="inlineStr">
        <x:is>
          <x:t xml:space="preserve">EUTB-056</x:t>
        </x:is>
      </x:c>
      <x:c r="B57" s="4" t="inlineStr">
        <x:is>
          <x:t xml:space="preserve">Beratung / Teilhabe</x:t>
        </x:is>
      </x:c>
      <x:c r="C57" s="4" t="inlineStr">
        <x:is>
          <x:t xml:space="preserve">EUTB / unabhängige Teilhabeberatung</x:t>
        </x:is>
      </x:c>
      <x:c r="D57" s="4" t="inlineStr">
        <x:is>
          <x:t xml:space="preserve">Standort</x:t>
        </x:is>
      </x:c>
      <x:c r="E57" s="4" t="inlineStr">
        <x:is>
          <x:t xml:space="preserve">EUTB - Südliche Weinstraße</x:t>
        </x:is>
      </x:c>
      <x:c r="F57" s="4" t="n"/>
      <x:c r="G57" s="4" t="inlineStr">
        <x:is>
          <x:t xml:space="preserve">Leonard-Peters-Straße 3</x:t>
        </x:is>
      </x:c>
      <x:c r="H57" s="4" t="inlineStr">
        <x:is>
          <x:t xml:space="preserve">im Haus der Begegnung Herxheim</x:t>
        </x:is>
      </x:c>
      <x:c r="I57" s="4" t="inlineStr">
        <x:is>
          <x:t xml:space="preserve">76863</x:t>
        </x:is>
      </x:c>
      <x:c r="J57" s="4" t="inlineStr">
        <x:is>
          <x:t xml:space="preserve">Herxheim</x:t>
        </x:is>
      </x:c>
      <x:c r="K57" s="4" t="inlineStr">
        <x:is>
          <x:t xml:space="preserve">Rheinland-Pfalz</x:t>
        </x:is>
      </x:c>
      <x:c r="L57" s="4" t="inlineStr">
        <x:is>
          <x:t xml:space="preserve">06341 7039935</x:t>
        </x:is>
      </x:c>
      <x:c r="M57" s="4" t="n"/>
      <x:c r="N57" s="4" t="inlineStr">
        <x:is>
          <x:t xml:space="preserve">suew@eutb-netzg.de</x:t>
        </x:is>
      </x:c>
      <x:c r="O57" s="4" t="inlineStr">
        <x:is>
          <x:t xml:space="preserve">https://eutb-landau.de</x:t>
        </x:is>
      </x:c>
      <x:c r="P57" s="4" t="n"/>
      <x:c r="Q57" s="4" t="n"/>
      <x:c r="R57" s="4" t="n"/>
      <x:c r="S57" s="4" t="inlineStr">
        <x:is>
          <x:t xml:space="preserve">jede Woche Montag 9-13 Uhr und Mittwoch 9-13 Uhr 
Telefonische Erreichbarkeit:
Montag, Dienstag, Mittwoch: 10-16 Uhr, Donnerstag 10-17:30 Uhr, Freitag 9-13 Uhr
Gerne vereinbaren wir persönliche Termine an unseren Standorten</x:t>
        </x:is>
      </x:c>
      <x:c r="T57" s="4" t="n"/>
      <x:c r="U57" s="4" t="n"/>
      <x:c r="V57" s="4" t="inlineStr">
        <x:is>
          <x:t xml:space="preserve">B-Adresse</x:t>
        </x:is>
      </x:c>
      <x:c r="W57" s="4" t="inlineStr">
        <x:is>
          <x:t xml:space="preserve">Hausadresse offiziell bestätigt; Koordinate in dieser Revision nicht belastbar als Hauspunkt extrahierbar – nicht geschätzt</x:t>
        </x:is>
      </x:c>
      <x:c r="X57" s="4" t="inlineStr">
        <x:is>
          <x:t xml:space="preserve">Leonard-Peters-Straße 3, im Haus der Begegnung Herxheim, 76863 Herxheim, Deutschland</x:t>
        </x:is>
      </x:c>
      <x:c r="Y57" s="4" t="inlineStr">
        <x:is>
          <x:t xml:space="preserve">https://www.teilhabeberatung.de/beratung/beratungsangebote-der-eutb</x:t>
        </x:is>
      </x:c>
      <x:c r="Z57" s="4" t="inlineStr">
        <x:is>
          <x:t xml:space="preserve">2026-08-22</x:t>
        </x:is>
      </x:c>
      <x:c r="AA57" s="4" t="inlineStr">
        <x:is>
          <x:t xml:space="preserve">Vorderpfalz / Pfalz / Rheinhessen</x:t>
        </x:is>
      </x:c>
      <x:c r="AB57" s="4" t="inlineStr">
        <x:is>
          <x:t xml:space="preserve">MASTER – Kontaktdaten/Adresse geprüft</x:t>
        </x:is>
      </x:c>
      <x:c r="AC57" s="4" t="n"/>
      <x:c r="AD57" s="4" t="inlineStr">
        <x:is>
          <x:t xml:space="preserve">Offizieller EUTB-Beratungsatlas / Betreiberadresse; Koordinate bewusst offen</x:t>
        </x:is>
      </x:c>
      <x:c r="AE57" s="4" t="inlineStr">
        <x:is>
          <x:t xml:space="preserve">2026-08-23</x:t>
        </x:is>
      </x:c>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c r="AA58" s="4" t="n"/>
      <x:c r="AB58" s="4" t="n"/>
      <x:c r="AC58" s="4" t="n"/>
      <x:c r="AD58" s="9" t="n"/>
      <x:c r="AE58" s="9" t="n"/>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45" customWidth="1"/>
    <x:col min="13" max="13" width="18" customWidth="1"/>
    <x:col min="14" max="14" width="18" customWidth="1"/>
    <x:col min="15" max="15" width="18" customWidth="1"/>
    <x:col min="16" max="16" width="45" customWidth="1"/>
    <x:col min="17" max="17" width="48" customWidth="1"/>
    <x:col min="18" max="18" width="42" customWidth="1"/>
    <x:col min="19" max="19" width="18" customWidth="1"/>
  </x:cols>
  <x:sheetData>
    <x:row r="1">
      <x:c r="A1" s="36" t="inlineStr">
        <x:is>
          <x:t xml:space="preserve">Kategorie</x:t>
        </x:is>
      </x:c>
      <x:c r="B1" s="36" t="inlineStr">
        <x:is>
          <x:t xml:space="preserve">Fachgruppe</x:t>
        </x:is>
      </x:c>
      <x:c r="C1" s="36" t="inlineStr">
        <x:is>
          <x:t xml:space="preserve">Name</x:t>
        </x:is>
      </x:c>
      <x:c r="D1" s="36" t="inlineStr">
        <x:is>
          <x:t xml:space="preserve">Straße</x:t>
        </x:is>
      </x:c>
      <x:c r="E1" s="36" t="inlineStr">
        <x:is>
          <x:t xml:space="preserve">PLZ</x:t>
        </x:is>
      </x:c>
      <x:c r="F1" s="36" t="inlineStr">
        <x:is>
          <x:t xml:space="preserve">Ort</x:t>
        </x:is>
      </x:c>
      <x:c r="G1" s="36" t="inlineStr">
        <x:is>
          <x:t xml:space="preserve">Bundesland</x:t>
        </x:is>
      </x:c>
      <x:c r="H1" s="36" t="inlineStr">
        <x:is>
          <x:t xml:space="preserve">Telefon</x:t>
        </x:is>
      </x:c>
      <x:c r="I1" s="36" t="inlineStr">
        <x:is>
          <x:t xml:space="preserve">Mobil</x:t>
        </x:is>
      </x:c>
      <x:c r="J1" s="36" t="inlineStr">
        <x:is>
          <x:t xml:space="preserve">E-Mail</x:t>
        </x:is>
      </x:c>
      <x:c r="K1" s="36" t="inlineStr">
        <x:is>
          <x:t xml:space="preserve">Website</x:t>
        </x:is>
      </x:c>
      <x:c r="L1" s="36" t="inlineStr">
        <x:is>
          <x:t xml:space="preserve">Schwerpunkte</x:t>
        </x:is>
      </x:c>
      <x:c r="M1" s="36" t="inlineStr">
        <x:is>
          <x:t xml:space="preserve">Region</x:t>
        </x:is>
      </x:c>
      <x:c r="N1" s="36" t="inlineStr">
        <x:is>
          <x:t xml:space="preserve">Breitengrad</x:t>
        </x:is>
      </x:c>
      <x:c r="O1" s="36" t="inlineStr">
        <x:is>
          <x:t xml:space="preserve">Längengrad</x:t>
        </x:is>
      </x:c>
      <x:c r="P1" s="36" t="inlineStr">
        <x:is>
          <x:t xml:space="preserve">Geo-Status</x:t>
        </x:is>
      </x:c>
      <x:c r="Q1" s="36" t="inlineStr">
        <x:is>
          <x:t xml:space="preserve">Datenstatus</x:t>
        </x:is>
      </x:c>
      <x:c r="R1" s="36" t="inlineStr">
        <x:is>
          <x:t xml:space="preserve">Quelle / Nachweis</x:t>
        </x:is>
      </x:c>
      <x:c r="S1" s="36" t="inlineStr">
        <x:is>
          <x:t xml:space="preserve">Prüfdatum</x:t>
        </x:is>
      </x:c>
    </x:row>
    <x:row r="2">
      <x:c r="A2" s="45" t="inlineStr">
        <x:is>
          <x:t xml:space="preserve">Leistungen zur Teilhabe am Arbeitsleben (LTA) / Kfz-Hilfe / Mobilität</x:t>
        </x:is>
      </x:c>
      <x:c r="B2" s="45" t="inlineStr">
        <x:is>
          <x:t xml:space="preserve">Mobilitätssachverständiger</x:t>
        </x:is>
      </x:c>
      <x:c r="C2" s="45" t="inlineStr">
        <x:is>
          <x:t xml:space="preserve">Gerd Waldvogel</x:t>
        </x:is>
      </x:c>
      <x:c r="D2" s="45" t="inlineStr">
        <x:is>
          <x:t xml:space="preserve">Am Kalkofen 20</x:t>
        </x:is>
      </x:c>
      <x:c r="E2" s="45" t="inlineStr">
        <x:is>
          <x:t xml:space="preserve">64732</x:t>
        </x:is>
      </x:c>
      <x:c r="F2" s="45" t="inlineStr">
        <x:is>
          <x:t xml:space="preserve">Bad König</x:t>
        </x:is>
      </x:c>
      <x:c r="G2" s="45" t="inlineStr">
        <x:is>
          <x:t xml:space="preserve">Hessen</x:t>
        </x:is>
      </x:c>
      <x:c r="H2" s="45" t="inlineStr">
        <x:is>
          <x:t xml:space="preserve">06163 9437952</x:t>
        </x:is>
      </x:c>
      <x:c r="I2" s="45" t="inlineStr">
        <x:is>
          <x:t xml:space="preserve">0151 5484 5669</x:t>
        </x:is>
      </x:c>
      <x:c r="J2" s="45" t="inlineStr">
        <x:is>
          <x:t xml:space="preserve">gerd.waldvogel@yahoo.de</x:t>
        </x:is>
      </x:c>
      <x:c r="K2" s="45" t="inlineStr">
        <x:is>
          <x:t xml:space="preserve"/>
        </x:is>
      </x:c>
      <x:c r="L2" s="45" t="inlineStr">
        <x:is>
          <x:t xml:space="preserve">Mobilitätsbegutachtung; Kfz-Hilfe; behinderungsgerechte Mobilität</x:t>
        </x:is>
      </x:c>
      <x:c r="M2" s="45" t="inlineStr">
        <x:is>
          <x:t xml:space="preserve">Odenwald</x:t>
        </x:is>
      </x:c>
      <x:c r="N2" s="45" t="n">
        <x:v>49.767115</x:v>
      </x:c>
      <x:c r="O2" s="45" t="n">
        <x:v>8.945748</x:v>
      </x:c>
      <x:c r="P2" s="45" t="inlineStr">
        <x:is>
          <x:t xml:space="preserve">Adresspunkt Am Kalkofen 20; Koordinaten öffentlich adressbezogen plausibilisiert</x:t>
        </x:is>
      </x:c>
      <x:c r="Q2" s="45" t="inlineStr">
        <x:is>
          <x:t xml:space="preserve">Aufgenommen; Funktion/Adresse/Festnetz/E-Mail öffentlich bestätigt; Mobilnummer aus Nutzerbestand</x:t>
        </x:is>
      </x:c>
      <x:c r="R2" s="45" t="inlineStr">
        <x:is>
          <x:t xml:space="preserve">Genny Mobility Händler &amp; Partner; Altbestand BG-RehaManager 4.2</x:t>
        </x:is>
      </x:c>
      <x:c r="S2" s="45" t="inlineStr">
        <x:is>
          <x:t xml:space="preserve">2026-08-25</x:t>
        </x:is>
      </x:c>
    </x:row>
    <x:row r="3">
      <x:c r="A3" s="30" t="str">
        <x:v>Soziale Teilhabe / Wohnen</x:v>
      </x:c>
      <x:c r="B3" s="30" t="str">
        <x:v>Wohnungshilfe / beratende Architekten</x:v>
      </x:c>
      <x:c r="C3" s="30" t="str">
        <x:v>Jochen Martini – Architekt / Gutachter Wohnraumanpassung</x:v>
      </x:c>
      <x:c r="D3" s="30" t="str">
        <x:v>Am Dicken Stein 49</x:v>
      </x:c>
      <x:c r="E3" s="30" t="str">
        <x:v>67466</x:v>
      </x:c>
      <x:c r="F3" s="30" t="str">
        <x:v>Lambrecht (Pfalz)</x:v>
      </x:c>
      <x:c r="G3" s="30" t="str">
        <x:v>Rheinland-Pfalz</x:v>
      </x:c>
      <x:c r="H3" s="30" t="str">
        <x:v>06325 980590</x:v>
      </x:c>
      <x:c r="I3" s="30" t="str"/>
      <x:c r="J3" s="30" t="str">
        <x:v>Jochen.martini@t-online.de</x:v>
      </x:c>
      <x:c r="K3" s="30" t="str"/>
      <x:c r="L3" s="30" t="str">
        <x:v>Wohnungsanpassung; Barrierefreiheit; bauliche Begutachtung; behindertengerechter Umbau; Wohnraumanalyse</x:v>
      </x:c>
      <x:c r="M3" s="30" t="str">
        <x:v>Vorderpfalz / Pfalz</x:v>
      </x:c>
      <x:c r="N3" s="30"/>
      <x:c r="O3" s="30"/>
      <x:c r="P3" s="30" t="str">
        <x:v>Hausadresse visuell verifiziert / produktionsreif; numerische Koordinate bewusst nicht geschätzt</x:v>
      </x:c>
      <x:c r="Q3" s="30" t="str">
        <x:v>verifiziert</x:v>
      </x:c>
      <x:c r="R3" s="30" t="str">
        <x:v>Nutzerbestätigter Kartenscreenshot 26.08.2026; öffentliche Adress-/Festnetzbestätigung</x:v>
      </x:c>
      <x:c r="S3" s="30" t="str">
        <x:v>2026-08-26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0" customWidth="1"/>
    <x:col min="2" max="2" width="110" customWidth="1"/>
  </x:cols>
  <x:sheetData>
    <x:row r="1">
      <x:c r="A1" s="11" t="inlineStr">
        <x:is>
          <x:t xml:space="preserve">Prüfpunkt</x:t>
        </x:is>
      </x:c>
      <x:c r="B1" s="11" t="inlineStr">
        <x:is>
          <x:t xml:space="preserve">Ergebnis</x:t>
        </x:is>
      </x:c>
    </x:row>
    <x:row r="2">
      <x:c r="A2" s="10" t="inlineStr">
        <x:is>
          <x:t xml:space="preserve">Neurologie A–E</x:t>
        </x:is>
      </x:c>
      <x:c r="B2" s="10" t="inlineStr">
        <x:is>
          <x:t xml:space="preserve">Kontakt-/Adressabgleich durchgeführt; 30 gemeinsame Altbestands-Einrichtungen ohne Abweichung; 4 neuere Einrichtungen unverändert.</x:t>
        </x:is>
      </x:c>
    </x:row>
    <x:row r="3">
      <x:c r="A3" s="10" t="inlineStr">
        <x:is>
          <x:t xml:space="preserve">Phase F</x:t>
        </x:is>
      </x:c>
      <x:c r="B3" s="10" t="inlineStr">
        <x:is>
          <x:t xml:space="preserve">Fehlende Primärkontakte aus bereits vorhandenen Direkt-/Aufnahmekontakten ergänzt; unsichere Felder offen gelassen.</x:t>
        </x:is>
      </x:c>
    </x:row>
    <x:row r="4">
      <x:c r="A4" s="10" t="inlineStr">
        <x:is>
          <x:t xml:space="preserve">EUTB</x:t>
        </x:is>
      </x:c>
      <x:c r="B4" s="10" t="inlineStr">
        <x:is>
          <x:t xml:space="preserve">EUTB Heilbronn: vorhandene Telefonnummern in Primärfeld übertragen; sonst keine unbelegte Ergänzung.</x:t>
        </x:is>
      </x:c>
    </x:row>
    <x:row r="5">
      <x:c r="A5" s="10" t="inlineStr">
        <x:is>
          <x:t xml:space="preserve">Gerd Waldvogel</x:t>
        </x:is>
      </x:c>
      <x:c r="B5" s="10" t="inlineStr">
        <x:is>
          <x:t xml:space="preserve">Im älteren 4.2-Datenbestand bereits als ID 319 vorhanden. In Master 4.3 ausdrücklich übernommen.</x:t>
        </x:is>
      </x:c>
    </x:row>
    <x:row r="6">
      <x:c r="A6" s="10" t="inlineStr">
        <x:is>
          <x:t xml:space="preserve">Waldvogel Adresskorrektur</x:t>
        </x:is>
      </x:c>
      <x:c r="B6" s="10" t="inlineStr">
        <x:is>
          <x:t xml:space="preserve">Älterer Bestand enthielt 64737; öffentliche aktuelle Quellen bestätigen 64732 Bad König. Master 4.3 verwendet 64732.</x:t>
        </x:is>
      </x:c>
    </x:row>
    <x:row r="7">
      <x:c r="A7" s="10" t="inlineStr">
        <x:is>
          <x:t xml:space="preserve">Waldvogel Geodaten</x:t>
        </x:is>
      </x:c>
      <x:c r="B7" s="10" t="inlineStr">
        <x:is>
          <x:t xml:space="preserve">Adressbezogener Punkt Am Kalkofen 20: 49.767115 / 8.945748; nicht als personenbezogene Präzisionsvermessung zu verstehen.</x:t>
        </x:is>
      </x:c>
    </x:row>
    <x:row r="8">
      <x:c r="A8" s="10" t="str">
        <x:v>Psychotherapie-Bereinigung</x:v>
      </x:c>
      <x:c r="B8" s="10" t="str">
        <x:v>Wilma Astrid Fleig (Dietzenbach) und Christine/Christin Gräbner (Geiselbach) verbindlich aus dem produktiven Masterbestand ausgeschlossen; keine weitere Recherche.</x:v>
      </x:c>
    </x:row>
    <x:row r="9">
      <x:c r="A9" t="str">
        <x:v>Freigabe</x:v>
      </x:c>
      <x:c r="B9" t="str">
        <x:v>Fachlicher Master 4.3 am 25.08.2026 eingefroren; technische Import-/Integritätskontrolle bleibt vor Deployment erforderlich.</x:v>
      </x:c>
    </x:row>
    <x:row r="10">
      <x:c r="A10" t="str">
        <x:v>Neurologie 4.4.2 – Bad König</x:v>
      </x:c>
      <x:c r="B10" t="str">
        <x:v>Asklepios Schlossberg Klinik Bad König ergänzt. Aktuelle Asklepios-Seite weist Spezialisierung auf neurologische Frührehabilitation Phase B aus; keine Phase-C-Zuordnung übernommen.</x:v>
      </x:c>
    </x:row>
    <x:row r="11">
      <x:c r="A11" t="str">
        <x:v>Neurologie 4.4.2 – Kurpfalz Heidelberg</x:v>
      </x:c>
      <x:c r="B11" t="str">
        <x:v>SRH Kurpfalzkrankenhaus Heidelberg ergänzt. Aktuelle SRH-Seite weist neurologische Frührehabilitation Phase B aus; keine Phase-C-Zuordnung übernommen.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4" hidden="0" customWidth="1"/>
    <x:col min="4" max="4" width="38" hidden="0" customWidth="1"/>
    <x:col min="5" max="5" width="38" hidden="0" customWidth="1"/>
    <x:col min="6" max="6" width="38" hidden="0" customWidth="1"/>
    <x:col min="7" max="7" width="22" hidden="0" customWidth="1"/>
  </x:cols>
  <x:sheetData>
    <x:row r="1">
      <x:c r="A1" s="26" t="str">
        <x:v>Prüfbereich</x:v>
      </x:c>
      <x:c r="B1" s="26" t="str">
        <x:v>Modul</x:v>
      </x:c>
      <x:c r="C1" s="26" t="str">
        <x:v>Datensatz/Umfang</x:v>
      </x:c>
      <x:c r="D1" s="26" t="str">
        <x:v>Ergebnis</x:v>
      </x:c>
      <x:c r="E1" s="26" t="str">
        <x:v>Offene Punkte</x:v>
      </x:c>
      <x:c r="F1" s="26" t="str">
        <x:v>Maßnahme</x:v>
      </x:c>
      <x:c r="G1" s="26" t="str">
        <x:v>Status</x:v>
      </x:c>
    </x:row>
    <x:row r="2">
      <x:c r="A2" s="30" t="str">
        <x:v>Geodaten</x:v>
      </x:c>
      <x:c r="B2" s="30" t="str">
        <x:v>Neurologie A–E</x:v>
      </x:c>
      <x:c r="C2" s="30" t="str">
        <x:v>36 Einrichtungen</x:v>
      </x:c>
      <x:c r="D2" s="30" t="str">
        <x:v>Koordinatenfelder im konsistenzgeprüften Modul vorhanden; Bad König und SRH Kurpfalzkrankenhaus Heidelberg mit adressbezogenen Klinikpunkten ergänzt.</x:v>
      </x:c>
      <x:c r="E2" s="30" t="str">
        <x:v>Adressgenauigkeit nicht allein aus Reverse-Geocoding ableiten.</x:v>
      </x:c>
      <x:c r="F2" s="30" t="str">
        <x:v>Bei Kartenimport Geo-Status mitführen; auffällige Punkte visuell prüfen.</x:v>
      </x:c>
      <x:c r="G2" s="30" t="str">
        <x:v>FREIGABE MIT KONTROLLE</x:v>
      </x:c>
    </x:row>
    <x:row r="3">
      <x:c r="A3" s="30" t="str">
        <x:v>Geodaten</x:v>
      </x:c>
      <x:c r="B3" s="30" t="str">
        <x:v>Phase F</x:v>
      </x:c>
      <x:c r="C3" s="30" t="str">
        <x:v>17 Einrichtungen</x:v>
      </x:c>
      <x:c r="D3" s="30" t="str">
        <x:v>Koordinaten in allen 17 Datensätzen vorhanden.</x:v>
      </x:c>
      <x:c r="E3" s="30" t="str">
        <x:v>Nominatim/OSM kann bei fehlender Gebäudeadresse auf nahe Objekte zurückfallen.</x:v>
      </x:c>
      <x:c r="F3" s="30" t="str">
        <x:v>Hausnummer/Ort bei neuen oder geänderten Datensätzen vor Kartenfreigabe visuell plausibilisieren.</x:v>
      </x:c>
      <x:c r="G3" s="30" t="str">
        <x:v>FREIGABE MIT KONTROLLE</x:v>
      </x:c>
    </x:row>
    <x:row r="4">
      <x:c r="A4" s="30" t="str">
        <x:v>Geodaten</x:v>
      </x:c>
      <x:c r="B4" s="30" t="str">
        <x:v>EUTB</x:v>
      </x:c>
      <x:c r="C4" s="30" t="str">
        <x:v>56 Einrichtungen</x:v>
      </x:c>
      <x:c r="D4" s="30" t="str">
        <x:v>Geodatenbestand bereits Stufe-B/Adressprüfung unterzogen.</x:v>
      </x:c>
      <x:c r="E4" s="30" t="str">
        <x:v>Keine erneute Vollrecherche erforderlich.</x:v>
      </x:c>
      <x:c r="F4" s="30" t="str">
        <x:v>Geo-Status und Geoquelle beim Import nicht verwerfen.</x:v>
      </x:c>
      <x:c r="G4" s="30" t="str">
        <x:v>FREIGEGEBEN</x:v>
      </x:c>
    </x:row>
    <x:row r="5">
      <x:c r="A5" s="30" t="str">
        <x:v>Kontakte</x:v>
      </x:c>
      <x:c r="B5" s="30" t="str">
        <x:v>Neurologie A–E</x:v>
      </x:c>
      <x:c r="C5" s="30" t="str">
        <x:v>36 Einrichtungen</x:v>
      </x:c>
      <x:c r="D5" s="30" t="str">
        <x:v>Abgleich inkl. Bad König und SRH Kurpfalzkrankenhaus Heidelberg; aktuelle Primärquellen bestätigen jeweils Phase B.</x:v>
      </x:c>
      <x:c r="E5" s="30" t="str">
        <x:v>Keine systematischen Übertragungsfehler gefunden.</x:v>
      </x:c>
      <x:c r="F5" s="30" t="str">
        <x:v>Unverändert übernehmen.</x:v>
      </x:c>
      <x:c r="G5" s="30" t="str">
        <x:v>FREIGEGEBEN</x:v>
      </x:c>
    </x:row>
    <x:row r="6">
      <x:c r="A6" s="30" t="str">
        <x:v>Kontakte</x:v>
      </x:c>
      <x:c r="B6" s="30" t="str">
        <x:v>Phase F</x:v>
      </x:c>
      <x:c r="C6" s="30" t="str">
        <x:v>17 Einrichtungen</x:v>
      </x:c>
      <x:c r="D6" s="30" t="str">
        <x:v>Primärkontakte für Haus Minneburg und Konrad-Arndt ergänzt.</x:v>
      </x:c>
      <x:c r="E6" s="30" t="str">
        <x:v>Keine fachlich blockierenden Kontaktlücken.</x:v>
      </x:c>
      <x:c r="F6" s="30" t="str">
        <x:v>Beim Import Direktkontakte/URLs vollständig erhalten.</x:v>
      </x:c>
      <x:c r="G6" s="30" t="str">
        <x:v>FREIGEGEBEN</x:v>
      </x:c>
    </x:row>
    <x:row r="7">
      <x:c r="A7" s="30" t="str">
        <x:v>Kontakte</x:v>
      </x:c>
      <x:c r="B7" s="30" t="str">
        <x:v>EUTB</x:v>
      </x:c>
      <x:c r="C7" s="30" t="str">
        <x:v>56 Einrichtungen</x:v>
      </x:c>
      <x:c r="D7" s="30" t="str">
        <x:v>Miltenberg und Darmstadt/Griesheim telefonisch ergänzt; Rülzheim-Hauspunkt manuell bestätigt.</x:v>
      </x:c>
      <x:c r="E7" s="30" t="str">
        <x:v>Numerische Koordinate Rülzheim bleibt bewusst ungeschätzt, solange kein belastbarer Hauspunktwert vorliegt.</x:v>
      </x:c>
      <x:c r="F7" s="30" t="str">
        <x:v>Geo-Prüfstatus beim Import erhalten; keine Koordinate schätzen.</x:v>
      </x:c>
      <x:c r="G7" s="30" t="str">
        <x:v>FREIGEGEBEN</x:v>
      </x:c>
    </x:row>
    <x:row r="8">
      <x:c r="A8" s="30" t="str">
        <x:v>Dubletten</x:v>
      </x:c>
      <x:c r="B8" s="30" t="str">
        <x:v>Gesamtbestand</x:v>
      </x:c>
      <x:c r="C8" s="30" t="str">
        <x:v>A–E / F / EUTB / Ergänzungen</x:v>
      </x:c>
      <x:c r="D8" s="30" t="str">
        <x:v>Keine offensichtliche identische Dublette im Phase-F-/Ergänzungscheck; Mehrfachstandorte sind grundsätzlich zulässig.</x:v>
      </x:c>
      <x:c r="E8" s="30" t="str">
        <x:v>Namensgleichheit allein ist kein Löschkriterium.</x:v>
      </x:c>
      <x:c r="F8" s="30" t="str">
        <x:v>Dubletten künftig über Name + Straße + PLZ + Leistungsgruppe prüfen.</x:v>
      </x:c>
      <x:c r="G8" s="30" t="str">
        <x:v>REGEL FESTGELEGT</x:v>
      </x:c>
    </x:row>
    <x:row r="9">
      <x:c r="A9" s="30" t="str">
        <x:v>Kategorien/Filter</x:v>
      </x:c>
      <x:c r="B9" s="30" t="str">
        <x:v>Gesamtbestand</x:v>
      </x:c>
      <x:c r="C9" s="30" t="str">
        <x:v>Master 4.3</x:v>
      </x:c>
      <x:c r="D9" s="30" t="str">
        <x:v>Neurologie A–F und EUTB sind als getrennte Module strukturiert.</x:v>
      </x:c>
      <x:c r="E9" s="30" t="str">
        <x:v>Für die Webkarte braucht es eine stabile gemeinsame Filterhierarchie.</x:v>
      </x:c>
      <x:c r="F9" s="30" t="str">
        <x:v>Zielhierarchie: Medizinische Reha &gt; Neurologie &gt; Phase A–F; Beratung &gt; EUTB; LTA &gt; Kfz-Hilfe/Mobilität.</x:v>
      </x:c>
      <x:c r="G9" s="30" t="str">
        <x:v>IMPORTREGEL FESTGELEGT</x:v>
      </x:c>
    </x:row>
    <x:row r="10">
      <x:c r="A10" s="30" t="str">
        <x:v>Technischer Import</x:v>
      </x:c>
      <x:c r="B10" s="30" t="str">
        <x:v>Gesamtbestand</x:v>
      </x:c>
      <x:c r="C10" s="30" t="str">
        <x:v>Master 4.3</x:v>
      </x:c>
      <x:c r="D10" s="30" t="str">
        <x:v>Pflichtfelder und Mehrfachzuordnungen müssen beim Export erhalten bleiben.</x:v>
      </x:c>
      <x:c r="E10" s="30" t="str">
        <x:v>Kein Feldverlust bei Ansprechpartnern, Direktkontakten, URLs, Koordinaten und Statusfeldern zulassen.</x:v>
      </x:c>
      <x:c r="F10" s="30" t="str">
        <x:v>Vor Deployment Datensatzanzahl je Modul und Stichprobe von Sonderzeichen/URLs vergleichen.</x:v>
      </x:c>
      <x:c r="G10" s="30" t="str">
        <x:v>NOCH VOR DEPLOYMENT</x:v>
      </x:c>
    </x:row>
    <x:row r="11">
      <x:c r="A11" s="30" t="str">
        <x:v>Spezialanbieter</x:v>
      </x:c>
      <x:c r="B11" s="30" t="str">
        <x:v>Ergänzungen 4.3</x:v>
      </x:c>
      <x:c r="C11" s="30" t="str">
        <x:v>Gerd Waldvogel</x:v>
      </x:c>
      <x:c r="D11" s="30" t="str">
        <x:v>Im Master 4.3 enthalten; Zuordnung LTA / Kfz-Hilfe / Mobilität.</x:v>
      </x:c>
      <x:c r="E11" s="30" t="str">
        <x:v>Website bleibt leer; Mobilnummer stammt aus Nutzerbestand.</x:v>
      </x:c>
      <x:c r="F11" s="30" t="str">
        <x:v>Nicht wegen leerer Website ausfiltern.</x:v>
      </x:c>
      <x:c r="G11" s="30" t="str">
        <x:v>FREIGEGEBEN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55" hidden="0" customWidth="1"/>
    <x:col min="3" max="3" width="55" hidden="0" customWidth="1"/>
  </x:cols>
  <x:sheetData>
    <x:row r="1">
      <x:c r="A1" s="26" t="str">
        <x:v>Zielbereich</x:v>
      </x:c>
      <x:c r="B1" s="26" t="str">
        <x:v>Verbindliche Struktur / Regel</x:v>
      </x:c>
      <x:c r="C1" s="26" t="str">
        <x:v>Hinweis</x:v>
      </x:c>
    </x:row>
    <x:row r="2">
      <x:c r="A2" s="30" t="str">
        <x:v>Medizinische Reha</x:v>
      </x:c>
      <x:c r="B2" s="30" t="str">
        <x:v>Neurologie &gt; Phase A / B / C / D / E / F</x:v>
      </x:c>
      <x:c r="C2" s="30" t="str">
        <x:v>Mehrfachphasen zulassen; Phase F nicht nur unter Pflege/Wachkoma führen.</x:v>
      </x:c>
    </x:row>
    <x:row r="3">
      <x:c r="A3" s="30" t="str">
        <x:v>Beratung / Teilhabe</x:v>
      </x:c>
      <x:c r="B3" s="30" t="str">
        <x:v>EUTB / unabhängige Teilhabeberatung</x:v>
      </x:c>
      <x:c r="C3" s="30" t="str">
        <x:v>Standorte getrennt halten.</x:v>
      </x:c>
    </x:row>
    <x:row r="4">
      <x:c r="A4" s="30" t="str">
        <x:v>LTA / Mobilität</x:v>
      </x:c>
      <x:c r="B4" s="30" t="str">
        <x:v>Kfz-Hilfe / Mobilität &gt; Mobilitätssachverständiger</x:v>
      </x:c>
      <x:c r="C4" s="30" t="str">
        <x:v>Gerd Waldvogel hier zuordnen.</x:v>
      </x:c>
    </x:row>
    <x:row r="5">
      <x:c r="A5" s="30" t="str">
        <x:v>Dublettenregel</x:v>
      </x:c>
      <x:c r="B5" s="30" t="str">
        <x:v>Name + Straße + PLZ + Leistungsgruppe</x:v>
      </x:c>
      <x:c r="C5" s="30" t="str">
        <x:v>Gleicher Name an verschiedenen Standorten ist keine Dublette.</x:v>
      </x:c>
    </x:row>
    <x:row r="6">
      <x:c r="A6" s="30" t="str">
        <x:v>Kontakte</x:v>
      </x:c>
      <x:c r="B6" s="30" t="str">
        <x:v>Telefon, E-Mail, Website, Ansprechpartner, Direkttelefon, Direkt-E-Mail getrennt erhalten</x:v>
      </x:c>
      <x:c r="C6" s="30" t="str">
        <x:v>Keine Direktkontakte beim Import in Primärfelder verlieren.</x:v>
      </x:c>
    </x:row>
    <x:row r="7">
      <x:c r="A7" s="30" t="str">
        <x:v>Geodaten</x:v>
      </x:c>
      <x:c r="B7" s="30" t="str">
        <x:v>Breitengrad + Längengrad + Geo-Status + Geoquelle gemeinsam übernehmen</x:v>
      </x:c>
      <x:c r="C7" s="30" t="str">
        <x:v>Koordinate ohne Qualitätsstatus ist für die spätere Prüfung unzureichend.</x:v>
      </x:c>
    </x:row>
    <x:row r="8">
      <x:c r="A8" s="30" t="str">
        <x:v>Leere Felder</x:v>
      </x:c>
      <x:c r="B8" s="30" t="str">
        <x:v>Leer bleibt leer, wenn keine belastbare Quelle vorliegt</x:v>
      </x:c>
      <x:c r="C8" s="30" t="str">
        <x:v>Keine Platzhalter oder vermutete Kontaktdaten.</x:v>
      </x:c>
    </x:row>
    <x:row r="9">
      <x:c r="A9" s="30" t="str">
        <x:v>Importkontrolle</x:v>
      </x:c>
      <x:c r="B9" s="30" t="str">
        <x:v>Datensatzanzahl vor/nach Import je Modul vergleichen</x:v>
      </x:c>
      <x:c r="C9" s="30" t="str">
        <x:v>Zusätzlich 5–10 Stichproben mit Umlauten, langen URLs und Mehrfachkategorien.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52" hidden="0" customWidth="1"/>
    <x:col min="3" max="3" width="14" hidden="0" customWidth="1"/>
    <x:col min="4" max="4" width="44" hidden="0" customWidth="1"/>
  </x:cols>
  <x:sheetData>
    <x:row r="1">
      <x:c r="A1" s="34" t="str">
        <x:v>Bereich</x:v>
      </x:c>
      <x:c r="B1" s="34" t="str">
        <x:v>Änderung</x:v>
      </x:c>
      <x:c r="C1" s="34" t="str">
        <x:v>Status</x:v>
      </x:c>
      <x:c r="D1" s="34" t="str">
        <x:v>Prüfung / Begründung</x:v>
      </x:c>
    </x:row>
    <x:row r="2">
      <x:c r="A2" s="30" t="str">
        <x:v>Versionierung</x:v>
      </x:c>
      <x:c r="B2" s="30" t="str">
        <x:v>Webanwendung und Master auf Version 4.4 angehoben</x:v>
      </x:c>
      <x:c r="C2" s="30" t="str">
        <x:v>erledigt</x:v>
      </x:c>
      <x:c r="D2" s="30" t="str">
        <x:v>Stand 26.08.2026</x:v>
      </x:c>
    </x:row>
    <x:row r="3">
      <x:c r="A3" s="30" t="str">
        <x:v>Kartenfilter</x:v>
      </x:c>
      <x:c r="B3" s="30" t="str">
        <x:v>Filter in medizinische Versorgung sowie berufliche &amp; soziale Teilhabe gegliedert</x:v>
      </x:c>
      <x:c r="C3" s="30" t="str">
        <x:v>erledigt</x:v>
      </x:c>
      <x:c r="D3" s="30" t="str">
        <x:v>reduziert visuelle Unordnung</x:v>
      </x:c>
    </x:row>
    <x:row r="4">
      <x:c r="A4" s="30" t="str">
        <x:v>Kartenlogik</x:v>
      </x:c>
      <x:c r="B4" s="30" t="str">
        <x:v>Bei Such-/Filtertreffern automatischer Ausschnitt; Einzeltreffer mit gezieltem Zoom</x:v>
      </x:c>
      <x:c r="C4" s="30" t="str">
        <x:v>erledigt</x:v>
      </x:c>
      <x:c r="D4" s="30" t="str">
        <x:v>behebt unpassende Kartenansichten</x:v>
      </x:c>
    </x:row>
    <x:row r="5">
      <x:c r="A5" s="30" t="str">
        <x:v>Ergebnisdarstellung</x:v>
      </x:c>
      <x:c r="B5" s="30" t="str">
        <x:v>Trefferkarten kompakter; Adresse, Qualität und Fachgruppen visuell getrennt</x:v>
      </x:c>
      <x:c r="C5" s="30" t="str">
        <x:v>erledigt</x:v>
      </x:c>
      <x:c r="D5" s="30" t="str">
        <x:v>bessere Lesbarkeit bei Neurologie/Schmerztherapie u. a.</x:v>
      </x:c>
    </x:row>
    <x:row r="6">
      <x:c r="A6" s="30" t="str">
        <x:v>Kategorie MVZ</x:v>
      </x:c>
      <x:c r="B6" s="30" t="str">
        <x:v>eigene Kategorie entfernt; Klinikum Aschaffenburg-Alzenau unter Neurologie geführt; MVZ bleibt Suchbegriff</x:v>
      </x:c>
      <x:c r="C6" s="30" t="str">
        <x:v>erledigt</x:v>
      </x:c>
      <x:c r="D6" s="30" t="str">
        <x:v>ein einzelner MVZ-Treffer rechtfertigt keine eigene Kategorie</x:v>
      </x:c>
    </x:row>
    <x:row r="7">
      <x:c r="A7" s="30" t="str">
        <x:v>Jochen Martini</x:v>
      </x:c>
      <x:c r="B7" s="30" t="str">
        <x:v>Am Dicken Stein 49, 67466 Lambrecht (Pfalz), als verifizierte Referenzadresse abgeschlossen</x:v>
      </x:c>
      <x:c r="C7" s="30" t="str">
        <x:v>erledigt</x:v>
      </x:c>
      <x:c r="D7" s="30" t="str">
        <x:v>visuelle Kartenbestätigung 26.08.2026</x:v>
      </x:c>
    </x:row>
    <x:row r="8">
      <x:c r="A8" s="30" t="str">
        <x:v>Geodatenregel</x:v>
      </x:c>
      <x:c r="B8" s="30" t="str">
        <x:v>Keine geschätzten Koordinaten für Referenzadressen; belastbare Adressverifikation reicht für produktiven Referenzstatus</x:v>
      </x:c>
      <x:c r="C8" s="30" t="str">
        <x:v>erledigt</x:v>
      </x:c>
      <x:c r="D8" s="30" t="str">
        <x:v>Qualitätsprinzip 4.4</x:v>
      </x:c>
    </x:row>
    <x:row r="9">
      <x:c r="A9" t="str">
        <x:v>Neurologie 4.4.2</x:v>
      </x:c>
      <x:c r="B9" t="str">
        <x:v>Asklepios Schlossberg Klinik Bad König ergänzt</x:v>
      </x:c>
      <x:c r="C9" t="str">
        <x:v>erledigt</x:v>
      </x:c>
      <x:c r="D9" t="str">
        <x:v>Aktuelle Asklepios-Primärquelle: Phase B; deshalb bewusst nicht Phase C.</x:v>
      </x:c>
    </x:row>
    <x:row r="10">
      <x:c r="A10" t="str">
        <x:v>Neurologie 4.4.2</x:v>
      </x:c>
      <x:c r="B10" t="str">
        <x:v>SRH Kurpfalzkrankenhaus Heidelberg ergänzt</x:v>
      </x:c>
      <x:c r="C10" t="str">
        <x:v>erledigt</x:v>
      </x:c>
      <x:c r="D10" t="str">
        <x:v>Aktuelle SRH-Primärquelle: neurologische Frührehabilitation Phase B; deshalb bewusst nicht Phase C.</x:v>
      </x:c>
    </x:row>
    <x:row r="11">
      <x:c r="A11" s="30" t="str">
        <x:v>Technische Arbeitsplatzanpassung 4.4.x</x:v>
      </x:c>
      <x:c r="B11" s="30" t="str">
        <x:v>Technikmodul mit 45 priorisierten Anbietern/Fachdiensten, 6 Prüfkandidaten, Filterlogik und Fallmatrix konsolidiert</x:v>
      </x:c>
      <x:c r="C11" s="30" t="str">
        <x:v>strukturiert / vor Import</x:v>
      </x:c>
      <x:c r="D11" s="30" t="str">
        <x:v>Branchenspezifisch für Metall/Automotive/Maschinenbau/Holz/Montage; funktions- und problemorientierte Zuordnung</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9" hidden="0" customWidth="1"/>
    <x:col min="2" max="2" width="28" hidden="0" customWidth="1"/>
    <x:col min="3" max="3" width="24" hidden="0" customWidth="1"/>
    <x:col min="4" max="4" width="29" hidden="0" customWidth="1"/>
    <x:col min="5" max="5" width="10" hidden="0" customWidth="1"/>
    <x:col min="6" max="6" width="34" hidden="0" customWidth="1"/>
    <x:col min="7" max="7" width="37" hidden="0" customWidth="1"/>
    <x:col min="8" max="8" width="40" hidden="0" customWidth="1"/>
    <x:col min="9" max="9" width="42" hidden="0" customWidth="1"/>
    <x:col min="10" max="10" width="14" hidden="0" customWidth="1"/>
    <x:col min="11" max="11" width="16" hidden="0" customWidth="1"/>
    <x:col min="12" max="12" width="16" hidden="0" customWidth="1"/>
    <x:col min="13" max="13" width="19" hidden="0" customWidth="1"/>
    <x:col min="14" max="14" width="14" hidden="0" customWidth="1"/>
    <x:col min="15" max="15" width="25" hidden="0" customWidth="1"/>
    <x:col min="16" max="16" width="42" hidden="0" customWidth="1"/>
    <x:col min="17" max="17" width="40" hidden="0" customWidth="1"/>
    <x:col min="18" max="18" width="16" hidden="0" customWidth="1"/>
    <x:col min="19" max="19" width="13" hidden="0" customWidth="1"/>
  </x:cols>
  <x:sheetData>
    <x:row r="1" ht="30" customHeight="1">
      <x:c r="A1" s="53" t="str">
        <x:v>BG-RehaManager Südwest – Technische Arbeitsplatzanpassung / technische Arbeitshilfen – konsolidierter 4.4.x-Arbeitsstand</x:v>
      </x:c>
      <x:c r="B1" s="53"/>
      <x:c r="C1" s="53"/>
      <x:c r="D1" s="53"/>
      <x:c r="E1" s="53"/>
      <x:c r="F1" s="53"/>
      <x:c r="G1" s="53"/>
      <x:c r="H1" s="53"/>
      <x:c r="I1" s="53"/>
      <x:c r="J1" s="53"/>
      <x:c r="K1" s="53"/>
      <x:c r="L1" s="53"/>
      <x:c r="M1" s="53"/>
      <x:c r="N1" s="53"/>
      <x:c r="O1" s="53"/>
      <x:c r="P1" s="53"/>
      <x:c r="Q1" s="53"/>
      <x:c r="R1" s="53"/>
      <x:c r="S1" s="53"/>
    </x:row>
    <x:row r="2">
      <x:c r="A2" t="str">
        <x:v>Anbieter gesamt</x:v>
      </x:c>
      <x:c r="B2" t="n">
        <x:f>COUNTA(B6:B50)</x:f>
        <x:v>45</x:v>
      </x:c>
      <x:c r="D2" t="str">
        <x:v>Priorität A+</x:v>
      </x:c>
      <x:c r="E2" t="n">
        <x:f>COUNTIF(E6:E50,"A+")</x:f>
        <x:v>24</x:v>
      </x:c>
      <x:c r="G2" t="str">
        <x:v>Status</x:v>
      </x:c>
      <x:c r="H2" t="str">
        <x:v>vor Web-Import / strukturiert</x:v>
      </x:c>
    </x:row>
    <x:row r="3">
      <x:c r="A3" s="56" t="str">
        <x:v>Suchlogik: Branche → funktionelle Einschränkung → Arbeitsplatzproblem/Tätigkeit → Lösungstyp → Berater/Umsetzer → Umsetzungstiefe → Safety/CE → BG-/Kostenträgerbezug.</x:v>
      </x:c>
      <x:c r="B3" s="56"/>
      <x:c r="C3" s="56"/>
      <x:c r="D3" s="56"/>
      <x:c r="E3" s="56"/>
      <x:c r="F3" s="56"/>
      <x:c r="G3" s="56"/>
      <x:c r="H3" s="56"/>
      <x:c r="I3" s="56"/>
      <x:c r="J3" s="56"/>
      <x:c r="K3" s="56"/>
      <x:c r="L3" s="56"/>
      <x:c r="M3" s="56"/>
      <x:c r="N3" s="56"/>
      <x:c r="O3" s="56"/>
      <x:c r="P3" s="56"/>
      <x:c r="Q3" s="56"/>
      <x:c r="R3" s="56"/>
      <x:c r="S3" s="56"/>
    </x:row>
    <x:row r="5" ht="38" customHeight="1">
      <x:c r="A5" s="60" t="str">
        <x:v>ID</x:v>
      </x:c>
      <x:c r="B5" s="60" t="str">
        <x:v>Anbieter</x:v>
      </x:c>
      <x:c r="C5" s="60" t="str">
        <x:v>Ort / Region</x:v>
      </x:c>
      <x:c r="D5" s="60" t="str">
        <x:v>Rolle</x:v>
      </x:c>
      <x:c r="E5" s="60" t="str">
        <x:v>Priorität</x:v>
      </x:c>
      <x:c r="F5" s="60" t="str">
        <x:v>Branchen</x:v>
      </x:c>
      <x:c r="G5" s="60" t="str">
        <x:v>Funktionelle Einschränkung</x:v>
      </x:c>
      <x:c r="H5" s="60" t="str">
        <x:v>Arbeitsplatzproblem / Tätigkeit</x:v>
      </x:c>
      <x:c r="I5" s="60" t="str">
        <x:v>Lösungstypen</x:v>
      </x:c>
      <x:c r="J5" s="60" t="str">
        <x:v>Analyse / Beratung</x:v>
      </x:c>
      <x:c r="K5" s="60" t="str">
        <x:v>Konstruktion / Planung</x:v>
      </x:c>
      <x:c r="L5" s="60" t="str">
        <x:v>Umbau / Nachrüstung</x:v>
      </x:c>
      <x:c r="M5" s="60" t="str">
        <x:v>Montage / Inbetriebnahme</x:v>
      </x:c>
      <x:c r="N5" s="60" t="str">
        <x:v>Safety / CE</x:v>
      </x:c>
      <x:c r="O5" s="60" t="str">
        <x:v>BG-/Kostenträgerbezug</x:v>
      </x:c>
      <x:c r="P5" s="60" t="str">
        <x:v>Einsatzhinweis</x:v>
      </x:c>
      <x:c r="Q5" s="60" t="str">
        <x:v>Website / Primärquelle</x:v>
      </x:c>
      <x:c r="R5" s="60" t="str">
        <x:v>Status 4.4.x</x:v>
      </x:c>
      <x:c r="S5" s="60" t="str">
        <x:v>Prüfdatum</x:v>
      </x:c>
    </x:row>
    <x:row r="6" ht="58" customHeight="1">
      <x:c r="A6" s="61" t="str">
        <x:v>T-001</x:v>
      </x:c>
      <x:c r="B6" s="61" t="str">
        <x:v>MiniTec GmbH</x:v>
      </x:c>
      <x:c r="C6" s="61" t="str">
        <x:v>Schönenberg-Kübelberg (RP)</x:v>
      </x:c>
      <x:c r="D6" s="61" t="str">
        <x:v>Technischer Umsetzer / Sonderlösung</x:v>
      </x:c>
      <x:c r="E6" s="61" t="str">
        <x:v>A+</x:v>
      </x:c>
      <x:c r="F6" s="61" t="str">
        <x:v>Metall; Automotive; Maschinenbau; Holz; Montage/Produktion</x:v>
      </x:c>
      <x:c r="G6" s="61" t="str">
        <x:v>Arm/Hand; Schulter; Rücken/Wirbelsäule; Bein/Stehen; reduzierte Kraft; Rollstuhl/Mobilität</x:v>
      </x:c>
      <x:c r="H6" s="61" t="str">
        <x:v>Montagehöhe; lange Greifwege; Materialbereitstellung; dauerhaftes Stehen; körperliche Belastung</x:v>
      </x:c>
      <x:c r="I6" s="61" t="str">
        <x:v>Höhenverstellbarer Arbeitsplatz; Materialbereitstellung; Hubsäulen/Lifter; Sondervorrichtung; Assistenzsystem</x:v>
      </x:c>
      <x:c r="J6" s="61" t="str">
        <x:v>Ja</x:v>
      </x:c>
      <x:c r="K6" s="61" t="str">
        <x:v>Ja</x:v>
      </x:c>
      <x:c r="L6" s="61" t="str">
        <x:v>Ja</x:v>
      </x:c>
      <x:c r="M6" s="61" t="str">
        <x:v>Ja</x:v>
      </x:c>
      <x:c r="N6" s="61" t="str">
        <x:v>teilweise/projektbezogen</x:v>
      </x:c>
      <x:c r="O6" s="61" t="str">
        <x:v>nicht spezifisch belegt</x:v>
      </x:c>
      <x:c r="P6" s="61" t="str">
        <x:v>Sehr hoher Reha-Nutzen bei individuell anpassbaren Industriearbeitsplätzen; behindertengerechte Arbeitsplätze ausdrücklich ausgewiesen.</x:v>
      </x:c>
      <x:c r="Q6" s="61" t="str">
        <x:v>https://www.minitec.de/produkte/arbeitsplatzsystem/behindertengerechter-arbeitsplatz</x:v>
      </x:c>
      <x:c r="R6" s="61" t="str">
        <x:v>Aufnehmen</x:v>
      </x:c>
      <x:c r="S6" s="61" t="str">
        <x:v>2026-08-30</x:v>
      </x:c>
    </x:row>
    <x:row r="7" ht="58" customHeight="1">
      <x:c r="A7" s="61" t="str">
        <x:v>T-002</x:v>
      </x:c>
      <x:c r="B7" s="61" t="str">
        <x:v>Ruck GmbH &amp; Co. KG / RUCK AluConnect</x:v>
      </x:c>
      <x:c r="C7" s="61" t="str">
        <x:v>Unterensingen (BW)</x:v>
      </x:c>
      <x:c r="D7" s="61" t="str">
        <x:v>Technischer Umsetzer / Arbeitsplatzsystem</x:v>
      </x:c>
      <x:c r="E7" s="61" t="str">
        <x:v>A+</x:v>
      </x:c>
      <x:c r="F7" s="61" t="str">
        <x:v>Metall; Automotive; Maschinenbau; Montage/Produktion; Logistik</x:v>
      </x:c>
      <x:c r="G7" s="61" t="str">
        <x:v>Arm/Hand; Schulter; Rücken/Wirbelsäule; Bein/Stehen; reduzierte Kraft</x:v>
      </x:c>
      <x:c r="H7" s="61" t="str">
        <x:v>Montagehöhe; Materialbereitstellung; lange Greifwege; Verpacken; Verkettung</x:v>
      </x:c>
      <x:c r="I7" s="61" t="str">
        <x:v>Höhenverstellbarer Arbeitsplatz; Durchlaufregal; Materialbereitstellung; Bereitstellungswagen; Förder-/Verkettungstechnik</x:v>
      </x:c>
      <x:c r="J7" s="61" t="str">
        <x:v>Ja</x:v>
      </x:c>
      <x:c r="K7" s="61" t="str">
        <x:v>Ja</x:v>
      </x:c>
      <x:c r="L7" s="61" t="str">
        <x:v>Ja</x:v>
      </x:c>
      <x:c r="M7" s="61" t="str">
        <x:v>Ja</x:v>
      </x:c>
      <x:c r="N7" s="61" t="str">
        <x:v>teilweise/projektbezogen</x:v>
      </x:c>
      <x:c r="O7" s="61" t="str">
        <x:v>nicht spezifisch belegt</x:v>
      </x:c>
      <x:c r="P7" s="61" t="str">
        <x:v>Bestehende Konstruktionen können um- und weitergebaut werden; sehr gut für individualisierte Montageplätze.</x:v>
      </x:c>
      <x:c r="Q7" s="61" t="str">
        <x:v>https://alu-connect.de/index.php/produkte/arbeitsplatzsysteme/montagearbeitsplaetze</x:v>
      </x:c>
      <x:c r="R7" s="61" t="str">
        <x:v>Aufnehmen</x:v>
      </x:c>
      <x:c r="S7" s="61" t="str">
        <x:v>2026-08-30</x:v>
      </x:c>
    </x:row>
    <x:row r="8" ht="58" customHeight="1">
      <x:c r="A8" s="61" t="str">
        <x:v>T-003</x:v>
      </x:c>
      <x:c r="B8" s="61" t="str">
        <x:v>J. Schmalz GmbH</x:v>
      </x:c>
      <x:c r="C8" s="61" t="str">
        <x:v>Glatten (BW)</x:v>
      </x:c>
      <x:c r="D8" s="61" t="str">
        <x:v>Technischer Umsetzer / Handhabungstechnik</x:v>
      </x:c>
      <x:c r="E8" s="61" t="str">
        <x:v>A+</x:v>
      </x:c>
      <x:c r="F8" s="61" t="str">
        <x:v>Holz; Metall; Automotive; Maschinenbau; Logistik; Montage/Produktion</x:v>
      </x:c>
      <x:c r="G8" s="61" t="str">
        <x:v>Arm/Hand; Schulter; Rücken/Wirbelsäule; reduzierte Kraft; Greifdefizit</x:v>
      </x:c>
      <x:c r="H8" s="61" t="str">
        <x:v>Heben/Tragen; Wenden/Positionieren; Maschinenbeschickung; Plattenhandling; schwere Werkstücke</x:v>
      </x:c>
      <x:c r="I8" s="61" t="str">
        <x:v>Vakuumheber; Kran-/Hebetechnik; Greiftechnik; Maschinenbeschickung; Nachrüstung CNC/Arbeitsplatz</x:v>
      </x:c>
      <x:c r="J8" s="61" t="str">
        <x:v>Ja</x:v>
      </x:c>
      <x:c r="K8" s="61" t="str">
        <x:v>Ja</x:v>
      </x:c>
      <x:c r="L8" s="61" t="str">
        <x:v>Ja</x:v>
      </x:c>
      <x:c r="M8" s="61" t="str">
        <x:v>Ja</x:v>
      </x:c>
      <x:c r="N8" s="61" t="str">
        <x:v>teilweise/projektbezogen</x:v>
      </x:c>
      <x:c r="O8" s="61" t="str">
        <x:v>nicht spezifisch belegt</x:v>
      </x:c>
      <x:c r="P8" s="61" t="str">
        <x:v>A+ für Holz/Schreinerei und Metall; besonders CNC-/Plattenhandling, Heben und Wenden.</x:v>
      </x:c>
      <x:c r="Q8" s="61" t="str">
        <x:v>https://www.schmalz.com/de-de/loesungen/branchen-und-anwendungen/holz</x:v>
      </x:c>
      <x:c r="R8" s="61" t="str">
        <x:v>Aufnehmen</x:v>
      </x:c>
      <x:c r="S8" s="61" t="str">
        <x:v>2026-08-30</x:v>
      </x:c>
    </x:row>
    <x:row r="9" ht="58" customHeight="1">
      <x:c r="A9" s="61" t="str">
        <x:v>T-004</x:v>
      </x:c>
      <x:c r="B9" s="61" t="str">
        <x:v>Albert Fezer Maschinenfabrik GmbH</x:v>
      </x:c>
      <x:c r="C9" s="61" t="str">
        <x:v>Altbach (BW)</x:v>
      </x:c>
      <x:c r="D9" s="61" t="str">
        <x:v>Technischer Umsetzer / Handhabungstechnik</x:v>
      </x:c>
      <x:c r="E9" s="61" t="str">
        <x:v>A+</x:v>
      </x:c>
      <x:c r="F9" s="61" t="str">
        <x:v>Metall; Holz; Automotive; Maschinenbau; Montage/Produktion</x:v>
      </x:c>
      <x:c r="G9" s="61" t="str">
        <x:v>Arm/Hand; Schulter; Rücken/Wirbelsäule; reduzierte Kraft; Greifdefizit</x:v>
      </x:c>
      <x:c r="H9" s="61" t="str">
        <x:v>Heben/Tragen; Wenden/Positionieren; Maschinenbeschickung; schwere/sperrige Werkstücke</x:v>
      </x:c>
      <x:c r="I9" s="61" t="str">
        <x:v>Vakuumheber; Schlauchheber; Krananlage; individuelle Greifer; Handhabungssystem</x:v>
      </x:c>
      <x:c r="J9" s="61" t="str">
        <x:v>Ja</x:v>
      </x:c>
      <x:c r="K9" s="61" t="str">
        <x:v>Ja</x:v>
      </x:c>
      <x:c r="L9" s="61" t="str">
        <x:v>Ja</x:v>
      </x:c>
      <x:c r="M9" s="61" t="str">
        <x:v>Ja</x:v>
      </x:c>
      <x:c r="N9" s="61" t="str">
        <x:v>teilweise/projektbezogen</x:v>
      </x:c>
      <x:c r="O9" s="61" t="str">
        <x:v>nicht spezifisch belegt</x:v>
      </x:c>
      <x:c r="P9" s="61" t="str">
        <x:v>Vor-Ort-Beratung und kundenspezifische Lösungen; gut für Blech, Holz, Rohre, Behälter und CNC-Beschickung.</x:v>
      </x:c>
      <x:c r="Q9" s="61" t="str">
        <x:v>https://www.fezer.com/de/home</x:v>
      </x:c>
      <x:c r="R9" s="61" t="str">
        <x:v>Aufnehmen</x:v>
      </x:c>
      <x:c r="S9" s="61" t="str">
        <x:v>2026-08-30</x:v>
      </x:c>
    </x:row>
    <x:row r="10" ht="58" customHeight="1">
      <x:c r="A10" s="61" t="str">
        <x:v>T-005</x:v>
      </x:c>
      <x:c r="B10" s="61" t="str">
        <x:v>AERO-LIFT Vakuumtechnik GmbH</x:v>
      </x:c>
      <x:c r="C10" s="61" t="str">
        <x:v>Geislingen-Binsdorf (BW)</x:v>
      </x:c>
      <x:c r="D10" s="61" t="str">
        <x:v>Technischer Umsetzer / Vakuumhandling</x:v>
      </x:c>
      <x:c r="E10" s="61" t="str">
        <x:v>A+</x:v>
      </x:c>
      <x:c r="F10" s="61" t="str">
        <x:v>Holz; Metall; Montage/Produktion; Logistik</x:v>
      </x:c>
      <x:c r="G10" s="61" t="str">
        <x:v>Arm/Hand; Schulter; Rücken/Wirbelsäule; reduzierte Kraft; Greifdefizit</x:v>
      </x:c>
      <x:c r="H10" s="61" t="str">
        <x:v>Heben/Tragen; Plattenhandling; Wenden/Schwenken; Maschinenbeschickung</x:v>
      </x:c>
      <x:c r="I10" s="61" t="str">
        <x:v>Vakuumheber; Schlauchheber; Greiftechnik; Wenden/Schwenken; Sonderlösung</x:v>
      </x:c>
      <x:c r="J10" s="61" t="str">
        <x:v>Ja</x:v>
      </x:c>
      <x:c r="K10" s="61" t="str">
        <x:v>Ja</x:v>
      </x:c>
      <x:c r="L10" s="61" t="str">
        <x:v>Ja</x:v>
      </x:c>
      <x:c r="M10" s="61" t="str">
        <x:v>Ja</x:v>
      </x:c>
      <x:c r="N10" s="61" t="str">
        <x:v>teilweise/projektbezogen</x:v>
      </x:c>
      <x:c r="O10" s="61" t="str">
        <x:v>nicht spezifisch belegt</x:v>
      </x:c>
      <x:c r="P10" s="61" t="str">
        <x:v>Sehr relevant für Schreinerei/Holzverarbeitung und Metallplatten; kundenspezifische Systeme.</x:v>
      </x:c>
      <x:c r="Q10" s="61" t="str">
        <x:v>https://www.aero-lift.de/produkte/</x:v>
      </x:c>
      <x:c r="R10" s="61" t="str">
        <x:v>Aufnehmen</x:v>
      </x:c>
      <x:c r="S10" s="61" t="str">
        <x:v>2026-08-30</x:v>
      </x:c>
    </x:row>
    <x:row r="11" ht="58" customHeight="1">
      <x:c r="A11" s="61" t="str">
        <x:v>T-006</x:v>
      </x:c>
      <x:c r="B11" s="61" t="str">
        <x:v>ims Handhabungstechnik GmbH</x:v>
      </x:c>
      <x:c r="C11" s="61" t="str">
        <x:v>Bretten (BW)</x:v>
      </x:c>
      <x:c r="D11" s="61" t="str">
        <x:v>Technischer Umsetzer / Arbeitsplatz- &amp; Hebetechnik</x:v>
      </x:c>
      <x:c r="E11" s="61" t="str">
        <x:v>A+</x:v>
      </x:c>
      <x:c r="F11" s="61" t="str">
        <x:v>Metall; Automotive; Maschinenbau; Montage/Produktion</x:v>
      </x:c>
      <x:c r="G11" s="61" t="str">
        <x:v>Arm/Hand; Schulter; Rücken/Wirbelsäule; Bein/Stehen; reduzierte Kraft</x:v>
      </x:c>
      <x:c r="H11" s="61" t="str">
        <x:v>Montagehöhe; Heben/Senken; Wenden/Positionieren; körperliche Belastung</x:v>
      </x:c>
      <x:c r="I11" s="61" t="str">
        <x:v>Höhenverstellbarer Montagetisch; Scherenhubtisch; Handhabungstechnik; Sonderkonstruktion</x:v>
      </x:c>
      <x:c r="J11" s="61" t="str">
        <x:v>Ja</x:v>
      </x:c>
      <x:c r="K11" s="61" t="str">
        <x:v>Ja</x:v>
      </x:c>
      <x:c r="L11" s="61" t="str">
        <x:v>Ja</x:v>
      </x:c>
      <x:c r="M11" s="61" t="str">
        <x:v>Ja</x:v>
      </x:c>
      <x:c r="N11" s="61" t="str">
        <x:v>teilweise/projektbezogen</x:v>
      </x:c>
      <x:c r="O11" s="61" t="str">
        <x:v>nicht spezifisch belegt</x:v>
      </x:c>
      <x:c r="P11" s="61" t="str">
        <x:v>Regional sehr guter Kandidat für individuelle Arbeits-/Montagetische und Hubtechnik.</x:v>
      </x:c>
      <x:c r="Q11" s="61" t="str">
        <x:v>https://ims-tec.de/</x:v>
      </x:c>
      <x:c r="R11" s="61" t="str">
        <x:v>Aufnehmen</x:v>
      </x:c>
      <x:c r="S11" s="61" t="str">
        <x:v>2026-08-30</x:v>
      </x:c>
    </x:row>
    <x:row r="12" ht="58" customHeight="1">
      <x:c r="A12" s="61" t="str">
        <x:v>T-007</x:v>
      </x:c>
      <x:c r="B12" s="61" t="str">
        <x:v>sachs products GmbH</x:v>
      </x:c>
      <x:c r="C12" s="61" t="str">
        <x:v>Engen (BW)</x:v>
      </x:c>
      <x:c r="D12" s="61" t="str">
        <x:v>Technischer Umsetzer / Manipulatoren</x:v>
      </x:c>
      <x:c r="E12" s="61" t="str">
        <x:v>A+</x:v>
      </x:c>
      <x:c r="F12" s="61" t="str">
        <x:v>Automotive; Metall; Maschinenbau; Montage/Produktion; Logistik</x:v>
      </x:c>
      <x:c r="G12" s="61" t="str">
        <x:v>Arm/Hand; Schulter; Rücken/Wirbelsäule; reduzierte Kraft; Greifdefizit</x:v>
      </x:c>
      <x:c r="H12" s="61" t="str">
        <x:v>Heben/Tragen; Wenden/Positionieren; Maschinenbeschickung; schwere Werkstücke</x:v>
      </x:c>
      <x:c r="I12" s="61" t="str">
        <x:v>Manipulator; Balancer; Greifer; Maschinenbeschickung; Positionierhilfe</x:v>
      </x:c>
      <x:c r="J12" s="61" t="str">
        <x:v>Ja</x:v>
      </x:c>
      <x:c r="K12" s="61" t="str">
        <x:v>Ja</x:v>
      </x:c>
      <x:c r="L12" s="61" t="str">
        <x:v>Ja</x:v>
      </x:c>
      <x:c r="M12" s="61" t="str">
        <x:v>Ja</x:v>
      </x:c>
      <x:c r="N12" s="61" t="str">
        <x:v>teilweise/projektbezogen</x:v>
      </x:c>
      <x:c r="O12" s="61" t="str">
        <x:v>nicht spezifisch belegt</x:v>
      </x:c>
      <x:c r="P12" s="61" t="str">
        <x:v>Handgeführte Manipulatoren für Logistik, Montage und Produktion; sehr geeignet bei Kraft-/Schulter-/Rückenproblemen.</x:v>
      </x:c>
      <x:c r="Q12" s="61" t="str">
        <x:v>https://www.sachs-products.de/</x:v>
      </x:c>
      <x:c r="R12" s="61" t="str">
        <x:v>Aufnehmen</x:v>
      </x:c>
      <x:c r="S12" s="61" t="str">
        <x:v>2026-08-30</x:v>
      </x:c>
    </x:row>
    <x:row r="13" ht="58" customHeight="1">
      <x:c r="A13" s="61" t="str">
        <x:v>T-008</x:v>
      </x:c>
      <x:c r="B13" s="61" t="str">
        <x:v>Scaglia INDEVA GmbH</x:v>
      </x:c>
      <x:c r="C13" s="61" t="str">
        <x:v>Wernau (BW)</x:v>
      </x:c>
      <x:c r="D13" s="61" t="str">
        <x:v>Technischer Umsetzer / Manipulatoren</x:v>
      </x:c>
      <x:c r="E13" s="61" t="str">
        <x:v>A+</x:v>
      </x:c>
      <x:c r="F13" s="61" t="str">
        <x:v>Automotive; Metall; Maschinenbau; Holz; Montage/Produktion</x:v>
      </x:c>
      <x:c r="G13" s="61" t="str">
        <x:v>Arm/Hand; Schulter; Rücken/Wirbelsäule; reduzierte Kraft</x:v>
      </x:c>
      <x:c r="H13" s="61" t="str">
        <x:v>Heben/Tragen; Wenden/Kippen; Positionieren; Maschinen-/Montagebeschickung</x:v>
      </x:c>
      <x:c r="I13" s="61" t="str">
        <x:v>Manipulator; Greifer; Balancer; Positionierhilfe; Holzplattenhandling</x:v>
      </x:c>
      <x:c r="J13" s="61" t="str">
        <x:v>Ja</x:v>
      </x:c>
      <x:c r="K13" s="61" t="str">
        <x:v>Ja</x:v>
      </x:c>
      <x:c r="L13" s="61" t="str">
        <x:v>Ja</x:v>
      </x:c>
      <x:c r="M13" s="61" t="str">
        <x:v>Ja</x:v>
      </x:c>
      <x:c r="N13" s="61" t="str">
        <x:v>teilweise/projektbezogen</x:v>
      </x:c>
      <x:c r="O13" s="61" t="str">
        <x:v>nicht spezifisch belegt</x:v>
      </x:c>
      <x:c r="P13" s="61" t="str">
        <x:v>Deutscher Standort mit Beratung, Installation, Wartung und Showroom; sehr passend für Automotive und Montage.</x:v>
      </x:c>
      <x:c r="Q13" s="61" t="str">
        <x:v>https://www.indevagroup.de/indeva-in-deutschland/</x:v>
      </x:c>
      <x:c r="R13" s="61" t="str">
        <x:v>Aufnehmen</x:v>
      </x:c>
      <x:c r="S13" s="61" t="str">
        <x:v>2026-08-30</x:v>
      </x:c>
    </x:row>
    <x:row r="14" ht="58" customHeight="1">
      <x:c r="A14" s="61" t="str">
        <x:v>T-009</x:v>
      </x:c>
      <x:c r="B14" s="61" t="str">
        <x:v>ZASCHE handling GmbH</x:v>
      </x:c>
      <x:c r="C14" s="61" t="str">
        <x:v>Nördlingen (BY)</x:v>
      </x:c>
      <x:c r="D14" s="61" t="str">
        <x:v>Technischer Umsetzer / Manipulatoren</x:v>
      </x:c>
      <x:c r="E14" s="61" t="str">
        <x:v>A+</x:v>
      </x:c>
      <x:c r="F14" s="61" t="str">
        <x:v>Automotive; Metall; Maschinenbau; Holz/Möbel; Montage/Produktion</x:v>
      </x:c>
      <x:c r="G14" s="61" t="str">
        <x:v>Arm/Hand; Schulter; Rücken/Wirbelsäule; reduzierte Kraft</x:v>
      </x:c>
      <x:c r="H14" s="61" t="str">
        <x:v>Heben/Tragen; schwere/sperrige Werkstücke; Be-/Entladen Bearbeitungszentrum; Positionieren</x:v>
      </x:c>
      <x:c r="I14" s="61" t="str">
        <x:v>Manipulator; Seilbalancer; Parallelogrammgerät; E-Balancer; Sondergreifer</x:v>
      </x:c>
      <x:c r="J14" s="61" t="str">
        <x:v>Ja</x:v>
      </x:c>
      <x:c r="K14" s="61" t="str">
        <x:v>Ja</x:v>
      </x:c>
      <x:c r="L14" s="61" t="str">
        <x:v>Ja</x:v>
      </x:c>
      <x:c r="M14" s="61" t="str">
        <x:v>Ja</x:v>
      </x:c>
      <x:c r="N14" s="61" t="str">
        <x:v>teilweise/projektbezogen</x:v>
      </x:c>
      <x:c r="O14" s="61" t="str">
        <x:v>nicht spezifisch belegt</x:v>
      </x:c>
      <x:c r="P14" s="61" t="str">
        <x:v>Ergonomische Unterstützung für Industrie ausdrücklich ausgewiesen; sehr breites Branchenspektrum.</x:v>
      </x:c>
      <x:c r="Q14" s="61" t="str">
        <x:v>https://www.zasche.de/smart-handling</x:v>
      </x:c>
      <x:c r="R14" s="61" t="str">
        <x:v>Aufnehmen</x:v>
      </x:c>
      <x:c r="S14" s="61" t="str">
        <x:v>2026-08-30</x:v>
      </x:c>
    </x:row>
    <x:row r="15" ht="58" customHeight="1">
      <x:c r="A15" s="61" t="str">
        <x:v>T-010</x:v>
      </x:c>
      <x:c r="B15" s="61" t="str">
        <x:v>EXPRESSO Deutschland GmbH &amp; Co. KG</x:v>
      </x:c>
      <x:c r="C15" s="61" t="str">
        <x:v>Kassel (HE)</x:v>
      </x:c>
      <x:c r="D15" s="61" t="str">
        <x:v>Technischer Umsetzer / Balancer &amp; Greifer</x:v>
      </x:c>
      <x:c r="E15" s="61" t="str">
        <x:v>A+</x:v>
      </x:c>
      <x:c r="F15" s="61" t="str">
        <x:v>Automotive; Metall; Maschinenbau; Montage/Produktion; Logistik</x:v>
      </x:c>
      <x:c r="G15" s="61" t="str">
        <x:v>Arm/Hand; Schulter; Rücken/Wirbelsäule; reduzierte Kraft; Greifdefizit</x:v>
      </x:c>
      <x:c r="H15" s="61" t="str">
        <x:v>Heben/Tragen; Wenden/Positionieren; schwere Bauteile; Materialhandling</x:v>
      </x:c>
      <x:c r="I15" s="61" t="str">
        <x:v>Balancer; Hebehilfe; mechanischer/vakuum/pneumatischer Greifer; Sonderlösung</x:v>
      </x:c>
      <x:c r="J15" s="61" t="str">
        <x:v>Ja</x:v>
      </x:c>
      <x:c r="K15" s="61" t="str">
        <x:v>Ja</x:v>
      </x:c>
      <x:c r="L15" s="61" t="str">
        <x:v>Ja</x:v>
      </x:c>
      <x:c r="M15" s="61" t="str">
        <x:v>Ja</x:v>
      </x:c>
      <x:c r="N15" s="61" t="str">
        <x:v>teilweise/projektbezogen</x:v>
      </x:c>
      <x:c r="O15" s="61" t="str">
        <x:v>nicht spezifisch belegt</x:v>
      </x:c>
      <x:c r="P15" s="61" t="str">
        <x:v>Vor-Ort-Hantierungsanalyse und kundenspezifische Greifer/Balancer; überregional relevant.</x:v>
      </x:c>
      <x:c r="Q15" s="61" t="str">
        <x:v>https://www.expresso.de/</x:v>
      </x:c>
      <x:c r="R15" s="61" t="str">
        <x:v>Aufnehmen</x:v>
      </x:c>
      <x:c r="S15" s="61" t="str">
        <x:v>2026-08-30</x:v>
      </x:c>
    </x:row>
    <x:row r="16" ht="58" customHeight="1">
      <x:c r="A16" s="61" t="str">
        <x:v>T-011</x:v>
      </x:c>
      <x:c r="B16" s="61" t="str">
        <x:v>PRONOMIC GmbH</x:v>
      </x:c>
      <x:c r="C16" s="61" t="str">
        <x:v>Kassel (HE)</x:v>
      </x:c>
      <x:c r="D16" s="61" t="str">
        <x:v>Technischer Umsetzer / Hebe- &amp; Sonderlösungen</x:v>
      </x:c>
      <x:c r="E16" s="61" t="str">
        <x:v>A+</x:v>
      </x:c>
      <x:c r="F16" s="61" t="str">
        <x:v>Metall; Automotive; Maschinenbau; Montage/Produktion; Logistik</x:v>
      </x:c>
      <x:c r="G16" s="61" t="str">
        <x:v>Arm/Hand; Schulter; Rücken/Wirbelsäule; reduzierte Kraft; Greifdefizit</x:v>
      </x:c>
      <x:c r="H16" s="61" t="str">
        <x:v>Heben/Tragen; Wenden/Positionieren; Materialhandling; ungünstige Bewegungsabläufe</x:v>
      </x:c>
      <x:c r="I16" s="61" t="str">
        <x:v>Hebelifter; Manipulator/Kran; Sonderaufnahme; Greifer; Positionierhilfe</x:v>
      </x:c>
      <x:c r="J16" s="61" t="str">
        <x:v>Ja</x:v>
      </x:c>
      <x:c r="K16" s="61" t="str">
        <x:v>Ja</x:v>
      </x:c>
      <x:c r="L16" s="61" t="str">
        <x:v>Ja</x:v>
      </x:c>
      <x:c r="M16" s="61" t="str">
        <x:v>Ja</x:v>
      </x:c>
      <x:c r="N16" s="61" t="str">
        <x:v>teilweise/projektbezogen</x:v>
      </x:c>
      <x:c r="O16" s="61" t="str">
        <x:v>nicht spezifisch belegt</x:v>
      </x:c>
      <x:c r="P16" s="61" t="str">
        <x:v>Bewertet Bedienperson, Bewegungsablauf und Arbeitsplatz; vollständige Kette Beratung bis Test.</x:v>
      </x:c>
      <x:c r="Q16" s="61" t="str">
        <x:v>https://www.pronomic.com/de/</x:v>
      </x:c>
      <x:c r="R16" s="61" t="str">
        <x:v>Aufnehmen</x:v>
      </x:c>
      <x:c r="S16" s="61" t="str">
        <x:v>2026-08-30</x:v>
      </x:c>
    </x:row>
    <x:row r="17" ht="58" customHeight="1">
      <x:c r="A17" s="61" t="str">
        <x:v>T-012</x:v>
      </x:c>
      <x:c r="B17" s="61" t="str">
        <x:v>Reinhold Beck Maschinenbau GmbH</x:v>
      </x:c>
      <x:c r="C17" s="61" t="str">
        <x:v>Krauchenwies-Bittelschieß (BW)</x:v>
      </x:c>
      <x:c r="D17" s="61" t="str">
        <x:v>Technischer Umsetzer / Holz &amp; Montage</x:v>
      </x:c>
      <x:c r="E17" s="61" t="str">
        <x:v>A+</x:v>
      </x:c>
      <x:c r="F17" s="61" t="str">
        <x:v>Holz/Schreinerei; Metall; Maschinenbau; Montage/Produktion; Kfz-Werkstatt</x:v>
      </x:c>
      <x:c r="G17" s="61" t="str">
        <x:v>Schulter; Rücken/Wirbelsäule; Bein/Stehen; reduzierte Kraft; Arm/Hand</x:v>
      </x:c>
      <x:c r="H17" s="61" t="str">
        <x:v>Arbeitshöhe; Heben/Senken; Drehen/Kippen; dauerhaftes Stehen; schwere Werkstücke</x:v>
      </x:c>
      <x:c r="I17" s="61" t="str">
        <x:v>Höhenverstellbarer Arbeits-/Montagetisch; Hubtisch; Dreh-/Kipphilfe; Sonderbau</x:v>
      </x:c>
      <x:c r="J17" s="61" t="str">
        <x:v>Ja</x:v>
      </x:c>
      <x:c r="K17" s="61" t="str">
        <x:v>Ja</x:v>
      </x:c>
      <x:c r="L17" s="61" t="str">
        <x:v>Ja</x:v>
      </x:c>
      <x:c r="M17" s="61" t="str">
        <x:v>Ja</x:v>
      </x:c>
      <x:c r="N17" s="61" t="str">
        <x:v>teilweise/projektbezogen</x:v>
      </x:c>
      <x:c r="O17" s="61" t="str">
        <x:v>nicht spezifisch belegt</x:v>
      </x:c>
      <x:c r="P17" s="61" t="str">
        <x:v>A+ für Holz/Schreinerei; eigene Konstruktion/Produktion und ergonomische Hub-/Arbeitstische.</x:v>
      </x:c>
      <x:c r="Q17" s="61" t="str">
        <x:v>https://beck-maschinenbau.com/produkte/arbeitstische/</x:v>
      </x:c>
      <x:c r="R17" s="61" t="str">
        <x:v>Aufnehmen</x:v>
      </x:c>
      <x:c r="S17" s="61" t="str">
        <x:v>2026-08-30</x:v>
      </x:c>
    </x:row>
    <x:row r="18" ht="58" customHeight="1">
      <x:c r="A18" s="61" t="str">
        <x:v>T-013</x:v>
      </x:c>
      <x:c r="B18" s="61" t="str">
        <x:v>BARTH GmbH</x:v>
      </x:c>
      <x:c r="C18" s="61" t="str">
        <x:v>Tacherting (BY)</x:v>
      </x:c>
      <x:c r="D18" s="61" t="str">
        <x:v>Technischer Umsetzer / Holz-Handwerk</x:v>
      </x:c>
      <x:c r="E18" s="61" t="str">
        <x:v>A+</x:v>
      </x:c>
      <x:c r="F18" s="61" t="str">
        <x:v>Holz/Schreinerei; Fenster-/Türenbau; Möbelbau; Montage</x:v>
      </x:c>
      <x:c r="G18" s="61" t="str">
        <x:v>Schulter; Rücken/Wirbelsäule; Arm/Hand; reduzierte Kraft</x:v>
      </x:c>
      <x:c r="H18" s="61" t="str">
        <x:v>Heben/Tragen; Wenden/Kippen; Korpusmontage; schwere Rahmen/Werkstücke</x:v>
      </x:c>
      <x:c r="I18" s="61" t="str">
        <x:v>Hubtisch; Kipp-/Wendetisch; Montagetisch; Sonderlösung</x:v>
      </x:c>
      <x:c r="J18" s="61" t="str">
        <x:v>Ja</x:v>
      </x:c>
      <x:c r="K18" s="61" t="str">
        <x:v>Ja</x:v>
      </x:c>
      <x:c r="L18" s="61" t="str">
        <x:v>Ja</x:v>
      </x:c>
      <x:c r="M18" s="61" t="str">
        <x:v>Ja</x:v>
      </x:c>
      <x:c r="N18" s="61" t="str">
        <x:v>teilweise/projektbezogen</x:v>
      </x:c>
      <x:c r="O18" s="61" t="str">
        <x:v>nicht spezifisch belegt</x:v>
      </x:c>
      <x:c r="P18" s="61" t="str">
        <x:v>Sehr konkrete Lösungen für Korpusse, Fenster-/Türrahmen, Schleif- und Montagearbeiten.</x:v>
      </x:c>
      <x:c r="Q18" s="61" t="str">
        <x:v>https://www.barth-maschinenbau.de/</x:v>
      </x:c>
      <x:c r="R18" s="61" t="str">
        <x:v>Aufnehmen</x:v>
      </x:c>
      <x:c r="S18" s="61" t="str">
        <x:v>2026-08-30</x:v>
      </x:c>
    </x:row>
    <x:row r="19" ht="58" customHeight="1">
      <x:c r="A19" s="61" t="str">
        <x:v>T-014</x:v>
      </x:c>
      <x:c r="B19" s="61" t="str">
        <x:v>BeeWaTec AG</x:v>
      </x:c>
      <x:c r="C19" s="61" t="str">
        <x:v>Pfullingen (BW)</x:v>
      </x:c>
      <x:c r="D19" s="61" t="str">
        <x:v>Technischer Umsetzer / Arbeitsplatzsysteme</x:v>
      </x:c>
      <x:c r="E19" s="61" t="str">
        <x:v>A</x:v>
      </x:c>
      <x:c r="F19" s="61" t="str">
        <x:v>Automotive; Metall; Maschinenbau; Montage/Produktion; Logistik</x:v>
      </x:c>
      <x:c r="G19" s="61" t="str">
        <x:v>Arm/Hand; Schulter; Rücken/Wirbelsäule; Bein/Stehen; reduzierte Kraft</x:v>
      </x:c>
      <x:c r="H19" s="61" t="str">
        <x:v>Montagehöhe; Greifwege; Materialbereitstellung; Verpackung/Prüfung</x:v>
      </x:c>
      <x:c r="I19" s="61" t="str">
        <x:v>Montagearbeitsplatz; Hubsystem; Materialbereitstellung; Durchlaufregal; ESD; Schwenkarm</x:v>
      </x:c>
      <x:c r="J19" s="61" t="str">
        <x:v>Ja</x:v>
      </x:c>
      <x:c r="K19" s="61" t="str">
        <x:v>Ja</x:v>
      </x:c>
      <x:c r="L19" s="61" t="str">
        <x:v>Ja</x:v>
      </x:c>
      <x:c r="M19" s="61" t="str">
        <x:v>Ja</x:v>
      </x:c>
      <x:c r="N19" s="61" t="str">
        <x:v>nein/unklar</x:v>
      </x:c>
      <x:c r="O19" s="61" t="str">
        <x:v>nicht spezifisch belegt</x:v>
      </x:c>
      <x:c r="P19" s="61" t="str">
        <x:v>Individuelle ergonomische Montage-, Pack- und Kontrollarbeitsplätze mit modularer Materialbereitstellung.</x:v>
      </x:c>
      <x:c r="Q19" s="61" t="str">
        <x:v>https://www.beewatec.com/de/lean-loesungen/arbeitsplatzsysteme/</x:v>
      </x:c>
      <x:c r="R19" s="61" t="str">
        <x:v>Aufnehmen</x:v>
      </x:c>
      <x:c r="S19" s="61" t="str">
        <x:v>2026-08-30</x:v>
      </x:c>
    </x:row>
    <x:row r="20" ht="58" customHeight="1">
      <x:c r="A20" s="61" t="str">
        <x:v>T-015</x:v>
      </x:c>
      <x:c r="B20" s="61" t="str">
        <x:v>bott GmbH &amp; Co. KG</x:v>
      </x:c>
      <x:c r="C20" s="61" t="str">
        <x:v>Gaildorf (BW)</x:v>
      </x:c>
      <x:c r="D20" s="61" t="str">
        <x:v>Technischer Umsetzer / Arbeitsplatzsysteme</x:v>
      </x:c>
      <x:c r="E20" s="61" t="str">
        <x:v>A</x:v>
      </x:c>
      <x:c r="F20" s="61" t="str">
        <x:v>Metall; Automotive; Maschinenbau; Werkstatt; Montage/Produktion</x:v>
      </x:c>
      <x:c r="G20" s="61" t="str">
        <x:v>Arm/Hand; Schulter; Rücken/Wirbelsäule; Bein/Stehen; reduzierte Kraft</x:v>
      </x:c>
      <x:c r="H20" s="61" t="str">
        <x:v>Montagehöhe; Werkzeugbereitstellung; Greifwege; Werkstattorganisation</x:v>
      </x:c>
      <x:c r="I20" s="61" t="str">
        <x:v>Montage-/Prüfarbeitsplatz; Werkstatteinrichtung; Material-/Werkzeugbereitstellung</x:v>
      </x:c>
      <x:c r="J20" s="61" t="str">
        <x:v>Ja</x:v>
      </x:c>
      <x:c r="K20" s="61" t="str">
        <x:v>Ja</x:v>
      </x:c>
      <x:c r="L20" s="61" t="str">
        <x:v>teilweise</x:v>
      </x:c>
      <x:c r="M20" s="61" t="str">
        <x:v>Ja</x:v>
      </x:c>
      <x:c r="N20" s="61" t="str">
        <x:v>nein/unklar</x:v>
      </x:c>
      <x:c r="O20" s="61" t="str">
        <x:v>nicht spezifisch belegt</x:v>
      </x:c>
      <x:c r="P20" s="61" t="str">
        <x:v>Als industrieller Umsetzer führen, nicht als unabhängigen Reha-Gutachter.</x:v>
      </x:c>
      <x:c r="Q20" s="61" t="str">
        <x:v>https://www.bott.de/</x:v>
      </x:c>
      <x:c r="R20" s="61" t="str">
        <x:v>Aufnehmen</x:v>
      </x:c>
      <x:c r="S20" s="61" t="str">
        <x:v>2026-08-30</x:v>
      </x:c>
    </x:row>
    <x:row r="21" ht="58" customHeight="1">
      <x:c r="A21" s="61" t="str">
        <x:v>T-016</x:v>
      </x:c>
      <x:c r="B21" s="61" t="str">
        <x:v>Blickle Räder+Rollen GmbH u. Co. KG / ErgoMove</x:v>
      </x:c>
      <x:c r="C21" s="61" t="str">
        <x:v>Rosenfeld (BW)</x:v>
      </x:c>
      <x:c r="D21" s="61" t="str">
        <x:v>Technischer Umsetzer / Materialtransport</x:v>
      </x:c>
      <x:c r="E21" s="61" t="str">
        <x:v>A</x:v>
      </x:c>
      <x:c r="F21" s="61" t="str">
        <x:v>Automotive; Metall; Maschinenbau; Holz; Logistik; Montage/Produktion</x:v>
      </x:c>
      <x:c r="G21" s="61" t="str">
        <x:v>Arm/Hand; Schulter; Rücken/Wirbelsäule; reduzierte Kraft</x:v>
      </x:c>
      <x:c r="H21" s="61" t="str">
        <x:v>Schieben/Ziehen; innerbetrieblicher Transport; schwere Wagen/Lasten</x:v>
      </x:c>
      <x:c r="I21" s="61" t="str">
        <x:v>Elektrische Transporthilfe; Nachrüstung Transportwagen; Fahr-/Lenkhilfe</x:v>
      </x:c>
      <x:c r="J21" s="61" t="str">
        <x:v>Ja</x:v>
      </x:c>
      <x:c r="K21" s="61" t="str">
        <x:v>Ja</x:v>
      </x:c>
      <x:c r="L21" s="61" t="str">
        <x:v>Ja</x:v>
      </x:c>
      <x:c r="M21" s="61" t="str">
        <x:v>Ja</x:v>
      </x:c>
      <x:c r="N21" s="61" t="str">
        <x:v>nein/unklar</x:v>
      </x:c>
      <x:c r="O21" s="61" t="str">
        <x:v>nicht spezifisch belegt</x:v>
      </x:c>
      <x:c r="P21" s="61" t="str">
        <x:v>Sehr interessant bei reduzierter Schiebe-/Zugkraft; vorhandene Wagen können elektrisch unterstützt werden.</x:v>
      </x:c>
      <x:c r="Q21" s="61" t="str">
        <x:v>https://www.blickle.com/ergomove</x:v>
      </x:c>
      <x:c r="R21" s="61" t="str">
        <x:v>Aufnehmen</x:v>
      </x:c>
      <x:c r="S21" s="61" t="str">
        <x:v>2026-08-30</x:v>
      </x:c>
    </x:row>
    <x:row r="22" ht="58" customHeight="1">
      <x:c r="A22" s="61" t="str">
        <x:v>T-017</x:v>
      </x:c>
      <x:c r="B22" s="61" t="str">
        <x:v>Carl Stahl / Kromer</x:v>
      </x:c>
      <x:c r="C22" s="61" t="str">
        <x:v>Süßen (BW) / überregional</x:v>
      </x:c>
      <x:c r="D22" s="61" t="str">
        <x:v>Technischer Umsetzer / Werkzeugentlastung</x:v>
      </x:c>
      <x:c r="E22" s="61" t="str">
        <x:v>A</x:v>
      </x:c>
      <x:c r="F22" s="61" t="str">
        <x:v>Automotive; Metall; Maschinenbau; Montage/Produktion; Werkstatt</x:v>
      </x:c>
      <x:c r="G22" s="61" t="str">
        <x:v>Arm/Hand; Schulter; Rücken/Wirbelsäule; reduzierte Kraft</x:v>
      </x:c>
      <x:c r="H22" s="61" t="str">
        <x:v>Schweres Werkzeug; wiederholtes Heben; Werkzeugführung</x:v>
      </x:c>
      <x:c r="I22" s="61" t="str">
        <x:v>Werkzeugbalancer; Federzug; Gewichtsausgleicher; Arbeitsplatzanalyse</x:v>
      </x:c>
      <x:c r="J22" s="61" t="str">
        <x:v>Ja</x:v>
      </x:c>
      <x:c r="K22" s="61" t="str">
        <x:v>teilweise</x:v>
      </x:c>
      <x:c r="L22" s="61" t="str">
        <x:v>teilweise</x:v>
      </x:c>
      <x:c r="M22" s="61" t="str">
        <x:v>Ja</x:v>
      </x:c>
      <x:c r="N22" s="61" t="str">
        <x:v>nein/unklar</x:v>
      </x:c>
      <x:c r="O22" s="61" t="str">
        <x:v>nicht spezifisch belegt</x:v>
      </x:c>
      <x:c r="P22" s="61" t="str">
        <x:v>Besonders relevant für Winkelschleifer, Schrauber und andere schwere Handwerkzeuge.</x:v>
      </x:c>
      <x:c r="Q22" s="61" t="str">
        <x:v>https://www.carlstahl.com/de/de/loesungen/federzuege-und-balancer-fuer-ergonomische-werkzeugfuehrung</x:v>
      </x:c>
      <x:c r="R22" s="61" t="str">
        <x:v>Aufnehmen</x:v>
      </x:c>
      <x:c r="S22" s="61" t="str">
        <x:v>2026-08-30</x:v>
      </x:c>
    </x:row>
    <x:row r="23" ht="58" customHeight="1">
      <x:c r="A23" s="61" t="str">
        <x:v>T-018</x:v>
      </x:c>
      <x:c r="B23" s="61" t="str">
        <x:v>German Tools GmbH</x:v>
      </x:c>
      <x:c r="C23" s="61" t="str">
        <x:v>Anröchte (NW) / überregional</x:v>
      </x:c>
      <x:c r="D23" s="61" t="str">
        <x:v>Technischer Umsetzer / Schraubarbeitsplätze</x:v>
      </x:c>
      <x:c r="E23" s="61" t="str">
        <x:v>A</x:v>
      </x:c>
      <x:c r="F23" s="61" t="str">
        <x:v>Automotive; Metall; Maschinenbau; Montage/Produktion</x:v>
      </x:c>
      <x:c r="G23" s="61" t="str">
        <x:v>Arm/Hand; Schulter; reduzierte Kraft</x:v>
      </x:c>
      <x:c r="H23" s="61" t="str">
        <x:v>Hohes Drehmoment/Reaktionskraft; schweres Werkzeug; repetitive Schraubarbeit</x:v>
      </x:c>
      <x:c r="I23" s="61" t="str">
        <x:v>Drehmomentarm; Balancer; Positionsüberwachung; ergonomischer Schraubplatz</x:v>
      </x:c>
      <x:c r="J23" s="61" t="str">
        <x:v>Ja</x:v>
      </x:c>
      <x:c r="K23" s="61" t="str">
        <x:v>Ja</x:v>
      </x:c>
      <x:c r="L23" s="61" t="str">
        <x:v>teilweise</x:v>
      </x:c>
      <x:c r="M23" s="61" t="str">
        <x:v>Ja</x:v>
      </x:c>
      <x:c r="N23" s="61" t="str">
        <x:v>nein/unklar</x:v>
      </x:c>
      <x:c r="O23" s="61" t="str">
        <x:v>nicht spezifisch belegt</x:v>
      </x:c>
      <x:c r="P23" s="61" t="str">
        <x:v>Spezialist für ergonomische Schraub- und Montageplätze; bundesweit einsetzbar.</x:v>
      </x:c>
      <x:c r="Q23" s="61" t="str">
        <x:v>https://www.germantools-gmbh.de/</x:v>
      </x:c>
      <x:c r="R23" s="61" t="str">
        <x:v>Aufnehmen</x:v>
      </x:c>
      <x:c r="S23" s="61" t="str">
        <x:v>2026-08-30</x:v>
      </x:c>
    </x:row>
    <x:row r="24" ht="58" customHeight="1">
      <x:c r="A24" s="61" t="str">
        <x:v>T-019</x:v>
      </x:c>
      <x:c r="B24" s="61" t="str">
        <x:v>Atlas Copco Industrial Technique</x:v>
      </x:c>
      <x:c r="C24" s="61" t="str">
        <x:v>Deutschland / überregional</x:v>
      </x:c>
      <x:c r="D24" s="61" t="str">
        <x:v>Technischer Umsetzer / Montagewerkzeuge</x:v>
      </x:c>
      <x:c r="E24" s="61" t="str">
        <x:v>A</x:v>
      </x:c>
      <x:c r="F24" s="61" t="str">
        <x:v>Automotive; Metall; Maschinenbau; Montage/Produktion</x:v>
      </x:c>
      <x:c r="G24" s="61" t="str">
        <x:v>Arm/Hand; Schulter; reduzierte Kraft</x:v>
      </x:c>
      <x:c r="H24" s="61" t="str">
        <x:v>Hohes Drehmoment/Reaktionskraft; repetitive Schraubarbeit</x:v>
      </x:c>
      <x:c r="I24" s="61" t="str">
        <x:v>Drehmomentarm; Werkzeugführung; Schraubtechnik; Montageassistenz</x:v>
      </x:c>
      <x:c r="J24" s="61" t="str">
        <x:v>Ja</x:v>
      </x:c>
      <x:c r="K24" s="61" t="str">
        <x:v>Ja</x:v>
      </x:c>
      <x:c r="L24" s="61" t="str">
        <x:v>teilweise</x:v>
      </x:c>
      <x:c r="M24" s="61" t="str">
        <x:v>Ja</x:v>
      </x:c>
      <x:c r="N24" s="61" t="str">
        <x:v>nein/unklar</x:v>
      </x:c>
      <x:c r="O24" s="61" t="str">
        <x:v>nicht spezifisch belegt</x:v>
      </x:c>
      <x:c r="P24" s="61" t="str">
        <x:v>Ergonomische Lösung für Reaktionskräfte von Schraubern; Standortbezogene Beratung bei Bedarf ergänzen.</x:v>
      </x:c>
      <x:c r="Q24" s="61" t="str">
        <x:v>https://www.atlascopco.com/de-de/itba</x:v>
      </x:c>
      <x:c r="R24" s="61" t="str">
        <x:v>Aufnehmen</x:v>
      </x:c>
      <x:c r="S24" s="61" t="str">
        <x:v>2026-08-30</x:v>
      </x:c>
    </x:row>
    <x:row r="25" ht="58" customHeight="1">
      <x:c r="A25" s="61" t="str">
        <x:v>T-020</x:v>
      </x:c>
      <x:c r="B25" s="61" t="str">
        <x:v>Bimos / Interstuhl Group</x:v>
      </x:c>
      <x:c r="C25" s="61" t="str">
        <x:v>Meßstetten (BW) / überregional</x:v>
      </x:c>
      <x:c r="D25" s="61" t="str">
        <x:v>Technischer Umsetzer / Industrie-Sitzlösungen</x:v>
      </x:c>
      <x:c r="E25" s="61" t="str">
        <x:v>A</x:v>
      </x:c>
      <x:c r="F25" s="61" t="str">
        <x:v>Metall; Automotive; Maschinenbau; Montage/Produktion; Werkstatt; Labor</x:v>
      </x:c>
      <x:c r="G25" s="61" t="str">
        <x:v>Rücken/Wirbelsäule; Bein/Knie/Stehen; reduzierte Belastbarkeit</x:v>
      </x:c>
      <x:c r="H25" s="61" t="str">
        <x:v>Dauerhaftes Stehen; ungünstiges Sitzen; wechselnde Arbeitshöhen</x:v>
      </x:c>
      <x:c r="I25" s="61" t="str">
        <x:v>Industriesitz; Stehhilfe; Sitz-Steh-Lösung; ESD-Sitzlösung</x:v>
      </x:c>
      <x:c r="J25" s="61" t="str">
        <x:v>Ja</x:v>
      </x:c>
      <x:c r="K25" s="61" t="str">
        <x:v>nein</x:v>
      </x:c>
      <x:c r="L25" s="61" t="str">
        <x:v>nein</x:v>
      </x:c>
      <x:c r="M25" s="61" t="str">
        <x:v>teilweise</x:v>
      </x:c>
      <x:c r="N25" s="61" t="str">
        <x:v>nein</x:v>
      </x:c>
      <x:c r="O25" s="61" t="str">
        <x:v>nicht spezifisch belegt</x:v>
      </x:c>
      <x:c r="P25" s="61" t="str">
        <x:v>Spezialisiert auf Produktion, Werkstatt und Montage; sinnvoll bei Rücken-/Bein-/Stehproblemen.</x:v>
      </x:c>
      <x:c r="Q25" s="61" t="str">
        <x:v>https://www.bimos.com/de-de/produkte/industriestuehle</x:v>
      </x:c>
      <x:c r="R25" s="61" t="str">
        <x:v>Aufnehmen</x:v>
      </x:c>
      <x:c r="S25" s="61" t="str">
        <x:v>2026-08-30</x:v>
      </x:c>
    </x:row>
    <x:row r="26" ht="58" customHeight="1">
      <x:c r="A26" s="61" t="str">
        <x:v>T-021</x:v>
      </x:c>
      <x:c r="B26" s="61" t="str">
        <x:v>HUNIC GmbH</x:v>
      </x:c>
      <x:c r="C26" s="61" t="str">
        <x:v>Baiersbronn (BW)</x:v>
      </x:c>
      <x:c r="D26" s="61" t="str">
        <x:v>Technischer Umsetzer / Exoskelett</x:v>
      </x:c>
      <x:c r="E26" s="61" t="str">
        <x:v>A</x:v>
      </x:c>
      <x:c r="F26" s="61" t="str">
        <x:v>Automotive; Metall; Maschinenbau; Logistik; Montage/Produktion</x:v>
      </x:c>
      <x:c r="G26" s="61" t="str">
        <x:v>Schulter; Rücken/Wirbelsäule; reduzierte Kraft/Belastbarkeit</x:v>
      </x:c>
      <x:c r="H26" s="61" t="str">
        <x:v>Überkopfarbeit; Heben/Tragen; Vorbeugehaltung; repetitive Belastung</x:v>
      </x:c>
      <x:c r="I26" s="61" t="str">
        <x:v>Exoskelett; körpergetragene Assistenz; Vor-Ort-Demo</x:v>
      </x:c>
      <x:c r="J26" s="61" t="str">
        <x:v>Ja</x:v>
      </x:c>
      <x:c r="K26" s="61" t="str">
        <x:v>nein</x:v>
      </x:c>
      <x:c r="L26" s="61" t="str">
        <x:v>nein</x:v>
      </x:c>
      <x:c r="M26" s="61" t="str">
        <x:v>teilweise</x:v>
      </x:c>
      <x:c r="N26" s="61" t="str">
        <x:v>nein</x:v>
      </x:c>
      <x:c r="O26" s="61" t="str">
        <x:v>nicht spezifisch belegt</x:v>
      </x:c>
      <x:c r="P26" s="61" t="str">
        <x:v>Nur als individuell zu prüfende Sonderlösung führen; nicht pauschal als Reha-Hilfsmittel empfehlen.</x:v>
      </x:c>
      <x:c r="Q26" s="61" t="str">
        <x:v>https://www.hunic.com/</x:v>
      </x:c>
      <x:c r="R26" s="61" t="str">
        <x:v>Aufnehmen</x:v>
      </x:c>
      <x:c r="S26" s="61" t="str">
        <x:v>2026-08-30</x:v>
      </x:c>
    </x:row>
    <x:row r="27" ht="58" customHeight="1">
      <x:c r="A27" s="61" t="str">
        <x:v>T-022</x:v>
      </x:c>
      <x:c r="B27" s="61" t="str">
        <x:v>hTRIUS GmbH</x:v>
      </x:c>
      <x:c r="C27" s="61" t="str">
        <x:v>Horb am Neckar (BW)</x:v>
      </x:c>
      <x:c r="D27" s="61" t="str">
        <x:v>Technischer Umsetzer / Exoskelett</x:v>
      </x:c>
      <x:c r="E27" s="61" t="str">
        <x:v>A</x:v>
      </x:c>
      <x:c r="F27" s="61" t="str">
        <x:v>Automotive; Metall; Maschinenbau; Logistik; Montage/Produktion</x:v>
      </x:c>
      <x:c r="G27" s="61" t="str">
        <x:v>Rücken/Wirbelsäule; reduzierte Kraft/Belastbarkeit</x:v>
      </x:c>
      <x:c r="H27" s="61" t="str">
        <x:v>Heben/Tragen; Vorbeugehaltung; körperlich belastende Montage</x:v>
      </x:c>
      <x:c r="I27" s="61" t="str">
        <x:v>Exoskelett; Rückenassistenz; Demo/Rollout</x:v>
      </x:c>
      <x:c r="J27" s="61" t="str">
        <x:v>Ja</x:v>
      </x:c>
      <x:c r="K27" s="61" t="str">
        <x:v>nein</x:v>
      </x:c>
      <x:c r="L27" s="61" t="str">
        <x:v>nein</x:v>
      </x:c>
      <x:c r="M27" s="61" t="str">
        <x:v>teilweise</x:v>
      </x:c>
      <x:c r="N27" s="61" t="str">
        <x:v>nein</x:v>
      </x:c>
      <x:c r="O27" s="61" t="str">
        <x:v>nicht spezifisch belegt</x:v>
      </x:c>
      <x:c r="P27" s="61" t="str">
        <x:v>Eignung im Einzelfall prüfen; sinnvoll als Option bei belastenden Hebe-/Beugebewegungen.</x:v>
      </x:c>
      <x:c r="Q27" s="61" t="str">
        <x:v>https://www.htrius.com/</x:v>
      </x:c>
      <x:c r="R27" s="61" t="str">
        <x:v>Aufnehmen</x:v>
      </x:c>
      <x:c r="S27" s="61" t="str">
        <x:v>2026-08-30</x:v>
      </x:c>
    </x:row>
    <x:row r="28" ht="58" customHeight="1">
      <x:c r="A28" s="61" t="str">
        <x:v>T-023</x:v>
      </x:c>
      <x:c r="B28" s="61" t="str">
        <x:v>HDC Huttelmaier Retrofit</x:v>
      </x:c>
      <x:c r="C28" s="61" t="str">
        <x:v>Schorndorf (BW)</x:v>
      </x:c>
      <x:c r="D28" s="61" t="str">
        <x:v>Technischer Umsetzer / Maschinenretrofit</x:v>
      </x:c>
      <x:c r="E28" s="61" t="str">
        <x:v>A</x:v>
      </x:c>
      <x:c r="F28" s="61" t="str">
        <x:v>Metall; Maschinenbau; Automotive</x:v>
      </x:c>
      <x:c r="G28" s="61" t="str">
        <x:v>Arm/Hand; Sehen; reduzierte Kraft; sonstige Bedienungseinschränkung</x:v>
      </x:c>
      <x:c r="H28" s="61" t="str">
        <x:v>Maschine nicht mehr bedienbar; Steuerungs-/Bedienproblem; Sicherheitsanpassung</x:v>
      </x:c>
      <x:c r="I28" s="61" t="str">
        <x:v>Maschinenretrofit; Steuerungsumbau; Bedienpult; Elektrik/Schaltschrank; Schutzeinrichtung</x:v>
      </x:c>
      <x:c r="J28" s="61" t="str">
        <x:v>Ja</x:v>
      </x:c>
      <x:c r="K28" s="61" t="str">
        <x:v>Ja</x:v>
      </x:c>
      <x:c r="L28" s="61" t="str">
        <x:v>Ja</x:v>
      </x:c>
      <x:c r="M28" s="61" t="str">
        <x:v>Ja</x:v>
      </x:c>
      <x:c r="N28" s="61" t="str">
        <x:v>Ja/projektbezogen</x:v>
      </x:c>
      <x:c r="O28" s="61" t="str">
        <x:v>nicht spezifisch belegt</x:v>
      </x:c>
      <x:c r="P28" s="61" t="str">
        <x:v>Als Umsetzer für projektbezogene Bedienungsänderung führen; Reha-Spezialisierung vor Auftrag prüfen.</x:v>
      </x:c>
      <x:c r="Q28" s="61" t="str">
        <x:v>https://retrofit.de/</x:v>
      </x:c>
      <x:c r="R28" s="61" t="str">
        <x:v>Aufnehmen</x:v>
      </x:c>
      <x:c r="S28" s="61" t="str">
        <x:v>2026-08-30</x:v>
      </x:c>
    </x:row>
    <x:row r="29" ht="58" customHeight="1">
      <x:c r="A29" s="61" t="str">
        <x:v>T-024</x:v>
      </x:c>
      <x:c r="B29" s="61" t="str">
        <x:v>SPS Automation GmbH</x:v>
      </x:c>
      <x:c r="C29" s="61" t="str">
        <x:v>Birkenau (HE)</x:v>
      </x:c>
      <x:c r="D29" s="61" t="str">
        <x:v>Technischer Umsetzer / Maschinenretrofit</x:v>
      </x:c>
      <x:c r="E29" s="61" t="str">
        <x:v>A</x:v>
      </x:c>
      <x:c r="F29" s="61" t="str">
        <x:v>Metall; Maschinenbau; Automotive; Montage/Produktion</x:v>
      </x:c>
      <x:c r="G29" s="61" t="str">
        <x:v>Arm/Hand; Sehen; reduzierte Kraft; sonstige Bedienungseinschränkung</x:v>
      </x:c>
      <x:c r="H29" s="61" t="str">
        <x:v>Maschinenbedienung; Steuerungsproblem; Retrofit; Sicherheitsanpassung</x:v>
      </x:c>
      <x:c r="I29" s="61" t="str">
        <x:v>SPS-/Steuerungsumbau; Schaltschrank; Bedienung; Retrofit; Inbetriebnahme</x:v>
      </x:c>
      <x:c r="J29" s="61" t="str">
        <x:v>Ja</x:v>
      </x:c>
      <x:c r="K29" s="61" t="str">
        <x:v>Ja</x:v>
      </x:c>
      <x:c r="L29" s="61" t="str">
        <x:v>Ja</x:v>
      </x:c>
      <x:c r="M29" s="61" t="str">
        <x:v>Ja</x:v>
      </x:c>
      <x:c r="N29" s="61" t="str">
        <x:v>Ja/projektbezogen</x:v>
      </x:c>
      <x:c r="O29" s="61" t="str">
        <x:v>nicht spezifisch belegt</x:v>
      </x:c>
      <x:c r="P29" s="61" t="str">
        <x:v>Regional sehr interessant: Ist-Analyse, Umbau, Montage vor Ort, Inbetriebnahme und Schulung.</x:v>
      </x:c>
      <x:c r="Q29" s="61" t="str">
        <x:v>https://sps-automation.de/dienstleistungen/retrofit.html</x:v>
      </x:c>
      <x:c r="R29" s="61" t="str">
        <x:v>Aufnehmen</x:v>
      </x:c>
      <x:c r="S29" s="61" t="str">
        <x:v>2026-08-30</x:v>
      </x:c>
    </x:row>
    <x:row r="30" ht="58" customHeight="1">
      <x:c r="A30" s="61" t="str">
        <x:v>T-025</x:v>
      </x:c>
      <x:c r="B30" s="61" t="str">
        <x:v>NEFF-Pressen / Röcher GmbH &amp; Co. KG</x:v>
      </x:c>
      <x:c r="C30" s="61" t="str">
        <x:v>Karlsruhe (BW)</x:v>
      </x:c>
      <x:c r="D30" s="61" t="str">
        <x:v>Technischer Umsetzer / Pressenretrofit</x:v>
      </x:c>
      <x:c r="E30" s="61" t="str">
        <x:v>A</x:v>
      </x:c>
      <x:c r="F30" s="61" t="str">
        <x:v>Metall; Automotive; Maschinenbau</x:v>
      </x:c>
      <x:c r="G30" s="61" t="str">
        <x:v>Arm/Hand; Sehen; reduzierte Kraft; sonstige Bedienungseinschränkung</x:v>
      </x:c>
      <x:c r="H30" s="61" t="str">
        <x:v>Pressenbedienung; Bedienpult; Sicherheit; Zuführung/Entnahme</x:v>
      </x:c>
      <x:c r="I30" s="61" t="str">
        <x:v>Retrofit; Touch-/Bedienpult; Taster/Schalter; I/O; Sicherheit; Zuführ-/Robotiklösung</x:v>
      </x:c>
      <x:c r="J30" s="61" t="str">
        <x:v>Ja</x:v>
      </x:c>
      <x:c r="K30" s="61" t="str">
        <x:v>Ja</x:v>
      </x:c>
      <x:c r="L30" s="61" t="str">
        <x:v>Ja</x:v>
      </x:c>
      <x:c r="M30" s="61" t="str">
        <x:v>Ja</x:v>
      </x:c>
      <x:c r="N30" s="61" t="str">
        <x:v>Ja/projektbezogen</x:v>
      </x:c>
      <x:c r="O30" s="61" t="str">
        <x:v>nicht spezifisch belegt</x:v>
      </x:c>
      <x:c r="P30" s="61" t="str">
        <x:v>Besonders für konkrete Pressen-/Metallfälle interessant.</x:v>
      </x:c>
      <x:c r="Q30" s="61" t="str">
        <x:v>https://beflex.neff-pressen.de/retrofit.html</x:v>
      </x:c>
      <x:c r="R30" s="61" t="str">
        <x:v>Aufnehmen</x:v>
      </x:c>
      <x:c r="S30" s="61" t="str">
        <x:v>2026-08-30</x:v>
      </x:c>
    </x:row>
    <x:row r="31" ht="58" customHeight="1">
      <x:c r="A31" s="61" t="str">
        <x:v>T-026</x:v>
      </x:c>
      <x:c r="B31" s="61" t="str">
        <x:v>ANKO GmbH &amp; Co. KG</x:v>
      </x:c>
      <x:c r="C31" s="61" t="str">
        <x:v>Karlsruhe (BW)</x:v>
      </x:c>
      <x:c r="D31" s="61" t="str">
        <x:v>Technischer Umsetzer / Sondermaschinen &amp; Vorrichtungen</x:v>
      </x:c>
      <x:c r="E31" s="61" t="str">
        <x:v>A</x:v>
      </x:c>
      <x:c r="F31" s="61" t="str">
        <x:v>Automotive; Metall; Maschinenbau; Montage/Produktion</x:v>
      </x:c>
      <x:c r="G31" s="61" t="str">
        <x:v>Arm/Hand; Schulter; reduzierte Kraft</x:v>
      </x:c>
      <x:c r="H31" s="61" t="str">
        <x:v>Positionieren; Zentrieren; Schrauben; Handling; Montagevorgang</x:v>
      </x:c>
      <x:c r="I31" s="61" t="str">
        <x:v>Sondervorrichtung; Handling; Positionier-/Zentriertechnik; Schraubapplikation</x:v>
      </x:c>
      <x:c r="J31" s="61" t="str">
        <x:v>Ja</x:v>
      </x:c>
      <x:c r="K31" s="61" t="str">
        <x:v>Ja</x:v>
      </x:c>
      <x:c r="L31" s="61" t="str">
        <x:v>Ja</x:v>
      </x:c>
      <x:c r="M31" s="61" t="str">
        <x:v>Ja</x:v>
      </x:c>
      <x:c r="N31" s="61" t="str">
        <x:v>teilweise/projektbezogen</x:v>
      </x:c>
      <x:c r="O31" s="61" t="str">
        <x:v>nicht spezifisch belegt</x:v>
      </x:c>
      <x:c r="P31" s="61" t="str">
        <x:v>Als technischer Umsetzer führen, nicht als unabhängigen Reha-Berater.</x:v>
      </x:c>
      <x:c r="Q31" s="61" t="str">
        <x:v>https://anko-karlsruhe.de/</x:v>
      </x:c>
      <x:c r="R31" s="61" t="str">
        <x:v>Aufnehmen</x:v>
      </x:c>
      <x:c r="S31" s="61" t="str">
        <x:v>2026-08-30</x:v>
      </x:c>
    </x:row>
    <x:row r="32" ht="58" customHeight="1">
      <x:c r="A32" s="61" t="str">
        <x:v>T-027</x:v>
      </x:c>
      <x:c r="B32" s="61" t="str">
        <x:v>TINKA Handelsgesellschaft mbH</x:v>
      </x:c>
      <x:c r="C32" s="61" t="str">
        <x:v>Heilbronn (BW)</x:v>
      </x:c>
      <x:c r="D32" s="61" t="str">
        <x:v>Technischer Umsetzer / Hebe- &amp; Sondertechnik</x:v>
      </x:c>
      <x:c r="E32" s="61" t="str">
        <x:v>A</x:v>
      </x:c>
      <x:c r="F32" s="61" t="str">
        <x:v>Metall; Maschinenbau; Montage/Produktion; Logistik</x:v>
      </x:c>
      <x:c r="G32" s="61" t="str">
        <x:v>Arm/Hand; Schulter; Rücken/Wirbelsäule; reduzierte Kraft</x:v>
      </x:c>
      <x:c r="H32" s="61" t="str">
        <x:v>Heben/Tragen; Wenden/Positionieren; innerbetriebliche Bewegung</x:v>
      </x:c>
      <x:c r="I32" s="61" t="str">
        <x:v>Hebetechnik; Handhabungstechnik; Sonderkonstruktion; Montage</x:v>
      </x:c>
      <x:c r="J32" s="61" t="str">
        <x:v>Ja</x:v>
      </x:c>
      <x:c r="K32" s="61" t="str">
        <x:v>Ja</x:v>
      </x:c>
      <x:c r="L32" s="61" t="str">
        <x:v>Ja</x:v>
      </x:c>
      <x:c r="M32" s="61" t="str">
        <x:v>Ja</x:v>
      </x:c>
      <x:c r="N32" s="61" t="str">
        <x:v>teilweise/projektbezogen</x:v>
      </x:c>
      <x:c r="O32" s="61" t="str">
        <x:v>nicht spezifisch belegt</x:v>
      </x:c>
      <x:c r="P32" s="61" t="str">
        <x:v>Regionaler Umsetzungspartner; BG-/Reha-Spezialisierung projektbezogen prüfen.</x:v>
      </x:c>
      <x:c r="Q32" s="61" t="str">
        <x:v>https://www.tinka-gmbh.de/</x:v>
      </x:c>
      <x:c r="R32" s="61" t="str">
        <x:v>Aufnehmen</x:v>
      </x:c>
      <x:c r="S32" s="61" t="str">
        <x:v>2026-08-30</x:v>
      </x:c>
    </x:row>
    <x:row r="33" ht="58" customHeight="1">
      <x:c r="A33" s="61" t="str">
        <x:v>T-028</x:v>
      </x:c>
      <x:c r="B33" s="61" t="str">
        <x:v>Rauscher &amp; Reyhing GmbH</x:v>
      </x:c>
      <x:c r="C33" s="61" t="str">
        <x:v>Hohenstein-Bernloch (BW)</x:v>
      </x:c>
      <x:c r="D33" s="61" t="str">
        <x:v>Technischer Umsetzer / Holzmaschinen</x:v>
      </x:c>
      <x:c r="E33" s="61" t="str">
        <x:v>A</x:v>
      </x:c>
      <x:c r="F33" s="61" t="str">
        <x:v>Holz/Schreinerei; Möbelbau; Montage</x:v>
      </x:c>
      <x:c r="G33" s="61" t="str">
        <x:v>Arm/Hand; Schulter; Rücken/Wirbelsäule; reduzierte Kraft</x:v>
      </x:c>
      <x:c r="H33" s="61" t="str">
        <x:v>Plattenhandling; Maschinenbeschickung; Heben/Tragen; Werkstattprozess</x:v>
      </x:c>
      <x:c r="I33" s="61" t="str">
        <x:v>Holzbearbeitungsmaschine; Vakuumheber; Plattenhandling; Service/Vor-Ort-Beratung</x:v>
      </x:c>
      <x:c r="J33" s="61" t="str">
        <x:v>Ja</x:v>
      </x:c>
      <x:c r="K33" s="61" t="str">
        <x:v>teilweise</x:v>
      </x:c>
      <x:c r="L33" s="61" t="str">
        <x:v>Ja</x:v>
      </x:c>
      <x:c r="M33" s="61" t="str">
        <x:v>Ja</x:v>
      </x:c>
      <x:c r="N33" s="61" t="str">
        <x:v>teilweise/projektbezogen</x:v>
      </x:c>
      <x:c r="O33" s="61" t="str">
        <x:v>nicht spezifisch belegt</x:v>
      </x:c>
      <x:c r="P33" s="61" t="str">
        <x:v>Branchenspezifischer Partner für Schreinerei; als technischer Branchenumsetzer kennzeichnen.</x:v>
      </x:c>
      <x:c r="Q33" s="61" t="str">
        <x:v>https://www.rauscher-reyhing.de/</x:v>
      </x:c>
      <x:c r="R33" s="61" t="str">
        <x:v>Aufnehmen</x:v>
      </x:c>
      <x:c r="S33" s="61" t="str">
        <x:v>2026-08-30</x:v>
      </x:c>
    </x:row>
    <x:row r="34" ht="58" customHeight="1">
      <x:c r="A34" s="61" t="str">
        <x:v>T-029</x:v>
      </x:c>
      <x:c r="B34" s="61" t="str">
        <x:v>Schmersal / tec.nicum</x:v>
      </x:c>
      <x:c r="C34" s="61" t="str">
        <x:v>Wuppertal / überregional</x:v>
      </x:c>
      <x:c r="D34" s="61" t="str">
        <x:v>Technischer Berater &amp; Umsetzer / Bedienung &amp; Safety</x:v>
      </x:c>
      <x:c r="E34" s="61" t="str">
        <x:v>A+</x:v>
      </x:c>
      <x:c r="F34" s="61" t="str">
        <x:v>Metall; Automotive; Maschinenbau; Holz; Montage/Produktion</x:v>
      </x:c>
      <x:c r="G34" s="61" t="str">
        <x:v>Arm/Hand; reduzierte Kraft; Sehen/Hören; sonstige Bedienungseinschränkung</x:v>
      </x:c>
      <x:c r="H34" s="61" t="str">
        <x:v>Alternative Maschinenbedienung; geringe Betätigungskraft; Fuß-/Kniebedienung; Maschinensicherheit</x:v>
      </x:c>
      <x:c r="I34" s="61" t="str">
        <x:v>Fußschalter; Knieschalter; leichtgängige Bedienelemente; Bedienfeld; Handheld; Safety/Arbeitsplatzoptimierung</x:v>
      </x:c>
      <x:c r="J34" s="61" t="str">
        <x:v>Ja</x:v>
      </x:c>
      <x:c r="K34" s="61" t="str">
        <x:v>Ja</x:v>
      </x:c>
      <x:c r="L34" s="61" t="str">
        <x:v>Ja</x:v>
      </x:c>
      <x:c r="M34" s="61" t="str">
        <x:v>Ja</x:v>
      </x:c>
      <x:c r="N34" s="61" t="str">
        <x:v>Ja</x:v>
      </x:c>
      <x:c r="O34" s="61" t="str">
        <x:v>nicht spezifisch belegt</x:v>
      </x:c>
      <x:c r="P34" s="61" t="str">
        <x:v>Sehr wertvoll bei Hand-/Finger-/Armdefiziten und alternativer Betätigung; Safety-Kompetenz verknüpfen.</x:v>
      </x:c>
      <x:c r="Q34" s="61" t="str">
        <x:v>https://www.schmersal.com/</x:v>
      </x:c>
      <x:c r="R34" s="61" t="str">
        <x:v>Aufnehmen</x:v>
      </x:c>
      <x:c r="S34" s="61" t="str">
        <x:v>2026-08-30</x:v>
      </x:c>
    </x:row>
    <x:row r="35" ht="58" customHeight="1">
      <x:c r="A35" s="61" t="str">
        <x:v>T-030</x:v>
      </x:c>
      <x:c r="B35" s="61" t="str">
        <x:v>Faude Tec GmbH</x:v>
      </x:c>
      <x:c r="C35" s="61" t="str">
        <x:v>Börtlingen / Raum Göppingen (BW)</x:v>
      </x:c>
      <x:c r="D35" s="61" t="str">
        <x:v>Systemintegrator / Cobot &amp; Automation</x:v>
      </x:c>
      <x:c r="E35" s="61" t="str">
        <x:v>A+</x:v>
      </x:c>
      <x:c r="F35" s="61" t="str">
        <x:v>Automotive; Metall; Maschinenbau; Montage/Produktion</x:v>
      </x:c>
      <x:c r="G35" s="61" t="str">
        <x:v>Arm/Hand; Schulter; Rücken/Wirbelsäule; reduzierte Kraft/Belastbarkeit</x:v>
      </x:c>
      <x:c r="H35" s="61" t="str">
        <x:v>Repetitive Belastung; Heben/Positionieren; Maschinenbeschickung; ungünstige Körperhaltung</x:v>
      </x:c>
      <x:c r="I35" s="61" t="str">
        <x:v>Cobot; Robotik; SPS; Sonderautomation; Teilprozess-Automatisierung</x:v>
      </x:c>
      <x:c r="J35" s="61" t="str">
        <x:v>Ja</x:v>
      </x:c>
      <x:c r="K35" s="61" t="str">
        <x:v>Ja</x:v>
      </x:c>
      <x:c r="L35" s="61" t="str">
        <x:v>Ja</x:v>
      </x:c>
      <x:c r="M35" s="61" t="str">
        <x:v>Ja</x:v>
      </x:c>
      <x:c r="N35" s="61" t="str">
        <x:v>Ja</x:v>
      </x:c>
      <x:c r="O35" s="61" t="str">
        <x:v>nicht spezifisch belegt</x:v>
      </x:c>
      <x:c r="P35" s="61" t="str">
        <x:v>Cobot nur als individuell zu prüfende Sonderlösung; starke Safety-/CE-Kette.</x:v>
      </x:c>
      <x:c r="Q35" s="61" t="str">
        <x:v>https://www.faudetec.de/</x:v>
      </x:c>
      <x:c r="R35" s="61" t="str">
        <x:v>Aufnehmen</x:v>
      </x:c>
      <x:c r="S35" s="61" t="str">
        <x:v>2026-08-30</x:v>
      </x:c>
    </x:row>
    <x:row r="36" ht="58" customHeight="1">
      <x:c r="A36" s="61" t="str">
        <x:v>T-031</x:v>
      </x:c>
      <x:c r="B36" s="61" t="str">
        <x:v>HOLZ automation GmbH</x:v>
      </x:c>
      <x:c r="C36" s="61" t="str">
        <x:v>Backnang-Waldrems (BW)</x:v>
      </x:c>
      <x:c r="D36" s="61" t="str">
        <x:v>Systemintegrator / Robotik &amp; Retrofit</x:v>
      </x:c>
      <x:c r="E36" s="61" t="str">
        <x:v>A</x:v>
      </x:c>
      <x:c r="F36" s="61" t="str">
        <x:v>Automotive; Metall; Maschinenbau; Montage/Produktion</x:v>
      </x:c>
      <x:c r="G36" s="61" t="str">
        <x:v>Arm/Hand; Schulter; Rücken/Wirbelsäule; reduzierte Kraft/Belastbarkeit</x:v>
      </x:c>
      <x:c r="H36" s="61" t="str">
        <x:v>Repetitive Belastung; Montageautomation; Maschinenbeschickung; Bedienungsproblem</x:v>
      </x:c>
      <x:c r="I36" s="61" t="str">
        <x:v>Robotik/Cobot; Montageautomation; Sondermaschinenbau; SPS; Retrofit</x:v>
      </x:c>
      <x:c r="J36" s="61" t="str">
        <x:v>Ja</x:v>
      </x:c>
      <x:c r="K36" s="61" t="str">
        <x:v>Ja</x:v>
      </x:c>
      <x:c r="L36" s="61" t="str">
        <x:v>Ja</x:v>
      </x:c>
      <x:c r="M36" s="61" t="str">
        <x:v>Ja</x:v>
      </x:c>
      <x:c r="N36" s="61" t="str">
        <x:v>Ja</x:v>
      </x:c>
      <x:c r="O36" s="61" t="str">
        <x:v>nicht spezifisch belegt</x:v>
      </x:c>
      <x:c r="P36" s="61" t="str">
        <x:v>Für komplexe industrielle Teilprozesse; Reha-Einsatz projektbezogen bewerten.</x:v>
      </x:c>
      <x:c r="Q36" s="61" t="str">
        <x:v>https://www.holz-automation.de/de/</x:v>
      </x:c>
      <x:c r="R36" s="61" t="str">
        <x:v>Aufnehmen</x:v>
      </x:c>
      <x:c r="S36" s="61" t="str">
        <x:v>2026-08-30</x:v>
      </x:c>
    </x:row>
    <x:row r="37" ht="58" customHeight="1">
      <x:c r="A37" s="61" t="str">
        <x:v>T-032</x:v>
      </x:c>
      <x:c r="B37" s="61" t="str">
        <x:v>WERMA Signaltechnik GmbH + Co. KG</x:v>
      </x:c>
      <x:c r="C37" s="61" t="str">
        <x:v>Rietheim-Weilheim (BW)</x:v>
      </x:c>
      <x:c r="D37" s="61" t="str">
        <x:v>Technischer Umsetzer / Signaltechnik</x:v>
      </x:c>
      <x:c r="E37" s="61" t="str">
        <x:v>A</x:v>
      </x:c>
      <x:c r="F37" s="61" t="str">
        <x:v>Metall; Automotive; Maschinenbau; Holz; Montage/Produktion</x:v>
      </x:c>
      <x:c r="G37" s="61" t="str">
        <x:v>Hören/Kommunikation; Sehen</x:v>
      </x:c>
      <x:c r="H37" s="61" t="str">
        <x:v>Warnsignale werden nicht wahrgenommen; Maschinenstatus/Alarmierung</x:v>
      </x:c>
      <x:c r="I37" s="61" t="str">
        <x:v>Optische Signale; akustische Signale; optisch-akustische Kombination; Zwei-Sinne-Signalisierung</x:v>
      </x:c>
      <x:c r="J37" s="61" t="str">
        <x:v>Ja</x:v>
      </x:c>
      <x:c r="K37" s="61" t="str">
        <x:v>teilweise</x:v>
      </x:c>
      <x:c r="L37" s="61" t="str">
        <x:v>teilweise</x:v>
      </x:c>
      <x:c r="M37" s="61" t="str">
        <x:v>Ja</x:v>
      </x:c>
      <x:c r="N37" s="61" t="str">
        <x:v>nein</x:v>
      </x:c>
      <x:c r="O37" s="61" t="str">
        <x:v>nicht spezifisch belegt</x:v>
      </x:c>
      <x:c r="P37" s="61" t="str">
        <x:v>Für sensorische Arbeitsplatzanpassung; individuelle Kombination mit IFD/Hörfachberatung sinnvoll.</x:v>
      </x:c>
      <x:c r="Q37" s="61" t="str">
        <x:v>https://www.werma.com/</x:v>
      </x:c>
      <x:c r="R37" s="61" t="str">
        <x:v>Aufnehmen</x:v>
      </x:c>
      <x:c r="S37" s="61" t="str">
        <x:v>2026-08-30</x:v>
      </x:c>
    </x:row>
    <x:row r="38" ht="58" customHeight="1">
      <x:c r="A38" s="61" t="str">
        <x:v>T-033</x:v>
      </x:c>
      <x:c r="B38" s="61" t="str">
        <x:v>Pilz GmbH &amp; Co. KG</x:v>
      </x:c>
      <x:c r="C38" s="61" t="str">
        <x:v>Ostfildern (BW)</x:v>
      </x:c>
      <x:c r="D38" s="61" t="str">
        <x:v>Maschinensicherheit / Engineering</x:v>
      </x:c>
      <x:c r="E38" s="61" t="str">
        <x:v>A+</x:v>
      </x:c>
      <x:c r="F38" s="61" t="str">
        <x:v>Metall; Automotive; Maschinenbau; Holz; Montage/Produktion</x:v>
      </x:c>
      <x:c r="G38" s="61" t="str">
        <x:v>alle – indirekt bei Maschinenumbau</x:v>
      </x:c>
      <x:c r="H38" s="61" t="str">
        <x:v>Maschinenumbau; wesentliche Veränderung; Sicherheits-/CE-Fragen</x:v>
      </x:c>
      <x:c r="I38" s="61" t="str">
        <x:v>Risikobeurteilung; Safety-Design; Systemintegration; Validierung; Retrofit; CE/Konformität</x:v>
      </x:c>
      <x:c r="J38" s="61" t="str">
        <x:v>Ja</x:v>
      </x:c>
      <x:c r="K38" s="61" t="str">
        <x:v>Ja</x:v>
      </x:c>
      <x:c r="L38" s="61" t="str">
        <x:v>teilweise</x:v>
      </x:c>
      <x:c r="M38" s="61" t="str">
        <x:v>Ja</x:v>
      </x:c>
      <x:c r="N38" s="61" t="str">
        <x:v>Ja</x:v>
      </x:c>
      <x:c r="O38" s="61" t="str">
        <x:v>nicht spezifisch belegt</x:v>
      </x:c>
      <x:c r="P38" s="61" t="str">
        <x:v>Nicht als Reha-Berater, sondern als Safety-/Abnahmebaustein bei komplexen Maschinenumbauten.</x:v>
      </x:c>
      <x:c r="Q38" s="61" t="str">
        <x:v>https://www.pilz.com/de-DE/services/workplace-safety</x:v>
      </x:c>
      <x:c r="R38" s="61" t="str">
        <x:v>Aufnehmen</x:v>
      </x:c>
      <x:c r="S38" s="61" t="str">
        <x:v>2026-08-30</x:v>
      </x:c>
    </x:row>
    <x:row r="39" ht="58" customHeight="1">
      <x:c r="A39" s="61" t="str">
        <x:v>T-034</x:v>
      </x:c>
      <x:c r="B39" s="61" t="str">
        <x:v>ALLMATIC-Jakob Spannsysteme GmbH</x:v>
      </x:c>
      <x:c r="C39" s="61" t="str">
        <x:v>Unterthingau (BY)</x:v>
      </x:c>
      <x:c r="D39" s="61" t="str">
        <x:v>Technischer Umsetzer / Spann- &amp; Rüsthilfe</x:v>
      </x:c>
      <x:c r="E39" s="61" t="str">
        <x:v>A</x:v>
      </x:c>
      <x:c r="F39" s="61" t="str">
        <x:v>Metall; Maschinenbau; Automotive</x:v>
      </x:c>
      <x:c r="G39" s="61" t="str">
        <x:v>Arm/Hand; Schulter; Rücken/Wirbelsäule; reduzierte Kraft</x:v>
      </x:c>
      <x:c r="H39" s="61" t="str">
        <x:v>Kurbeln/Drehmoment; Rüsten; Spannarbeit; wiederholte Kraftbelastung</x:v>
      </x:c>
      <x:c r="I39" s="61" t="str">
        <x:v>WorkBuddy Spannhilfe; Bedienhilfe; individuelle Maschinen-/Rüstplatzmontage</x:v>
      </x:c>
      <x:c r="J39" s="61" t="str">
        <x:v>Ja</x:v>
      </x:c>
      <x:c r="K39" s="61" t="str">
        <x:v>teilweise</x:v>
      </x:c>
      <x:c r="L39" s="61" t="str">
        <x:v>Ja</x:v>
      </x:c>
      <x:c r="M39" s="61" t="str">
        <x:v>Ja</x:v>
      </x:c>
      <x:c r="N39" s="61" t="str">
        <x:v>nein/unklar</x:v>
      </x:c>
      <x:c r="O39" s="61" t="str">
        <x:v>nicht spezifisch belegt</x:v>
      </x:c>
      <x:c r="P39" s="61" t="str">
        <x:v>Sehr konkreter Baustein für Rüstplätze und Spanntürme; individuell an Maschine montierbar.</x:v>
      </x:c>
      <x:c r="Q39" s="61" t="str">
        <x:v>https://www.allmatic.de/workbuddy/</x:v>
      </x:c>
      <x:c r="R39" s="61" t="str">
        <x:v>Aufnehmen</x:v>
      </x:c>
      <x:c r="S39" s="61" t="str">
        <x:v>2026-08-30</x:v>
      </x:c>
    </x:row>
    <x:row r="40" ht="58" customHeight="1">
      <x:c r="A40" s="61" t="str">
        <x:v>T-035</x:v>
      </x:c>
      <x:c r="B40" s="61" t="str">
        <x:v>Humanelektronik GmbH</x:v>
      </x:c>
      <x:c r="C40" s="61" t="str">
        <x:v>Worms (RP)</x:v>
      </x:c>
      <x:c r="D40" s="61" t="str">
        <x:v>Technischer Umsetzer / alternative Steuerung &amp; Kommunikation</x:v>
      </x:c>
      <x:c r="E40" s="61" t="str">
        <x:v>A+</x:v>
      </x:c>
      <x:c r="F40" s="61" t="str">
        <x:v>Metall; Automotive; Maschinenbau; Holz; Büro/IT; Montage/Produktion</x:v>
      </x:c>
      <x:c r="G40" s="61" t="str">
        <x:v>Arm/Hand; Greifdefizit; reduzierte Kraft; Sehen; Kommunikation; Rollstuhl/Mobilität</x:v>
      </x:c>
      <x:c r="H40" s="61" t="str">
        <x:v>PC-/Maschinennahe Eingabe; alternative Steuerung; Kommunikation; Umfeldsteuerung</x:v>
      </x:c>
      <x:c r="I40" s="61" t="str">
        <x:v>Alternative Eingabegeräte; Augensteuerung; Kopf-/Joysticksteuerung; Umfeld-/Rollstuhlsteuerung; Kommunikation</x:v>
      </x:c>
      <x:c r="J40" s="61" t="str">
        <x:v>Ja</x:v>
      </x:c>
      <x:c r="K40" s="61" t="str">
        <x:v>Ja</x:v>
      </x:c>
      <x:c r="L40" s="61" t="str">
        <x:v>Ja</x:v>
      </x:c>
      <x:c r="M40" s="61" t="str">
        <x:v>Ja</x:v>
      </x:c>
      <x:c r="N40" s="61" t="str">
        <x:v>teilweise/projektbezogen</x:v>
      </x:c>
      <x:c r="O40" s="61" t="str">
        <x:v>Kostenträgerbezug naheliegend; im Einzelfall prüfen</x:v>
      </x:c>
      <x:c r="P40" s="61" t="str">
        <x:v>A+ für motorische Einschränkungen und komplexe alternative Ansteuerung; mit Meier &amp; Schütte verknüpfen.</x:v>
      </x:c>
      <x:c r="Q40" s="61" t="str">
        <x:v>https://humanelektronik.de/</x:v>
      </x:c>
      <x:c r="R40" s="61" t="str">
        <x:v>Aufnehmen</x:v>
      </x:c>
      <x:c r="S40" s="61" t="str">
        <x:v>2026-08-30</x:v>
      </x:c>
    </x:row>
    <x:row r="41" ht="58" customHeight="1">
      <x:c r="A41" s="61" t="str">
        <x:v>T-036</x:v>
      </x:c>
      <x:c r="B41" s="61" t="str">
        <x:v>Meier &amp; Schütte GmbH &amp; Co. KG</x:v>
      </x:c>
      <x:c r="C41" s="61" t="str">
        <x:v>Worms (RP)</x:v>
      </x:c>
      <x:c r="D41" s="61" t="str">
        <x:v>Technischer Umsetzer / Arbeitsplatztechnologie</x:v>
      </x:c>
      <x:c r="E41" s="61" t="str">
        <x:v>A+</x:v>
      </x:c>
      <x:c r="F41" s="61" t="str">
        <x:v>Metall; Automotive; Maschinenbau; Holz; Büro/IT; Montage/Produktion</x:v>
      </x:c>
      <x:c r="G41" s="61" t="str">
        <x:v>Arm/Hand; Greifdefizit; reduzierte Kraft; motorische Einschränkung</x:v>
      </x:c>
      <x:c r="H41" s="61" t="str">
        <x:v>Eingabe/Bedienung; Arbeitsplatztechnologie; individuelle Sonderlösung</x:v>
      </x:c>
      <x:c r="I41" s="61" t="str">
        <x:v>Behindertengerechter Arbeitsplatz; Einhand-/Sondertastatur; alternative Maus; Spracherkennung; Sonderlösung</x:v>
      </x:c>
      <x:c r="J41" s="61" t="str">
        <x:v>Ja</x:v>
      </x:c>
      <x:c r="K41" s="61" t="str">
        <x:v>Ja</x:v>
      </x:c>
      <x:c r="L41" s="61" t="str">
        <x:v>Ja</x:v>
      </x:c>
      <x:c r="M41" s="61" t="str">
        <x:v>Ja</x:v>
      </x:c>
      <x:c r="N41" s="61" t="str">
        <x:v>teilweise/projektbezogen</x:v>
      </x:c>
      <x:c r="O41" s="61" t="str">
        <x:v>Kostenträgerbezug naheliegend; im Einzelfall prüfen</x:v>
      </x:c>
      <x:c r="P41" s="61" t="str">
        <x:v>Sehr hoher Reha-Nutzen; Arbeitsplatztechnologie und individuelle Anpassung im Vordergrund.</x:v>
      </x:c>
      <x:c r="Q41" s="61" t="str">
        <x:v>https://www.meier-schuette.de/</x:v>
      </x:c>
      <x:c r="R41" s="61" t="str">
        <x:v>Aufnehmen</x:v>
      </x:c>
      <x:c r="S41" s="61" t="str">
        <x:v>2026-08-30</x:v>
      </x:c>
    </x:row>
    <x:row r="42" ht="58" customHeight="1">
      <x:c r="A42" s="61" t="str">
        <x:v>T-037</x:v>
      </x:c>
      <x:c r="B42" s="61" t="str">
        <x:v>Reinecker Vision GmbH</x:v>
      </x:c>
      <x:c r="C42" s="61" t="str">
        <x:v>Alsbach-Hähnlein (HE)</x:v>
      </x:c>
      <x:c r="D42" s="61" t="str">
        <x:v>Technischer Umsetzer / Sehen &amp; Blindheit</x:v>
      </x:c>
      <x:c r="E42" s="61" t="str">
        <x:v>A+</x:v>
      </x:c>
      <x:c r="F42" s="61" t="str">
        <x:v>alle Branchen mit Bildschirm-/Informationsarbeit</x:v>
      </x:c>
      <x:c r="G42" s="61" t="str">
        <x:v>Sehen/Blindheit</x:v>
      </x:c>
      <x:c r="H42" s="61" t="str">
        <x:v>Bildschirminformation nicht lesbar; visuelle Arbeitsinformationen; IT-Arbeitsplatz</x:v>
      </x:c>
      <x:c r="I42" s="61" t="str">
        <x:v>Bildschirmlesesystem; Vergrößerung; Vorlesetechnik; Braille; Screenreader; Beleuchtung</x:v>
      </x:c>
      <x:c r="J42" s="61" t="str">
        <x:v>Ja</x:v>
      </x:c>
      <x:c r="K42" s="61" t="str">
        <x:v>teilweise</x:v>
      </x:c>
      <x:c r="L42" s="61" t="str">
        <x:v>Ja</x:v>
      </x:c>
      <x:c r="M42" s="61" t="str">
        <x:v>Ja</x:v>
      </x:c>
      <x:c r="N42" s="61" t="str">
        <x:v>nein</x:v>
      </x:c>
      <x:c r="O42" s="61" t="str">
        <x:v>Kostenträger-/Beratungsbezug belegt</x:v>
      </x:c>
      <x:c r="P42" s="61" t="str">
        <x:v>Fachberater für Schule und Beruf; Beratung idealerweise direkt am Arbeitsplatz.</x:v>
      </x:c>
      <x:c r="Q42" s="61" t="str">
        <x:v>https://www.reineckervision.de/de/versorgung/versorgung-in-schule-und-beruf/</x:v>
      </x:c>
      <x:c r="R42" s="61" t="str">
        <x:v>Aufnehmen</x:v>
      </x:c>
      <x:c r="S42" s="61" t="str">
        <x:v>2026-08-30</x:v>
      </x:c>
    </x:row>
    <x:row r="43" ht="58" customHeight="1">
      <x:c r="A43" s="61" t="str">
        <x:v>T-038</x:v>
      </x:c>
      <x:c r="B43" s="61" t="str">
        <x:v>HUMANTECHNIK GmbH</x:v>
      </x:c>
      <x:c r="C43" s="61" t="str">
        <x:v>Weil am Rhein (BW)</x:v>
      </x:c>
      <x:c r="D43" s="61" t="str">
        <x:v>Technischer Umsetzer / Hören &amp; Kommunikation</x:v>
      </x:c>
      <x:c r="E43" s="61" t="str">
        <x:v>A</x:v>
      </x:c>
      <x:c r="F43" s="61" t="str">
        <x:v>alle Branchen</x:v>
      </x:c>
      <x:c r="G43" s="61" t="str">
        <x:v>Hören/Kommunikation</x:v>
      </x:c>
      <x:c r="H43" s="61" t="str">
        <x:v>Akustische Warnung/Kommunikation nicht ausreichend wahrnehmbar</x:v>
      </x:c>
      <x:c r="I43" s="61" t="str">
        <x:v>Lichtsignal; Vibrationssignal; Telefon-/Audioübertragung; Hörassistenz</x:v>
      </x:c>
      <x:c r="J43" s="61" t="str">
        <x:v>Ja</x:v>
      </x:c>
      <x:c r="K43" s="61" t="str">
        <x:v>teilweise</x:v>
      </x:c>
      <x:c r="L43" s="61" t="str">
        <x:v>Ja</x:v>
      </x:c>
      <x:c r="M43" s="61" t="str">
        <x:v>teilweise</x:v>
      </x:c>
      <x:c r="N43" s="61" t="str">
        <x:v>nein</x:v>
      </x:c>
      <x:c r="O43" s="61" t="str">
        <x:v>nicht spezifisch belegt</x:v>
      </x:c>
      <x:c r="P43" s="61" t="str">
        <x:v>Mit IFD/Hörfachberatung verknüpfen; sinnvoll für Zwei-Sinne-Prinzip und Kommunikationshilfen.</x:v>
      </x:c>
      <x:c r="Q43" s="61" t="str">
        <x:v>https://www.humantechnik.com/</x:v>
      </x:c>
      <x:c r="R43" s="61" t="str">
        <x:v>Aufnehmen</x:v>
      </x:c>
      <x:c r="S43" s="61" t="str">
        <x:v>2026-08-30</x:v>
      </x:c>
    </x:row>
    <x:row r="44" ht="58" customHeight="1">
      <x:c r="A44" s="61" t="str">
        <x:v>T-039</x:v>
      </x:c>
      <x:c r="B44" s="61" t="str">
        <x:v>F.H. Papenmeier GmbH &amp; Co. KG</x:v>
      </x:c>
      <x:c r="C44" s="61" t="str">
        <x:v>Schwerte (NW) / überregional</x:v>
      </x:c>
      <x:c r="D44" s="61" t="str">
        <x:v>Technischer Umsetzer / Sehen &amp; Blindheit</x:v>
      </x:c>
      <x:c r="E44" s="61" t="str">
        <x:v>A</x:v>
      </x:c>
      <x:c r="F44" s="61" t="str">
        <x:v>alle Branchen mit IT-/Informationsarbeit</x:v>
      </x:c>
      <x:c r="G44" s="61" t="str">
        <x:v>Sehen/Blindheit</x:v>
      </x:c>
      <x:c r="H44" s="61" t="str">
        <x:v>IT-/Informationszugang; visuelle Arbeitsinformationen</x:v>
      </x:c>
      <x:c r="I44" s="61" t="str">
        <x:v>Braille; Screenreader; Arbeitsplatzanalyse; Softwareanpassung; Schulung</x:v>
      </x:c>
      <x:c r="J44" s="61" t="str">
        <x:v>Ja</x:v>
      </x:c>
      <x:c r="K44" s="61" t="str">
        <x:v>Ja</x:v>
      </x:c>
      <x:c r="L44" s="61" t="str">
        <x:v>Ja</x:v>
      </x:c>
      <x:c r="M44" s="61" t="str">
        <x:v>Ja</x:v>
      </x:c>
      <x:c r="N44" s="61" t="str">
        <x:v>nein</x:v>
      </x:c>
      <x:c r="O44" s="61" t="str">
        <x:v>Kostenträgerabstimmung Bestandteil</x:v>
      </x:c>
      <x:c r="P44" s="61" t="str">
        <x:v>Überregionaler Spezialanbieter; bei komplexen Blindenarbeitsplätzen relevant.</x:v>
      </x:c>
      <x:c r="Q44" s="61" t="str">
        <x:v>https://www.papenmeier-rehatechnik.de/</x:v>
      </x:c>
      <x:c r="R44" s="61" t="str">
        <x:v>Aufnehmen</x:v>
      </x:c>
      <x:c r="S44" s="61" t="str">
        <x:v>2026-08-30</x:v>
      </x:c>
    </x:row>
    <x:row r="45" ht="58" customHeight="1">
      <x:c r="A45" s="61" t="str">
        <x:v>T-040</x:v>
      </x:c>
      <x:c r="B45" s="61" t="str">
        <x:v>Or BIT EDV – Technik für Menschen</x:v>
      </x:c>
      <x:c r="C45" s="61" t="str">
        <x:v>Weyhe (NI) / überregional</x:v>
      </x:c>
      <x:c r="D45" s="61" t="str">
        <x:v>Technischer Arbeitsplatzberater &amp; Umsetzer</x:v>
      </x:c>
      <x:c r="E45" s="61" t="str">
        <x:v>A+</x:v>
      </x:c>
      <x:c r="F45" s="61" t="str">
        <x:v>alle Branchen mit IT-/Bedienarbeitsplätzen</x:v>
      </x:c>
      <x:c r="G45" s="61" t="str">
        <x:v>Arm/Hand; Sehen/Blindheit; Hören; reduzierte Kraft; motorische Einschränkung</x:v>
      </x:c>
      <x:c r="H45" s="61" t="str">
        <x:v>Alternative Eingabe; IT-Arbeitsplatz; individuelle technische Einschränkung</x:v>
      </x:c>
      <x:c r="I45" s="61" t="str">
        <x:v>Arbeitsplatzanalyse; Hilfsmittelerprobung; alternative Eingabe; Blindentechnik; Ergonomie; Sonderlösung</x:v>
      </x:c>
      <x:c r="J45" s="61" t="str">
        <x:v>Ja</x:v>
      </x:c>
      <x:c r="K45" s="61" t="str">
        <x:v>Ja</x:v>
      </x:c>
      <x:c r="L45" s="61" t="str">
        <x:v>Ja</x:v>
      </x:c>
      <x:c r="M45" s="61" t="str">
        <x:v>Ja</x:v>
      </x:c>
      <x:c r="N45" s="61" t="str">
        <x:v>teilweise/projektbezogen</x:v>
      </x:c>
      <x:c r="O45" s="61" t="str">
        <x:v>BG/UV/DRV/Integrationsamt ausdrücklich relevant</x:v>
      </x:c>
      <x:c r="P45" s="61" t="str">
        <x:v>Sehr starker überregionaler Reha-Spezialist; Herstellerunabhängigkeit und Kostenträgererfahrung.</x:v>
      </x:c>
      <x:c r="Q45" s="61" t="str">
        <x:v>https://www.orbit-edv.de/</x:v>
      </x:c>
      <x:c r="R45" s="61" t="str">
        <x:v>Aufnehmen</x:v>
      </x:c>
      <x:c r="S45" s="61" t="str">
        <x:v>2026-08-30</x:v>
      </x:c>
    </x:row>
    <x:row r="46" ht="58" customHeight="1">
      <x:c r="A46" s="61" t="str">
        <x:v>T-041</x:v>
      </x:c>
      <x:c r="B46" s="61" t="str">
        <x:v>Berufsförderungswerk Würzburg</x:v>
      </x:c>
      <x:c r="C46" s="61" t="str">
        <x:v>Veitshöchheim (BY)</x:v>
      </x:c>
      <x:c r="D46" s="61" t="str">
        <x:v>Technischer Arbeitsplatzberater / RehaAssessment</x:v>
      </x:c>
      <x:c r="E46" s="61" t="str">
        <x:v>A+</x:v>
      </x:c>
      <x:c r="F46" s="61" t="str">
        <x:v>Metall; Automotive; Maschinenbau; Holz; Montage/Produktion; Büro</x:v>
      </x:c>
      <x:c r="G46" s="61" t="str">
        <x:v>alle – funktionsbezogene Arbeitsplatzanalyse</x:v>
      </x:c>
      <x:c r="H46" s="61" t="str">
        <x:v>Unklarer Hilfsmittelbedarf; unklare Belastbarkeit; Arbeitsplatzpassung</x:v>
      </x:c>
      <x:c r="I46" s="61" t="str">
        <x:v>Arbeitsplatzanalyse; RehaAssessment; Hilfsmittelbedarf; Belastungserprobung; Arbeitgeberberatung</x:v>
      </x:c>
      <x:c r="J46" s="61" t="str">
        <x:v>Ja</x:v>
      </x:c>
      <x:c r="K46" s="61" t="str">
        <x:v>nein</x:v>
      </x:c>
      <x:c r="L46" s="61" t="str">
        <x:v>nein</x:v>
      </x:c>
      <x:c r="M46" s="61" t="str">
        <x:v>nein</x:v>
      </x:c>
      <x:c r="N46" s="61" t="str">
        <x:v>nein</x:v>
      </x:c>
      <x:c r="O46" s="61" t="str">
        <x:v>Reha-/Kostenträgerbezug eindeutig</x:v>
      </x:c>
      <x:c r="P46" s="61" t="str">
        <x:v>Ideal vorgelagert: Was muss an diesem Arbeitsplatz technisch verändert werden?</x:v>
      </x:c>
      <x:c r="Q46" s="61" t="str">
        <x:v>https://www.bfw-wuerzburg.de/</x:v>
      </x:c>
      <x:c r="R46" s="61" t="str">
        <x:v>Aufnehmen</x:v>
      </x:c>
      <x:c r="S46" s="61" t="str">
        <x:v>2026-08-30</x:v>
      </x:c>
    </x:row>
    <x:row r="47" ht="58" customHeight="1">
      <x:c r="A47" s="61" t="str">
        <x:v>T-042</x:v>
      </x:c>
      <x:c r="B47" s="61" t="str">
        <x:v>KVJS – Technischer Beratungsdienst Integrationsamt</x:v>
      </x:c>
      <x:c r="C47" s="61" t="str">
        <x:v>Karlsruhe / Stuttgart / Freiburg (BW)</x:v>
      </x:c>
      <x:c r="D47" s="61" t="str">
        <x:v>Öffentlicher Technischer Fachdienst</x:v>
      </x:c>
      <x:c r="E47" s="61" t="str">
        <x:v>A+</x:v>
      </x:c>
      <x:c r="F47" s="61" t="str">
        <x:v>alle Branchen</x:v>
      </x:c>
      <x:c r="G47" s="61" t="str">
        <x:v>alle – behinderungsbezogene Arbeitsplatzgestaltung</x:v>
      </x:c>
      <x:c r="H47" s="61" t="str">
        <x:v>Arbeitsplatzgestaltung; technische Arbeitshilfe; Förder-/Umsetzungsklärung</x:v>
      </x:c>
      <x:c r="I47" s="61" t="str">
        <x:v>Technische Beratung; Arbeitsplatzanalyse; Arbeitshilfe; Fahrzeug-/Wohnraumbezug; Förderberatung</x:v>
      </x:c>
      <x:c r="J47" s="61" t="str">
        <x:v>Ja</x:v>
      </x:c>
      <x:c r="K47" s="61" t="str">
        <x:v>teilweise</x:v>
      </x:c>
      <x:c r="L47" s="61" t="str">
        <x:v>nein</x:v>
      </x:c>
      <x:c r="M47" s="61" t="str">
        <x:v>nein</x:v>
      </x:c>
      <x:c r="N47" s="61" t="str">
        <x:v>teilweise</x:v>
      </x:c>
      <x:c r="O47" s="61" t="str">
        <x:v>öffentlicher Kostenträger-/Integrationsbezug</x:v>
      </x:c>
      <x:c r="P47" s="61" t="str">
        <x:v>Als Beratungs-/Fachdienst führen, nicht als ausführenden Anbieter.</x:v>
      </x:c>
      <x:c r="Q47" s="61" t="str">
        <x:v>https://www.kvjs.de/behinderung-und-beruf/technischer-beratungsdienst</x:v>
      </x:c>
      <x:c r="R47" s="61" t="str">
        <x:v>Aufnehmen</x:v>
      </x:c>
      <x:c r="S47" s="61" t="str">
        <x:v>2026-08-30</x:v>
      </x:c>
    </x:row>
    <x:row r="48" ht="58" customHeight="1">
      <x:c r="A48" s="61" t="str">
        <x:v>T-043</x:v>
      </x:c>
      <x:c r="B48" s="61" t="str">
        <x:v>LSJV Rheinland-Pfalz – Technischer Beratungsdienst Integrationsamt</x:v>
      </x:c>
      <x:c r="C48" s="61" t="str">
        <x:v>Mainz / Rheinland-Pfalz</x:v>
      </x:c>
      <x:c r="D48" s="61" t="str">
        <x:v>Öffentlicher Technischer Fachdienst</x:v>
      </x:c>
      <x:c r="E48" s="61" t="str">
        <x:v>A+</x:v>
      </x:c>
      <x:c r="F48" s="61" t="str">
        <x:v>alle Branchen</x:v>
      </x:c>
      <x:c r="G48" s="61" t="str">
        <x:v>alle – behinderungsbezogene Arbeitsplatzgestaltung</x:v>
      </x:c>
      <x:c r="H48" s="61" t="str">
        <x:v>Arbeitsplatzgestaltung; technische Arbeitshilfe; Förder-/Umsetzungsklärung</x:v>
      </x:c>
      <x:c r="I48" s="61" t="str">
        <x:v>Technische Beratung; Arbeitsplatzanalyse; technische Arbeitshilfe; Förderberatung</x:v>
      </x:c>
      <x:c r="J48" s="61" t="str">
        <x:v>Ja</x:v>
      </x:c>
      <x:c r="K48" s="61" t="str">
        <x:v>teilweise</x:v>
      </x:c>
      <x:c r="L48" s="61" t="str">
        <x:v>nein</x:v>
      </x:c>
      <x:c r="M48" s="61" t="str">
        <x:v>nein</x:v>
      </x:c>
      <x:c r="N48" s="61" t="str">
        <x:v>teilweise</x:v>
      </x:c>
      <x:c r="O48" s="61" t="str">
        <x:v>öffentlicher Kostenträger-/Integrationsbezug</x:v>
      </x:c>
      <x:c r="P48" s="61" t="str">
        <x:v>Als Beratungs-/Fachdienst führen, nicht als ausführenden Anbieter.</x:v>
      </x:c>
      <x:c r="Q48" s="61" t="str">
        <x:v>https://lsjv.rlp.de/themen/inklusion/inklusion-und-beruf/begleitende-hilfen-im-arbeitsleben</x:v>
      </x:c>
      <x:c r="R48" s="61" t="str">
        <x:v>Aufnehmen</x:v>
      </x:c>
      <x:c r="S48" s="61" t="str">
        <x:v>2026-08-30</x:v>
      </x:c>
    </x:row>
    <x:row r="49" ht="58" customHeight="1">
      <x:c r="A49" s="61" t="str">
        <x:v>T-044</x:v>
      </x:c>
      <x:c r="B49" s="61" t="str">
        <x:v>Bundesagentur für Arbeit – Technischer Beratungsdienst</x:v>
      </x:c>
      <x:c r="C49" s="61" t="str">
        <x:v>bundesweit</x:v>
      </x:c>
      <x:c r="D49" s="61" t="str">
        <x:v>Öffentlicher Technischer Fachdienst</x:v>
      </x:c>
      <x:c r="E49" s="61" t="str">
        <x:v>A+</x:v>
      </x:c>
      <x:c r="F49" s="61" t="str">
        <x:v>alle Branchen</x:v>
      </x:c>
      <x:c r="G49" s="61" t="str">
        <x:v>alle – arbeitsplatzbezogene technische Einschränkungen</x:v>
      </x:c>
      <x:c r="H49" s="61" t="str">
        <x:v>Arbeitsplatzanalyse; technische Arbeitshilfe; bauliche/ergonomische Anpassung</x:v>
      </x:c>
      <x:c r="I49" s="61" t="str">
        <x:v>Technisches Gutachten; Arbeitsplatzanalyse; Hilfsmittel-/Fahrzeug-/Umbauempfehlung</x:v>
      </x:c>
      <x:c r="J49" s="61" t="str">
        <x:v>Ja</x:v>
      </x:c>
      <x:c r="K49" s="61" t="str">
        <x:v>teilweise</x:v>
      </x:c>
      <x:c r="L49" s="61" t="str">
        <x:v>nein</x:v>
      </x:c>
      <x:c r="M49" s="61" t="str">
        <x:v>nein</x:v>
      </x:c>
      <x:c r="N49" s="61" t="str">
        <x:v>teilweise</x:v>
      </x:c>
      <x:c r="O49" s="61" t="str">
        <x:v>öffentlicher Kostenträgerbezug</x:v>
      </x:c>
      <x:c r="P49" s="61" t="str">
        <x:v>Als funktionalen Beratungsweg hinterlegen; nicht als einzelner Kartenpunkt.</x:v>
      </x:c>
      <x:c r="Q49" s="61" t="str">
        <x:v>https://www.arbeitsagentur.de/ueber-uns/technischer-beratungsdienst</x:v>
      </x:c>
      <x:c r="R49" s="61" t="str">
        <x:v>Aufnehmen</x:v>
      </x:c>
      <x:c r="S49" s="61" t="str">
        <x:v>2026-08-30</x:v>
      </x:c>
    </x:row>
    <x:row r="50" ht="58" customHeight="1">
      <x:c r="A50" s="61" t="str">
        <x:v>T-045</x:v>
      </x:c>
      <x:c r="B50" s="61" t="str">
        <x:v>Fachdienste für Hörgeschädigte Rheinland-Pfalz</x:v>
      </x:c>
      <x:c r="C50" s="61" t="str">
        <x:v>Frankenthal / Rheinland-Pfalz</x:v>
      </x:c>
      <x:c r="D50" s="61" t="str">
        <x:v>Spezialisierter Integrationsfachdienst</x:v>
      </x:c>
      <x:c r="E50" s="61" t="str">
        <x:v>A</x:v>
      </x:c>
      <x:c r="F50" s="61" t="str">
        <x:v>alle Branchen</x:v>
      </x:c>
      <x:c r="G50" s="61" t="str">
        <x:v>Hören/Kommunikation</x:v>
      </x:c>
      <x:c r="H50" s="61" t="str">
        <x:v>Kommunikation am Arbeitsplatz; Warn-/Signalwahrnehmung; Arbeitsplatzsicherung</x:v>
      </x:c>
      <x:c r="I50" s="61" t="str">
        <x:v>Arbeitsplatzberatung; technische Hör-/Kommunikationshilfe; Arbeitsassistenz; Förderberatung</x:v>
      </x:c>
      <x:c r="J50" s="61" t="str">
        <x:v>Ja</x:v>
      </x:c>
      <x:c r="K50" s="61" t="str">
        <x:v>nein</x:v>
      </x:c>
      <x:c r="L50" s="61" t="str">
        <x:v>nein</x:v>
      </x:c>
      <x:c r="M50" s="61" t="str">
        <x:v>nein</x:v>
      </x:c>
      <x:c r="N50" s="61" t="str">
        <x:v>nein</x:v>
      </x:c>
      <x:c r="O50" s="61" t="str">
        <x:v>Integrationsamt-/Kostenträgerbezug</x:v>
      </x:c>
      <x:c r="P50" s="61" t="str">
        <x:v>Mit Humantechnik/WERMA und technischen Umsetzern verknüpfen.</x:v>
      </x:c>
      <x:c r="Q50" s="61" t="str">
        <x:v>https://www.fd-gehoerlose-rlp.de/</x:v>
      </x:c>
      <x:c r="R50" s="61" t="str">
        <x:v>Aufnehmen</x:v>
      </x:c>
      <x:c r="S50" s="61" t="str">
        <x:v>2026-08-30</x:v>
      </x:c>
    </x:row>
  </x:sheetData>
  <x:mergeCells>
    <x:mergeCell ref="A1:S1"/>
    <x:mergeCell ref="A3:S3"/>
  </x:mergeCells>
  <x:conditionalFormatting sqref="E6:E50">
    <x:cfRule type="expression" dxfId="0" priority="1">
      <x:formula>E6="A+"</x:formula>
    </x:cfRule>
  </x:conditionalFormatting>
  <x:conditionalFormatting sqref="R6:R50">
    <x:cfRule type="expression" dxfId="1" priority="2">
      <x:formula>R6="Prüfen"</x:formula>
    </x:cfRule>
  </x:conditionalFormatting>
  <x:dataValidations count="2">
    <x:dataValidation type="list" sqref="E6:E50">
      <x:formula1>"A+,A,A/B,B"</x:formula1>
    </x:dataValidation>
    <x:dataValidation type="list" sqref="R6:R50">
      <x:formula1>"Aufnehmen,Prüfen,Zurückstellen,Historisch"</x:formula1>
    </x:dataValidation>
  </x:dataValidations>
  <x:pageMargins left="0.7" right="0.7" top="0.75" bottom="0.75" header="0.3" footer="0.3"/>
  <x:tableParts count="1">
    <x:tablePart xmlns:r="http://schemas.openxmlformats.org/officeDocument/2006/relationships" r:id="R0f4fbe34a4f54232"/>
  </x:tableParts>
</x:worksheet>
</file>

<file path=xl/worksheets/sheet11.xml><?xml version="1.0" encoding="utf-8"?>
<x:worksheet xmlns:x="http://schemas.openxmlformats.org/spreadsheetml/2006/main">
  <x:sheetFormatPr defaultRowHeight="15"/>
  <x:cols>
    <x:col min="1" max="1" width="22" hidden="0" customWidth="1"/>
    <x:col min="2" max="2" width="24" hidden="0" customWidth="1"/>
    <x:col min="3" max="3" width="28" hidden="0" customWidth="1"/>
    <x:col min="4" max="4" width="34" hidden="0" customWidth="1"/>
    <x:col min="5" max="5" width="36" hidden="0" customWidth="1"/>
    <x:col min="6" max="6" width="40" hidden="0" customWidth="1"/>
    <x:col min="7" max="7" width="40" hidden="0" customWidth="1"/>
  </x:cols>
  <x:sheetData>
    <x:row r="1">
      <x:c r="A1" s="52" t="str">
        <x:v>Technik-Fallmatrix – typische BG-Fälle und passende technische Lösungswege</x:v>
      </x:c>
      <x:c r="B1" s="52"/>
      <x:c r="C1" s="52"/>
      <x:c r="D1" s="52"/>
      <x:c r="E1" s="52"/>
      <x:c r="F1" s="52"/>
      <x:c r="G1" s="52"/>
    </x:row>
    <x:row r="3" ht="34" customHeight="1">
      <x:c r="A3" s="59" t="str">
        <x:v>Branche</x:v>
      </x:c>
      <x:c r="B3" s="59" t="str">
        <x:v>Funktionelle Einschränkung</x:v>
      </x:c>
      <x:c r="C3" s="59" t="str">
        <x:v>Tätigkeit</x:v>
      </x:c>
      <x:c r="D3" s="59" t="str">
        <x:v>Konkretes Problem</x:v>
      </x:c>
      <x:c r="E3" s="59" t="str">
        <x:v>Lösungstyp</x:v>
      </x:c>
      <x:c r="F3" s="59" t="str">
        <x:v>Geeignete Anbieter / Fachdienste</x:v>
      </x:c>
      <x:c r="G3" s="59" t="str">
        <x:v>Steuerungshinweis</x:v>
      </x:c>
    </x:row>
    <x:row r="4" ht="46" customHeight="1">
      <x:c r="A4" s="30" t="str">
        <x:v>Metall / Automotive</x:v>
      </x:c>
      <x:c r="B4" s="30" t="str">
        <x:v>Arm/Hand</x:v>
      </x:c>
      <x:c r="C4" s="30" t="str">
        <x:v>Schraubmontage</x:v>
      </x:c>
      <x:c r="D4" s="30" t="str">
        <x:v>Hohes Drehmoment; schweres Werkzeug</x:v>
      </x:c>
      <x:c r="E4" s="30" t="str">
        <x:v>Drehmomentarm; Werkzeugbalancer; alternative Bedienung</x:v>
      </x:c>
      <x:c r="F4" s="30" t="str">
        <x:v>German Tools; Atlas Copco; Carl Stahl/Kromer; Schmersal</x:v>
      </x:c>
      <x:c r="G4" s="30" t="str">
        <x:v>Technischen Berater bei komplexem Fall vorschalten</x:v>
      </x:c>
    </x:row>
    <x:row r="5" ht="46" customHeight="1">
      <x:c r="A5" s="30" t="str">
        <x:v>Automotive / Montage</x:v>
      </x:c>
      <x:c r="B5" s="30" t="str">
        <x:v>Schulter / Rücken</x:v>
      </x:c>
      <x:c r="C5" s="30" t="str">
        <x:v>Schwere Bauteile montieren</x:v>
      </x:c>
      <x:c r="D5" s="30" t="str">
        <x:v>Heben; Positionieren; Halten</x:v>
      </x:c>
      <x:c r="E5" s="30" t="str">
        <x:v>Manipulator; Balancer; Greifer</x:v>
      </x:c>
      <x:c r="F5" s="30" t="str">
        <x:v>INDEVA; ZASCHE; sachs products; EXPRESSO; PRONOMIC</x:v>
      </x:c>
      <x:c r="G5" s="30" t="str">
        <x:v>Vor-Ort-Hantierungsanalyse bevorzugen</x:v>
      </x:c>
    </x:row>
    <x:row r="6" ht="46" customHeight="1">
      <x:c r="A6" s="30" t="str">
        <x:v>Maschinenbau / Metall</x:v>
      </x:c>
      <x:c r="B6" s="30" t="str">
        <x:v>Arm/Hand</x:v>
      </x:c>
      <x:c r="C6" s="30" t="str">
        <x:v>Maschine bedienen</x:v>
      </x:c>
      <x:c r="D6" s="30" t="str">
        <x:v>Bedienelemente nicht sicher erreichbar/bedienbar</x:v>
      </x:c>
      <x:c r="E6" s="30" t="str">
        <x:v>Alternative Betätigung; Bedienpult; Retrofit</x:v>
      </x:c>
      <x:c r="F6" s="30" t="str">
        <x:v>Schmersal; SPS Automation; HDC Retrofit; NEFF-Pressen</x:v>
      </x:c>
      <x:c r="G6" s="30" t="str">
        <x:v>Safety/CE nach Umbau mitprüfen</x:v>
      </x:c>
    </x:row>
    <x:row r="7" ht="46" customHeight="1">
      <x:c r="A7" s="30" t="str">
        <x:v>Holz / Schreinerei</x:v>
      </x:c>
      <x:c r="B7" s="30" t="str">
        <x:v>Rücken / Schulter</x:v>
      </x:c>
      <x:c r="C7" s="30" t="str">
        <x:v>Platten an CNC/Säge</x:v>
      </x:c>
      <x:c r="D7" s="30" t="str">
        <x:v>Heben; Tragen; Wenden</x:v>
      </x:c>
      <x:c r="E7" s="30" t="str">
        <x:v>Vakuumheber; Kran; Plattenhandling</x:v>
      </x:c>
      <x:c r="F7" s="30" t="str">
        <x:v>Schmalz; AERO-LIFT; Fezer; Rauscher &amp; Reyhing</x:v>
      </x:c>
      <x:c r="G7" s="30" t="str">
        <x:v>Branchenspezifische Vor-Ort-Beratung</x:v>
      </x:c>
    </x:row>
    <x:row r="8" ht="46" customHeight="1">
      <x:c r="A8" s="30" t="str">
        <x:v>Holz / Möbelbau</x:v>
      </x:c>
      <x:c r="B8" s="30" t="str">
        <x:v>Rücken / Schulter</x:v>
      </x:c>
      <x:c r="C8" s="30" t="str">
        <x:v>Korpus-/Rahmenmontage</x:v>
      </x:c>
      <x:c r="D8" s="30" t="str">
        <x:v>Wenden; Arbeitshöhe; schweres Werkstück</x:v>
      </x:c>
      <x:c r="E8" s="30" t="str">
        <x:v>Hub-/Kipp-/Wendetisch</x:v>
      </x:c>
      <x:c r="F8" s="30" t="str">
        <x:v>Beck; BARTH; MiniTec</x:v>
      </x:c>
      <x:c r="G8" s="30" t="str">
        <x:v>Arbeitsplatzhöhe individuell anpassen</x:v>
      </x:c>
    </x:row>
    <x:row r="9" ht="46" customHeight="1">
      <x:c r="A9" s="30" t="str">
        <x:v>Produktion / Montage</x:v>
      </x:c>
      <x:c r="B9" s="30" t="str">
        <x:v>Bein/Knie/Stehen</x:v>
      </x:c>
      <x:c r="C9" s="30" t="str">
        <x:v>Langes Stehen</x:v>
      </x:c>
      <x:c r="D9" s="30" t="str">
        <x:v>Stehbelastung; wechselnde Arbeitshöhe</x:v>
      </x:c>
      <x:c r="E9" s="30" t="str">
        <x:v>Industriesitz; Stehhilfe; höhenverstellbarer Tisch</x:v>
      </x:c>
      <x:c r="F9" s="30" t="str">
        <x:v>Bimos; Ruck; MiniTec; BeeWaTec</x:v>
      </x:c>
      <x:c r="G9" s="30" t="str">
        <x:v>Wechsel Sitzen/Stehen ermöglichen</x:v>
      </x:c>
    </x:row>
    <x:row r="10" ht="46" customHeight="1">
      <x:c r="A10" s="30" t="str">
        <x:v>Logistik / Fertigung</x:v>
      </x:c>
      <x:c r="B10" s="30" t="str">
        <x:v>Arm/Schulter/Rücken</x:v>
      </x:c>
      <x:c r="C10" s="30" t="str">
        <x:v>Wagen/Material bewegen</x:v>
      </x:c>
      <x:c r="D10" s="30" t="str">
        <x:v>Schieben/Ziehen</x:v>
      </x:c>
      <x:c r="E10" s="30" t="str">
        <x:v>Elektrische Transporthilfe</x:v>
      </x:c>
      <x:c r="F10" s="30" t="str">
        <x:v>Blickle ErgoMove</x:v>
      </x:c>
      <x:c r="G10" s="30" t="str">
        <x:v>Bestehende Wagen ggf. nachrüsten</x:v>
      </x:c>
    </x:row>
    <x:row r="11" ht="46" customHeight="1">
      <x:c r="A11" s="30" t="str">
        <x:v>Metall / Rüsten</x:v>
      </x:c>
      <x:c r="B11" s="30" t="str">
        <x:v>Hand/Schulter</x:v>
      </x:c>
      <x:c r="C11" s="30" t="str">
        <x:v>Spannturm / Rüstplatz</x:v>
      </x:c>
      <x:c r="D11" s="30" t="str">
        <x:v>Kurbeln; Drehmoment; Zwangshaltung</x:v>
      </x:c>
      <x:c r="E11" s="30" t="str">
        <x:v>Spann-/Bedienhilfe</x:v>
      </x:c>
      <x:c r="F11" s="30" t="str">
        <x:v>ALLMATIC WorkBuddy</x:v>
      </x:c>
      <x:c r="G11" s="30" t="str">
        <x:v>Montage an Maschine/Rüstplatz individuell planen</x:v>
      </x:c>
    </x:row>
    <x:row r="12" ht="46" customHeight="1">
      <x:c r="A12" s="30" t="str">
        <x:v>Montage / Überkopf</x:v>
      </x:c>
      <x:c r="B12" s="30" t="str">
        <x:v>Schulter / Rücken</x:v>
      </x:c>
      <x:c r="C12" s="30" t="str">
        <x:v>Überkopfarbeit</x:v>
      </x:c>
      <x:c r="D12" s="30" t="str">
        <x:v>Dauerhafte Arm-/Rückenbelastung</x:v>
      </x:c>
      <x:c r="E12" s="30" t="str">
        <x:v>Exoskelett; Arbeitsplatzniveau ändern</x:v>
      </x:c>
      <x:c r="F12" s="30" t="str">
        <x:v>HUNIC; hTRIUS; alternativ Arbeitsplatzumbau</x:v>
      </x:c>
      <x:c r="G12" s="30" t="str">
        <x:v>Exoskelett nur nach individueller Eignungsprüfung</x:v>
      </x:c>
    </x:row>
    <x:row r="13" ht="46" customHeight="1">
      <x:c r="A13" s="30" t="str">
        <x:v>Produktion / Maschine</x:v>
      </x:c>
      <x:c r="B13" s="30" t="str">
        <x:v>Hören</x:v>
      </x:c>
      <x:c r="C13" s="30" t="str">
        <x:v>Warnsignale / Kommunikation</x:v>
      </x:c>
      <x:c r="D13" s="30" t="str">
        <x:v>Akustische Signale nicht sicher wahrnehmbar</x:v>
      </x:c>
      <x:c r="E13" s="30" t="str">
        <x:v>Optisch-akustische / haptische Signalisierung</x:v>
      </x:c>
      <x:c r="F13" s="30" t="str">
        <x:v>WERMA; HUMANTECHNIK; Fachdienst Hörgeschädigte</x:v>
      </x:c>
      <x:c r="G13" s="30" t="str">
        <x:v>Zwei-Sinne-Prinzip beachten</x:v>
      </x:c>
    </x:row>
    <x:row r="14" ht="46" customHeight="1">
      <x:c r="A14" s="30" t="str">
        <x:v>IT-/Bedienarbeitsplatz</x:v>
      </x:c>
      <x:c r="B14" s="30" t="str">
        <x:v>Sehen/Blindheit</x:v>
      </x:c>
      <x:c r="C14" s="30" t="str">
        <x:v>Bildschirm/Information</x:v>
      </x:c>
      <x:c r="D14" s="30" t="str">
        <x:v>Visuelle Informationen nicht zugänglich</x:v>
      </x:c>
      <x:c r="E14" s="30" t="str">
        <x:v>Screenreader; Braille; Vergrößerung; Vorlesetechnik</x:v>
      </x:c>
      <x:c r="F14" s="30" t="str">
        <x:v>Reinecker Vision; Papenmeier; Or BIT</x:v>
      </x:c>
      <x:c r="G14" s="30" t="str">
        <x:v>Arbeitsplatzbezogene Analyse und Schulung</x:v>
      </x:c>
    </x:row>
    <x:row r="15" ht="46" customHeight="1">
      <x:c r="A15" s="30" t="str">
        <x:v>Komplexer Einzelfall</x:v>
      </x:c>
      <x:c r="B15" s="30" t="str">
        <x:v>mehrfach / unklar</x:v>
      </x:c>
      <x:c r="C15" s="30" t="str">
        <x:v>Arbeitsplatz grundsätzlich erhalten</x:v>
      </x:c>
      <x:c r="D15" s="30" t="str">
        <x:v>Hilfsmittelbedarf noch unklar</x:v>
      </x:c>
      <x:c r="E15" s="30" t="str">
        <x:v>Arbeitsplatzanalyse; RehaAssessment; technische Begutachtung</x:v>
      </x:c>
      <x:c r="F15" s="30" t="str">
        <x:v>BFW Würzburg; KVJS TBD; LSJV TBD; BA TBD</x:v>
      </x:c>
      <x:c r="G15" s="30" t="str">
        <x:v>Berater vor Umsetzer schalten</x:v>
      </x:c>
    </x:row>
    <x:row r="16" ht="46" customHeight="1">
      <x:c r="A16" s="30" t="str">
        <x:v>Produktion / Montage</x:v>
      </x:c>
      <x:c r="B16" s="30" t="str">
        <x:v>Rücken/Schulter/Arm</x:v>
      </x:c>
      <x:c r="C16" s="30" t="str">
        <x:v>Belastender repetitiver Teilprozess</x:v>
      </x:c>
      <x:c r="D16" s="30" t="str">
        <x:v>Wiederholung; ungünstige Haltung; Haltearbeit</x:v>
      </x:c>
      <x:c r="E16" s="30" t="str">
        <x:v>Cobot / Teilautomation</x:v>
      </x:c>
      <x:c r="F16" s="30" t="str">
        <x:v>Faude Tec; HOLZ automation</x:v>
      </x:c>
      <x:c r="G16" s="30" t="str">
        <x:v>Nur bei sinnvoll abgrenzbarem Teilprozess; Safety/CE zwingend</x:v>
      </x:c>
    </x:row>
  </x:sheetData>
  <x:mergeCells>
    <x:mergeCell ref="A1:G1"/>
  </x:mergeCells>
  <x:pageMargins left="0.7" right="0.7" top="0.75" bottom="0.75" header="0.3" footer="0.3"/>
  <x:tableParts count="1">
    <x:tablePart xmlns:r="http://schemas.openxmlformats.org/officeDocument/2006/relationships" r:id="Rfc488df272ed4f34"/>
  </x:tableParts>
</x:worksheet>
</file>

<file path=xl/worksheets/sheet12.xml><?xml version="1.0" encoding="utf-8"?>
<x:worksheet xmlns:x="http://schemas.openxmlformats.org/spreadsheetml/2006/main">
  <x:sheetFormatPr defaultRowHeight="15"/>
  <x:cols>
    <x:col min="1" max="1" width="27" hidden="0" customWidth="1"/>
    <x:col min="2" max="2" width="70" hidden="0" customWidth="1"/>
    <x:col min="3" max="3" width="48" hidden="0" customWidth="1"/>
  </x:cols>
  <x:sheetData>
    <x:row r="1">
      <x:c r="A1" s="52" t="str">
        <x:v>Technik-Filterlogik – verbindliche Zielstruktur für Karte und Suche</x:v>
      </x:c>
      <x:c r="B1" s="52"/>
      <x:c r="C1" s="52"/>
    </x:row>
    <x:row r="3">
      <x:c r="A3" s="59" t="str">
        <x:v>Dimension</x:v>
      </x:c>
      <x:c r="B3" s="59" t="str">
        <x:v>Zulässige / empfohlene Werte</x:v>
      </x:c>
      <x:c r="C3" s="59" t="str">
        <x:v>Regel</x:v>
      </x:c>
    </x:row>
    <x:row r="4" ht="52" customHeight="1">
      <x:c r="A4" s="30" t="str">
        <x:v>Branche</x:v>
      </x:c>
      <x:c r="B4" s="30" t="str">
        <x:v>Metall; Automotive/Autoteile; Maschinenbau; Holz/Schreinerei; Montage/Produktion; Logistik; Werkstatt</x:v>
      </x:c>
      <x:c r="C4" s="30" t="str">
        <x:v>Mehrfachzuordnung ausdrücklich zulassen.</x:v>
      </x:c>
    </x:row>
    <x:row r="5" ht="52" customHeight="1">
      <x:c r="A5" s="30" t="str">
        <x:v>Funktionelle Einschränkung</x:v>
      </x:c>
      <x:c r="B5" s="30" t="str">
        <x:v>Arm/Hand; Schulter; Rücken/Wirbelsäule; Bein/Knie/Stehen; reduzierte Kraft/Belastbarkeit; Greifdefizit; Sehen/Blindheit; Hören/Kommunikation; Rollstuhl/Mobilität</x:v>
      </x:c>
      <x:c r="C5" s="30" t="str">
        <x:v>Nicht auf Rollstuhlnutzung verengen.</x:v>
      </x:c>
    </x:row>
    <x:row r="6" ht="52" customHeight="1">
      <x:c r="A6" s="30" t="str">
        <x:v>Arbeitsplatzproblem</x:v>
      </x:c>
      <x:c r="B6" s="30" t="str">
        <x:v>Schweres Werkzeug; hohes Drehmoment/Reaktionskraft; Heben/Tragen; Schieben/Ziehen; Wenden/Positionieren; lange Greifwege; Überkopfarbeit; Maschinenbedienung; Materialbereitstellung; dauerhaftes Stehen/Sitzen; Warn-/Signalwahrnehmung</x:v>
      </x:c>
      <x:c r="C6" s="30" t="str">
        <x:v>Problemorientierter Filter vor Lösungsfilter.</x:v>
      </x:c>
    </x:row>
    <x:row r="7" ht="52" customHeight="1">
      <x:c r="A7" s="30" t="str">
        <x:v>Lösungstyp</x:v>
      </x:c>
      <x:c r="B7" s="30" t="str">
        <x:v>Werkzeugbalancer/Federzug; Drehmomentarm; Manipulator; Vakuumheber; Hub-/Drehtisch; höhenverstellbarer Arbeitsplatz; Materialbereitstellung/Regaltechnik; Förder-/Transporttechnik; Maschinenretrofit/Steuerungsumbau; Einhand-/Fuß-/Kniebedienung; Exoskelett; Industriesitz/Stehhilfe; Sondervorrichtung; Kran-/Hebetechnik; Cobot; Signaltechnik; Arbeitsplatzanalyse/Beratung</x:v>
      </x:c>
      <x:c r="C7" s="30" t="str">
        <x:v>Mehrfachzuordnung je Anbieter.</x:v>
      </x:c>
    </x:row>
    <x:row r="8" ht="52" customHeight="1">
      <x:c r="A8" s="30" t="str">
        <x:v>Rolle</x:v>
      </x:c>
      <x:c r="B8" s="30" t="str">
        <x:v>Öffentlicher Technischer Fachdienst; Technischer Arbeitsplatzberater; Technischer Umsetzer; Systemintegrator; Maschinensicherheit/Engineering; Spezialist Sinnesbehinderung</x:v>
      </x:c>
      <x:c r="C8" s="30" t="str">
        <x:v>Berater und Umsetzer getrennt darstellen.</x:v>
      </x:c>
    </x:row>
    <x:row r="9" ht="52" customHeight="1">
      <x:c r="A9" s="30" t="str">
        <x:v>Umsetzungstiefe</x:v>
      </x:c>
      <x:c r="B9" s="30" t="str">
        <x:v>Analyse/Beratung → Konstruktion/Planung → Lieferung → Umbau/Nachrüstung → Montage/Inbetriebnahme → Service</x:v>
      </x:c>
      <x:c r="C9" s="30" t="str">
        <x:v>In der Anbieterkarte als klare Leistungsstufen anzeigen.</x:v>
      </x:c>
    </x:row>
    <x:row r="10" ht="52" customHeight="1">
      <x:c r="A10" s="30" t="str">
        <x:v>Qualität</x:v>
      </x:c>
      <x:c r="B10" s="30" t="str">
        <x:v>Safety/CE; BG-/Kostenträgerbezug; Primärquelle; Prüfdatum; Status</x:v>
      </x:c>
      <x:c r="C10" s="30" t="str">
        <x:v>Keine Reha-/BG-Erfahrung aus allgemeiner Industrieergonomie ableiten.</x:v>
      </x:c>
    </x:row>
  </x:sheetData>
  <x:mergeCells>
    <x:mergeCell ref="A1:C1"/>
  </x:mergeCells>
  <x:pageMargins left="0.7" right="0.7" top="0.75" bottom="0.75" header="0.3" footer="0.3"/>
</x:worksheet>
</file>

<file path=xl/worksheets/sheet13.xml><?xml version="1.0" encoding="utf-8"?>
<x:worksheet xmlns:x="http://schemas.openxmlformats.org/spreadsheetml/2006/main">
  <x:sheetFormatPr defaultRowHeight="15"/>
  <x:cols>
    <x:col min="1" max="1" width="9" hidden="0" customWidth="1"/>
    <x:col min="2" max="2" width="30" hidden="0" customWidth="1"/>
    <x:col min="3" max="3" width="24" hidden="0" customWidth="1"/>
    <x:col min="4" max="4" width="32" hidden="0" customWidth="1"/>
    <x:col min="5" max="5" width="10" hidden="0" customWidth="1"/>
    <x:col min="6" max="6" width="45" hidden="0" customWidth="1"/>
    <x:col min="7" max="7" width="50" hidden="0" customWidth="1"/>
    <x:col min="8" max="8" width="40" hidden="0" customWidth="1"/>
    <x:col min="9" max="9" width="14" hidden="0" customWidth="1"/>
  </x:cols>
  <x:sheetData>
    <x:row r="1">
      <x:c r="A1" s="52" t="str">
        <x:v>Technik-Prüfliste – vor produktivem Import noch selektiv verifizieren</x:v>
      </x:c>
      <x:c r="B1" s="52"/>
      <x:c r="C1" s="52"/>
      <x:c r="D1" s="52"/>
      <x:c r="E1" s="52"/>
      <x:c r="F1" s="52"/>
      <x:c r="G1" s="52"/>
      <x:c r="H1" s="52"/>
      <x:c r="I1" s="52"/>
    </x:row>
    <x:row r="3" ht="34" customHeight="1">
      <x:c r="A3" s="59" t="str">
        <x:v>ID</x:v>
      </x:c>
      <x:c r="B3" s="59" t="str">
        <x:v>Anbieter</x:v>
      </x:c>
      <x:c r="C3" s="59" t="str">
        <x:v>Ort / Region</x:v>
      </x:c>
      <x:c r="D3" s="59" t="str">
        <x:v>Rolle</x:v>
      </x:c>
      <x:c r="E3" s="59" t="str">
        <x:v>Priorität</x:v>
      </x:c>
      <x:c r="F3" s="59" t="str">
        <x:v>Leistung / Potenzial</x:v>
      </x:c>
      <x:c r="G3" s="59" t="str">
        <x:v>Offener Prüfpunkt</x:v>
      </x:c>
      <x:c r="H3" s="59" t="str">
        <x:v>Website</x:v>
      </x:c>
      <x:c r="I3" s="59" t="str">
        <x:v>Status</x:v>
      </x:c>
    </x:row>
    <x:row r="4" ht="48" customHeight="1">
      <x:c r="A4" s="30" t="str">
        <x:v>P-001</x:v>
      </x:c>
      <x:c r="B4" s="30" t="str">
        <x:v>Kevekordes Ergonomie</x:v>
      </x:c>
      <x:c r="C4" s="30" t="str">
        <x:v>Würzburg (BY)</x:v>
      </x:c>
      <x:c r="D4" s="30" t="str">
        <x:v>Privater Arbeitsplatzberater / Ergonomie</x:v>
      </x:c>
      <x:c r="E4" s="30" t="str">
        <x:v>A</x:v>
      </x:c>
      <x:c r="F4" s="30" t="str">
        <x:v>Arbeitsplatz-Checks; ergonomische/behinderungsgerechte Ausstattung; Kostenträgerabrechnung möglich</x:v>
      </x:c>
      <x:c r="G4" s="30" t="str">
        <x:v>Standort-/Kartenstatus und aktuelle Leistungsdarstellung vor produktivem Import erneut verifizieren.</x:v>
      </x:c>
      <x:c r="H4" s="30" t="str">
        <x:v>https://www.kevekordes-ergonomie.de/</x:v>
      </x:c>
      <x:c r="I4" s="30" t="str">
        <x:v>Prüfen</x:v>
      </x:c>
    </x:row>
    <x:row r="5" ht="48" customHeight="1">
      <x:c r="A5" s="30" t="str">
        <x:v>P-002</x:v>
      </x:c>
      <x:c r="B5" s="30" t="str">
        <x:v>Feinwerktechnik Ritzenthaler GmbH</x:v>
      </x:c>
      <x:c r="C5" s="30" t="str">
        <x:v>Standort prüfen</x:v>
      </x:c>
      <x:c r="D5" s="30" t="str">
        <x:v>Technischer Umsetzer / Betriebsmittel &amp; Vorrichtungen</x:v>
      </x:c>
      <x:c r="E5" s="30" t="str">
        <x:v>A</x:v>
      </x:c>
      <x:c r="F5" s="30" t="str">
        <x:v>Produktions-/Montagearbeitsplatzanalyse; Betriebsmittel; Materialbereitstellung; Vorrichtungsbau</x:v>
      </x:c>
      <x:c r="G5" s="30" t="str">
        <x:v>Aktuellen Standort, Website und konkrete Umsetzungstiefe vor Import verifizieren.</x:v>
      </x:c>
      <x:c r="H5" s="30" t="str"/>
      <x:c r="I5" s="30" t="str">
        <x:v>Prüfen</x:v>
      </x:c>
    </x:row>
    <x:row r="6" ht="48" customHeight="1">
      <x:c r="A6" s="30" t="str">
        <x:v>P-003</x:v>
      </x:c>
      <x:c r="B6" s="30" t="str">
        <x:v>Grabert Aluformguss GmbH</x:v>
      </x:c>
      <x:c r="C6" s="30" t="str">
        <x:v>Heilbronn (BW)</x:v>
      </x:c>
      <x:c r="D6" s="30" t="str">
        <x:v>Technischer Umsetzer / Sondermaschinen &amp; Vorrichtungen</x:v>
      </x:c>
      <x:c r="E6" s="30" t="str">
        <x:v>A/B</x:v>
      </x:c>
      <x:c r="F6" s="30" t="str">
        <x:v>Handarbeitsplätze; Montagetische; Spann-/Prüfvorrichtungen; Handlingsysteme</x:v>
      </x:c>
      <x:c r="G6" s="30" t="str">
        <x:v>Leistungsprofil für externe Einzelprojekte und Vor-Ort-Umsetzung vor Import verifizieren.</x:v>
      </x:c>
      <x:c r="H6" s="30" t="str"/>
      <x:c r="I6" s="30" t="str">
        <x:v>Prüfen</x:v>
      </x:c>
    </x:row>
    <x:row r="7" ht="48" customHeight="1">
      <x:c r="A7" s="30" t="str">
        <x:v>P-004</x:v>
      </x:c>
      <x:c r="B7" s="30" t="str">
        <x:v>Log &amp; Consult GmbH</x:v>
      </x:c>
      <x:c r="C7" s="30" t="str">
        <x:v>Heilbronn (BW)</x:v>
      </x:c>
      <x:c r="D7" s="30" t="str">
        <x:v>Technischer Umsetzer / Arbeitsplatz &amp; Materialfluss</x:v>
      </x:c>
      <x:c r="E7" s="30" t="str">
        <x:v>A/B</x:v>
      </x:c>
      <x:c r="F7" s="30" t="str">
        <x:v>Arbeitsplatzkonzepte; Materialbereitstellung; Ergonomie; Prototyp bis Serie</x:v>
      </x:c>
      <x:c r="G7" s="30" t="str">
        <x:v>Aktuelles Leistungsportfolio und konkreten Reha-/Einzelprojektbezug vor Import verifizieren.</x:v>
      </x:c>
      <x:c r="H7" s="30" t="str"/>
      <x:c r="I7" s="30" t="str">
        <x:v>Prüfen</x:v>
      </x:c>
    </x:row>
    <x:row r="8" ht="48" customHeight="1">
      <x:c r="A8" s="30" t="str">
        <x:v>P-005</x:v>
      </x:c>
      <x:c r="B8" s="30" t="str">
        <x:v>AGIL Rehabilitationstechnik</x:v>
      </x:c>
      <x:c r="C8" s="30" t="str">
        <x:v>Heidelberg (BW)</x:v>
      </x:c>
      <x:c r="D8" s="30" t="str">
        <x:v>Technischer Umsetzungspartner / komplexe Mobilität</x:v>
      </x:c>
      <x:c r="E8" s="30" t="str">
        <x:v>A</x:v>
      </x:c>
      <x:c r="F8" s="30" t="str">
        <x:v>Elektrorollstühle; Sondersteuerungen; individuelle Sonderanfertigungen</x:v>
      </x:c>
      <x:c r="G8" s="30" t="str">
        <x:v>Nicht als primären Arbeitsplatzberater, sondern als ergänzenden Technikpartner führen; aktuelle Kontaktdaten verifizieren.</x:v>
      </x:c>
      <x:c r="H8" s="30" t="str">
        <x:v>https://www.agil-info.de/</x:v>
      </x:c>
      <x:c r="I8" s="30" t="str">
        <x:v>Prüfen</x:v>
      </x:c>
    </x:row>
    <x:row r="9" ht="48" customHeight="1">
      <x:c r="A9" s="30" t="str">
        <x:v>P-006</x:v>
      </x:c>
      <x:c r="B9" s="30" t="str">
        <x:v>PETec GmbH</x:v>
      </x:c>
      <x:c r="C9" s="30" t="str">
        <x:v>Meschede (NW) / überregional</x:v>
      </x:c>
      <x:c r="D9" s="30" t="str">
        <x:v>Technischer Umsetzer / Schwerlast- &amp; Schweißtische</x:v>
      </x:c>
      <x:c r="E9" s="30" t="str">
        <x:v>A</x:v>
      </x:c>
      <x:c r="F9" s="30" t="str">
        <x:v>Höhenverstellbare Montage-/Schweiß-/Schwerlasttische; Hub-/Dreh-/Kippfunktionen; Sonderanfertigung</x:v>
      </x:c>
      <x:c r="G9" s="30" t="str">
        <x:v>Überregional; nur bei speziellen Schwerlast-/Schweißfällen priorisieren.</x:v>
      </x:c>
      <x:c r="H9" s="30" t="str">
        <x:v>https://www.petec-gmbh.de/</x:v>
      </x:c>
      <x:c r="I9" s="30" t="str">
        <x:v>Prüfen</x:v>
      </x:c>
    </x:row>
  </x:sheetData>
  <x:mergeCells>
    <x:mergeCell ref="A1:I1"/>
  </x:mergeCells>
  <x:conditionalFormatting sqref="I4:I9">
    <x:cfRule type="expression" dxfId="2" priority="1">
      <x:formula>I4="Prüfen"</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32" hidden="0" customWidth="1"/>
    <x:col min="2" max="2" width="20" hidden="0" customWidth="1"/>
    <x:col min="3" max="3" width="62" hidden="0" customWidth="1"/>
    <x:col min="4" max="4" width="26" hidden="0" customWidth="1"/>
    <x:col min="5" max="5" width="16" hidden="0" customWidth="1"/>
    <x:col min="6" max="6" width="16" hidden="0" customWidth="1"/>
    <x:col min="7" max="7" width="16" hidden="0" customWidth="1"/>
    <x:col min="8" max="8" width="16" hidden="0" customWidth="1"/>
  </x:cols>
  <x:sheetData>
    <x:row r="1" ht="30" customHeight="1">
      <x:c r="A1" s="70" t="str">
        <x:v>BG‑RehaManager Südwest – Geoprüfung Technik 4.4.x</x:v>
      </x:c>
      <x:c r="B1" s="70"/>
      <x:c r="C1" s="70"/>
      <x:c r="D1" s="70"/>
      <x:c r="E1" s="70"/>
      <x:c r="F1" s="70"/>
      <x:c r="G1" s="70"/>
      <x:c r="H1" s="70"/>
    </x:row>
    <x:row r="2">
      <x:c r="A2" s="73" t="str">
        <x:v>Zusammenfassung des neuen technischen Kartenbestands, Web-/Adressprüfung und Importentscheidung – Stand 30.08.2026</x:v>
      </x:c>
      <x:c r="B2" s="73"/>
      <x:c r="C2" s="73"/>
      <x:c r="D2" s="73"/>
      <x:c r="E2" s="73"/>
      <x:c r="F2" s="73"/>
      <x:c r="G2" s="73"/>
      <x:c r="H2" s="73"/>
    </x:row>
    <x:row r="4">
      <x:c r="A4" s="78" t="str">
        <x:v>Kennzahl</x:v>
      </x:c>
      <x:c r="B4" s="78" t="str">
        <x:v>Wert</x:v>
      </x:c>
      <x:c r="C4" s="78" t="str">
        <x:v>Einordnung</x:v>
      </x:c>
    </x:row>
    <x:row r="5">
      <x:c r="A5" s="30" t="str">
        <x:v>Bestehende logische Einträge</x:v>
      </x:c>
      <x:c r="B5" s="84" t="n">
        <x:f>COUNTA('Technik Anbieter 4.4x'!A6:A50)</x:f>
        <x:v>45</x:v>
      </x:c>
      <x:c r="C5" s="30" t="str">
        <x:v>Originalbestand T‑001 bis T‑045.</x:v>
      </x:c>
    </x:row>
    <x:row r="6">
      <x:c r="A6" s="30" t="str">
        <x:v>Neu zur Aufnahme empfohlene Kandidaten</x:v>
      </x:c>
      <x:c r="B6" s="84" t="n">
        <x:f>COUNTIF('Prüfkandidaten Geo'!N5:N10,"Aufnehmen")</x:f>
        <x:v>5</x:v>
      </x:c>
      <x:c r="C6" s="30" t="str">
        <x:v>P‑002 bis P‑006; P‑IDs bewusst noch nicht in T‑IDs umnummeriert.</x:v>
      </x:c>
    </x:row>
    <x:row r="7">
      <x:c r="A7" s="30" t="str">
        <x:v>Nicht aufzunehmende Kandidaten</x:v>
      </x:c>
      <x:c r="B7" s="84" t="n">
        <x:f>COUNTIF('Prüfkandidaten Geo'!N5:N10,"Nicht aufnehmen")</x:f>
        <x:v>1</x:v>
      </x:c>
      <x:c r="C7" s="30" t="str">
        <x:v>P‑001 Kevekordes: keine neuen Anfragen mehr.</x:v>
      </x:c>
    </x:row>
    <x:row r="8">
      <x:c r="A8" s="30" t="str">
        <x:v>Logischer aktiver Zielbestand</x:v>
      </x:c>
      <x:c r="B8" s="84" t="n">
        <x:f>B5+B6</x:f>
        <x:v>50</x:v>
      </x:c>
      <x:c r="C8" s="30" t="str">
        <x:v>Bestehender Bestand + fachlich bestätigte Neuaufnahmen.</x:v>
      </x:c>
    </x:row>
    <x:row r="9">
      <x:c r="A9" s="30" t="str">
        <x:v>Standort-/Funktionszeilen Importliste</x:v>
      </x:c>
      <x:c r="B9" s="84" t="n">
        <x:f>COUNTA('Kartenimport erweitert'!A5:A56)</x:f>
        <x:v>52</x:v>
      </x:c>
      <x:c r="C9" s="30" t="str">
        <x:v>KVJS T‑042 wurde in drei reale Teilstandorte aufgelöst.</x:v>
      </x:c>
    </x:row>
    <x:row r="10">
      <x:c r="A10" s="30" t="str">
        <x:v>Davon reale Kartenpunkte</x:v>
      </x:c>
      <x:c r="B10" s="84" t="n">
        <x:f>COUNTIF('Kartenimport erweitert'!AC5:AC56,"Kartenpunkt – Adresse geprüft")+COUNTIF('Kartenimport erweitert'!AC5:AC56,"Kartenpunkt – Koordinate geprüft")+COUNTIF('Kartenimport erweitert'!AC5:AC56,"Kartenpunkt – Geo-Warnung")+COUNTIF('Kartenimport erweitert'!AC5:AC56,"Kartenpunkt – verifizierter Teilstandort")</x:f>
        <x:v>51</x:v>
      </x:c>
      <x:c r="C10" s="30" t="str">
        <x:v>T‑044 Bundesagentur für Arbeit bleibt bewusst ohne Einzelpin.</x:v>
      </x:c>
    </x:row>
    <x:row r="11">
      <x:c r="A11" s="30" t="str">
        <x:v>Bundesweite Fachdienste ohne Einzelpunkt</x:v>
      </x:c>
      <x:c r="B11" s="84" t="n">
        <x:f>COUNTIF('Kartenimport erweitert'!AC5:AC56,"Kein Einzelpunkt – bundesweiter Fachdienst")</x:f>
        <x:v>1</x:v>
      </x:c>
      <x:c r="C11" s="30" t="str">
        <x:v>Fachdienst wird über regionale Agentur/Jobcenter erschlossen.</x:v>
      </x:c>
    </x:row>
    <x:row r="12">
      <x:c r="A12" s="30" t="str">
        <x:v>Kartenpunkte mit vollständiger geprüfter Adresse</x:v>
      </x:c>
      <x:c r="B12" s="84" t="n">
        <x:f>B10</x:f>
        <x:v>51</x:v>
      </x:c>
      <x:c r="C12" s="30" t="str">
        <x:v>Vollständige Straße/PLZ/Ort für jeden tatsächlichen Kartenpunkt.</x:v>
      </x:c>
    </x:row>
    <x:row r="13">
      <x:c r="A13" s="30" t="str">
        <x:v>Numerische Koordinaten separat verifiziert</x:v>
      </x:c>
      <x:c r="B13" s="84" t="n">
        <x:f>COUNT('Kartenimport erweitert'!Z5:Z56)</x:f>
        <x:v>3</x:v>
      </x:c>
      <x:c r="C13" s="30" t="str">
        <x:v>Nur separat belegte Haus-/Standortkoordinaten; keine Schätzwerte.</x:v>
      </x:c>
    </x:row>
    <x:row r="14">
      <x:c r="A14" s="30" t="str">
        <x:v>Geo-Warnungen vor produktivem Import</x:v>
      </x:c>
      <x:c r="B14" s="84" t="n">
        <x:f>COUNTIF('Kartenimport erweitert'!AC5:AC56,"Kartenpunkt – Geo-Warnung")</x:f>
        <x:v>1</x:v>
      </x:c>
      <x:c r="C14" s="30" t="str">
        <x:v>SPS Automation: Hausnummer 17/19 auf eigener Website widersprüchlich.</x:v>
      </x:c>
    </x:row>
    <x:row r="16">
      <x:c r="A16" s="86" t="str">
        <x:v>Wesentliche Geodaten-/Adresskorrekturen</x:v>
      </x:c>
      <x:c r="B16" s="86"/>
      <x:c r="C16" s="86"/>
      <x:c r="D16" s="86"/>
      <x:c r="E16" s="86"/>
      <x:c r="F16" s="86"/>
      <x:c r="G16" s="86"/>
      <x:c r="H16" s="86"/>
    </x:row>
    <x:row r="17">
      <x:c r="A17" s="84" t="str">
        <x:v>T‑003 J. Schmalz</x:v>
      </x:c>
      <x:c r="B17" s="30" t="str">
        <x:v>Für Navigation Aacher Straße 29, 72293 Glatten; Firmensitz Johannes-Schmalz-Straße 1 separat dokumentiert.</x:v>
      </x:c>
    </x:row>
    <x:row r="18">
      <x:c r="A18" s="84" t="str">
        <x:v>T‑006 ims Handhabungstechnik</x:v>
      </x:c>
      <x:c r="B18" s="30" t="str">
        <x:v>Aktuell Langenmorgen 2/1, 75015 Bretten. Alte Pforzheimer Straße 46 verworfen.</x:v>
      </x:c>
    </x:row>
    <x:row r="19">
      <x:c r="A19" s="84" t="str">
        <x:v>T‑009 ZASCHE</x:v>
      </x:c>
      <x:c r="B19" s="30" t="str">
        <x:v>Aktuell Markham Straße 13, 86720 Nördlingen; frühere Gewerbestraße nicht verwenden.</x:v>
      </x:c>
    </x:row>
    <x:row r="20">
      <x:c r="A20" s="84" t="str">
        <x:v>T‑011 PRONOMIC</x:v>
      </x:c>
      <x:c r="B20" s="30" t="str">
        <x:v>Aktueller Hauptsitz Dennhäuser Straße 62, 34134 Kassel.</x:v>
      </x:c>
    </x:row>
    <x:row r="21">
      <x:c r="A21" s="84" t="str">
        <x:v>T‑018 German Tools</x:v>
      </x:c>
      <x:c r="B21" s="30" t="str">
        <x:v>Aktueller Standort Boschstraße 3, 59609 Anröchte.</x:v>
      </x:c>
    </x:row>
    <x:row r="22">
      <x:c r="A22" s="84" t="str">
        <x:v>T‑022 hTRIUS</x:v>
      </x:c>
      <x:c r="B22" s="30" t="str">
        <x:v>Aktuell Junghansstraße 16, 72160 Horb am Neckar; Adressänderung berücksichtigt.</x:v>
      </x:c>
    </x:row>
    <x:row r="23">
      <x:c r="A23" s="84" t="str">
        <x:v>T‑030 Faude Tec</x:v>
      </x:c>
      <x:c r="B23" s="30" t="str">
        <x:v>Kartenpunkt Robert-Mayer-Straße 3, 73660 Urbach; Börtlingen ist Rechnungsadresse.</x:v>
      </x:c>
    </x:row>
    <x:row r="24">
      <x:c r="A24" s="84" t="str">
        <x:v>T‑032 WERMA</x:v>
      </x:c>
      <x:c r="B24" s="30" t="str">
        <x:v>Aktuelle öffentliche HQ-Adresse Erich-Marquardt-Straße 1; alte Dürbheimer Straße 15 nicht als Kartenpunkt.</x:v>
      </x:c>
    </x:row>
    <x:row r="25">
      <x:c r="A25" s="84" t="str">
        <x:v>T‑042 KVJS</x:v>
      </x:c>
      <x:c r="B25" s="30" t="str">
        <x:v>Nicht nur ein Sammelpunkt: Karlsruhe, Stuttgart und Freiburg als drei getrennte Kartenpunkte.</x:v>
      </x:c>
    </x:row>
    <x:row r="26">
      <x:c r="A26" s="84" t="str">
        <x:v>T‑044 BA Technischer Beratungsdienst</x:v>
      </x:c>
      <x:c r="B26" s="30" t="str">
        <x:v>Bundesweiter Fachdienst ohne willkürlich gesetzten Hauptsitz-Pin.</x:v>
      </x:c>
    </x:row>
    <x:row r="28">
      <x:c r="A28" s="86" t="str">
        <x:v>Prüfkandidaten – Ergebnis</x:v>
      </x:c>
      <x:c r="B28" s="86"/>
      <x:c r="C28" s="86"/>
      <x:c r="D28" s="86"/>
      <x:c r="E28" s="86"/>
      <x:c r="F28" s="86"/>
      <x:c r="G28" s="86"/>
      <x:c r="H28" s="86"/>
    </x:row>
    <x:row r="29">
      <x:c r="A29" s="34" t="str">
        <x:v>P‑001</x:v>
      </x:c>
      <x:c r="B29" s="30" t="str">
        <x:v>Kevekordes Ergonomie</x:v>
      </x:c>
      <x:c r="C29" s="30" t="str">
        <x:v>Nicht aufnehmen</x:v>
      </x:c>
      <x:c r="D29" s="30" t="str">
        <x:v>Inhaber verstorben; Website nimmt keine neuen Anfragen an.</x:v>
      </x:c>
    </x:row>
    <x:row r="30">
      <x:c r="A30" s="34" t="str">
        <x:v>P‑002</x:v>
      </x:c>
      <x:c r="B30" s="30" t="str">
        <x:v>Feinwerktechnik Ritzenthaler</x:v>
      </x:c>
      <x:c r="C30" s="30" t="str">
        <x:v>Aufnehmen A+</x:v>
      </x:c>
      <x:c r="D30" s="30" t="str">
        <x:v>Vor-Ort-Analyse, Ergonomie, Konstruktion, Fertigung, Retrofit, Montage.</x:v>
      </x:c>
    </x:row>
    <x:row r="31">
      <x:c r="A31" s="34" t="str">
        <x:v>P‑003</x:v>
      </x:c>
      <x:c r="B31" s="30" t="str">
        <x:v>Grabert Aluformguss</x:v>
      </x:c>
      <x:c r="C31" s="30" t="str">
        <x:v>Aufnehmen B</x:v>
      </x:c>
      <x:c r="D31" s="30" t="str">
        <x:v>Projektbezogener technischer Umsetzer; Reha-Einzelfallbezug nicht ausdrücklich beworben.</x:v>
      </x:c>
    </x:row>
    <x:row r="32">
      <x:c r="A32" s="34" t="str">
        <x:v>P‑004</x:v>
      </x:c>
      <x:c r="B32" s="30" t="str">
        <x:v>Log &amp; Consult</x:v>
      </x:c>
      <x:c r="C32" s="30" t="str">
        <x:v>Aufnehmen A</x:v>
      </x:c>
      <x:c r="D32" s="30" t="str">
        <x:v>Individuelle ergonomische Arbeitsplatz-/Materialflusslösungen.</x:v>
      </x:c>
    </x:row>
    <x:row r="33">
      <x:c r="A33" s="34" t="str">
        <x:v>P‑005</x:v>
      </x:c>
      <x:c r="B33" s="30" t="str">
        <x:v>AGIL Rehabilitationstechnik</x:v>
      </x:c>
      <x:c r="C33" s="30" t="str">
        <x:v>Aufnehmen B</x:v>
      </x:c>
      <x:c r="D33" s="30" t="str">
        <x:v>Ergänzungspartner für Sondersteuerungen und komplexe Rehatechnik.</x:v>
      </x:c>
    </x:row>
    <x:row r="34">
      <x:c r="A34" s="34" t="str">
        <x:v>P‑006</x:v>
      </x:c>
      <x:c r="B34" s="30" t="str">
        <x:v>PETec</x:v>
      </x:c>
      <x:c r="C34" s="30" t="str">
        <x:v>Aufnehmen A</x:v>
      </x:c>
      <x:c r="D34" s="30" t="str">
        <x:v>Spezialfälle Schwerlast-, Montage- und Schweißtische.</x:v>
      </x:c>
    </x:row>
    <x:row r="36">
      <x:c r="A36" s="86" t="str">
        <x:v>Geo-Qualitätsregel für den Kartenimport</x:v>
      </x:c>
      <x:c r="B36" s="86"/>
      <x:c r="C36" s="86"/>
      <x:c r="D36" s="86"/>
      <x:c r="E36" s="86"/>
      <x:c r="F36" s="86"/>
      <x:c r="G36" s="86"/>
      <x:c r="H36" s="86"/>
    </x:row>
    <x:row r="37">
      <x:c r="A37" s="89" t="str">
        <x:v>Für jeden tatsächlichen Kartenpunkt ist eine normalisierte, aktuell geprüfte Volladresse hinterlegt. Die Spalte „Geocode-Query“ wird aus Straße/PLZ/Ort erzeugt. Numerische Breitengrad-/Längengradwerte werden nur dann gespeichert, wenn sie separat belastbar verifiziert wurden; ansonsten bleiben sie bewusst leer. Damit werden alte oder geschätzte Koordinaten nicht in den produktiven Kartenbestand eingeschleppt.</x:v>
      </x:c>
      <x:c r="B37" s="89"/>
      <x:c r="C37" s="89"/>
      <x:c r="D37" s="89"/>
      <x:c r="E37" s="89"/>
      <x:c r="F37" s="89"/>
      <x:c r="G37" s="89"/>
      <x:c r="H37" s="89"/>
    </x:row>
    <x:row r="38">
      <x:c r="A38" s="89"/>
      <x:c r="B38" s="89"/>
      <x:c r="C38" s="89"/>
      <x:c r="D38" s="89"/>
      <x:c r="E38" s="89"/>
      <x:c r="F38" s="89"/>
      <x:c r="G38" s="89"/>
      <x:c r="H38" s="89"/>
    </x:row>
    <x:row r="39">
      <x:c r="A39" s="89"/>
      <x:c r="B39" s="89"/>
      <x:c r="C39" s="89"/>
      <x:c r="D39" s="89"/>
      <x:c r="E39" s="89"/>
      <x:c r="F39" s="89"/>
      <x:c r="G39" s="89"/>
      <x:c r="H39" s="89"/>
    </x:row>
    <x:row r="41">
      <x:c r="A41" s="86" t="str">
        <x:v>Quellenhinweis</x:v>
      </x:c>
      <x:c r="B41" s="86"/>
      <x:c r="C41" s="86"/>
      <x:c r="D41" s="86"/>
      <x:c r="E41" s="86"/>
      <x:c r="F41" s="86"/>
      <x:c r="G41" s="86"/>
      <x:c r="H41" s="86"/>
    </x:row>
    <x:row r="42">
      <x:c r="A42" s="30" t="str">
        <x:v>Adress- und Kontaktdaten wurden anhand aktueller Unternehmens-/Behördenwebseiten geprüft. Die jeweiligen URLs stehen zeilenbezogen in „Adress-/Kontaktquelle“ bzw. „Quellen-URL“.</x:v>
      </x:c>
      <x:c r="B42" s="30"/>
      <x:c r="C42" s="30"/>
      <x:c r="D42" s="30"/>
      <x:c r="E42" s="30"/>
      <x:c r="F42" s="30"/>
      <x:c r="G42" s="30"/>
      <x:c r="H42" s="30"/>
    </x:row>
    <x:row r="43">
      <x:c r="A43" s="30"/>
      <x:c r="B43" s="30"/>
      <x:c r="C43" s="30"/>
      <x:c r="D43" s="30"/>
      <x:c r="E43" s="30"/>
      <x:c r="F43" s="30"/>
      <x:c r="G43" s="30"/>
      <x:c r="H43" s="30"/>
    </x:row>
  </x:sheetData>
  <x:mergeCells>
    <x:mergeCell ref="A1:H1"/>
    <x:mergeCell ref="A2:H2"/>
    <x:mergeCell ref="A16:H16"/>
    <x:mergeCell ref="A28:H28"/>
    <x:mergeCell ref="A36:H36"/>
    <x:mergeCell ref="A37:H39"/>
    <x:mergeCell ref="A41:H41"/>
    <x:mergeCell ref="A42:H43"/>
  </x:mergeCells>
  <x:conditionalFormatting sqref="C29:C34">
    <x:cfRule type="expression" dxfId="11" priority="1">
      <x:formula>ISNUMBER(SEARCH("Aufnehmen",C29))</x:formula>
    </x:cfRule>
    <x:cfRule type="expression" dxfId="12" priority="2">
      <x:formula>ISNUMBER(SEARCH("Nicht",C29))</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1" hidden="0" customWidth="1"/>
    <x:col min="2" max="2" width="11" hidden="0" customWidth="1"/>
    <x:col min="3" max="3" width="31" hidden="0" customWidth="1"/>
    <x:col min="4" max="4" width="13" hidden="0" customWidth="1"/>
    <x:col min="5" max="5" width="13" hidden="0" customWidth="1"/>
    <x:col min="6" max="6" width="29" hidden="0" customWidth="1"/>
    <x:col min="7" max="7" width="35" hidden="0" customWidth="1"/>
    <x:col min="8" max="8" width="35" hidden="0" customWidth="1"/>
    <x:col min="9" max="9" width="35" hidden="0" customWidth="1"/>
    <x:col min="10" max="10" width="3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42" hidden="0" customWidth="1"/>
    <x:col min="18" max="18" width="24" hidden="0" customWidth="1"/>
    <x:col min="19" max="19" width="9" hidden="0" customWidth="1"/>
    <x:col min="20" max="20" width="22" hidden="0" customWidth="1"/>
    <x:col min="21" max="21" width="18" hidden="0" customWidth="1"/>
    <x:col min="22" max="22" width="18" hidden="0" customWidth="1"/>
    <x:col min="23" max="23" width="24" hidden="0" customWidth="1"/>
    <x:col min="24" max="24" width="24" hidden="0" customWidth="1"/>
    <x:col min="25" max="25" width="42" hidden="0" customWidth="1"/>
    <x:col min="26" max="26" width="13" hidden="0" customWidth="1"/>
    <x:col min="27" max="27" width="13" hidden="0" customWidth="1"/>
    <x:col min="28" max="28" width="31" hidden="0" customWidth="1"/>
    <x:col min="29" max="29" width="31" hidden="0" customWidth="1"/>
    <x:col min="30" max="30" width="28" hidden="0" customWidth="1"/>
    <x:col min="31" max="31" width="43" hidden="0" customWidth="1"/>
    <x:col min="32" max="32" width="43" hidden="0" customWidth="1"/>
    <x:col min="33" max="33" width="48" hidden="0" customWidth="1"/>
    <x:col min="34" max="34" width="12" hidden="0" customWidth="1"/>
    <x:col min="35" max="35" width="48" hidden="0" customWidth="1"/>
  </x:cols>
  <x:sheetData>
    <x:row r="1" ht="28" customHeight="1">
      <x:c r="A1" s="70" t="str">
        <x:v>BG‑RehaManager Südwest – Technik: geoprüfter 4.4.x‑Bestand</x:v>
      </x:c>
      <x:c r="B1" s="70"/>
      <x:c r="C1" s="70"/>
      <x:c r="D1" s="70"/>
      <x:c r="E1" s="70"/>
      <x:c r="F1" s="70"/>
      <x:c r="G1" s="70"/>
      <x:c r="H1" s="70"/>
      <x:c r="I1" s="70"/>
      <x:c r="J1" s="70"/>
      <x:c r="K1" s="70"/>
      <x:c r="L1" s="70"/>
      <x:c r="M1" s="70"/>
      <x:c r="N1" s="70"/>
      <x:c r="O1" s="70"/>
      <x:c r="P1" s="70"/>
      <x:c r="Q1" s="70"/>
      <x:c r="R1" s="70"/>
      <x:c r="S1" s="70"/>
      <x:c r="T1" s="70"/>
      <x:c r="U1" s="70"/>
      <x:c r="V1" s="70"/>
      <x:c r="W1" s="70"/>
      <x:c r="X1" s="70"/>
      <x:c r="Y1" s="70"/>
      <x:c r="Z1" s="70"/>
      <x:c r="AA1" s="70"/>
      <x:c r="AB1" s="70"/>
      <x:c r="AC1" s="70"/>
      <x:c r="AD1" s="70"/>
      <x:c r="AE1" s="70"/>
      <x:c r="AF1" s="70"/>
      <x:c r="AG1" s="70"/>
      <x:c r="AH1" s="70"/>
      <x:c r="AI1" s="70"/>
    </x:row>
    <x:row r="2" ht="34" customHeight="1">
      <x:c r="A2" s="73" t="str">
        <x:v>Bestehende 45 technische Anbieter/Fachdienste; KVJS als drei reale Teilstandorte aufgelöst. Numerische Koordinaten werden nur eingetragen, wenn sie separat belastbar verifiziert sind.</x:v>
      </x:c>
      <x:c r="B2" s="73"/>
      <x:c r="C2" s="73"/>
      <x:c r="D2" s="73"/>
      <x:c r="E2" s="73"/>
      <x:c r="F2" s="73"/>
      <x:c r="G2" s="73"/>
      <x:c r="H2" s="73"/>
      <x:c r="I2" s="73"/>
      <x:c r="J2" s="73"/>
      <x:c r="K2" s="73"/>
      <x:c r="L2" s="73"/>
      <x:c r="M2" s="73"/>
      <x:c r="N2" s="73"/>
      <x:c r="O2" s="73"/>
      <x:c r="P2" s="73"/>
      <x:c r="Q2" s="73"/>
      <x:c r="R2" s="73"/>
      <x:c r="S2" s="73"/>
      <x:c r="T2" s="73"/>
      <x:c r="U2" s="73"/>
      <x:c r="V2" s="73"/>
      <x:c r="W2" s="73"/>
      <x:c r="X2" s="73"/>
      <x:c r="Y2" s="73"/>
      <x:c r="Z2" s="73"/>
      <x:c r="AA2" s="73"/>
      <x:c r="AB2" s="73"/>
      <x:c r="AC2" s="73"/>
      <x:c r="AD2" s="73"/>
      <x:c r="AE2" s="73"/>
      <x:c r="AF2" s="73"/>
      <x:c r="AG2" s="73"/>
      <x:c r="AH2" s="73"/>
      <x:c r="AI2" s="73"/>
    </x:row>
    <x:row r="4" ht="40" customHeight="1">
      <x:c r="A4" s="81" t="str">
        <x:v>Parent-ID</x:v>
      </x:c>
      <x:c r="B4" s="81" t="str">
        <x:v>Karten-ID</x:v>
      </x:c>
      <x:c r="C4" s="81" t="str">
        <x:v>Anbieter</x:v>
      </x:c>
      <x:c r="D4" s="81" t="str">
        <x:v>Importentscheidung</x:v>
      </x:c>
      <x:c r="E4" s="81" t="str">
        <x:v>Priorität</x:v>
      </x:c>
      <x:c r="F4" s="81" t="str">
        <x:v>Rolle</x:v>
      </x:c>
      <x:c r="G4" s="81" t="str">
        <x:v>Branchen</x:v>
      </x:c>
      <x:c r="H4" s="81" t="str">
        <x:v>Funktionelle Einschränkung</x:v>
      </x:c>
      <x:c r="I4" s="81" t="str">
        <x:v>Arbeitsplatzproblem / Tätigkeit</x:v>
      </x:c>
      <x:c r="J4" s="81" t="str">
        <x:v>Lösungstypen</x:v>
      </x:c>
      <x:c r="K4" s="81" t="str">
        <x:v>Analyse / Beratung</x:v>
      </x:c>
      <x:c r="L4" s="81" t="str">
        <x:v>Konstruktion / Planung</x:v>
      </x:c>
      <x:c r="M4" s="81" t="str">
        <x:v>Umbau / Nachrüstung</x:v>
      </x:c>
      <x:c r="N4" s="81" t="str">
        <x:v>Montage / Inbetriebnahme</x:v>
      </x:c>
      <x:c r="O4" s="81" t="str">
        <x:v>Safety / CE</x:v>
      </x:c>
      <x:c r="P4" s="81" t="str">
        <x:v>BG-/Kostenträgerbezug</x:v>
      </x:c>
      <x:c r="Q4" s="81" t="str">
        <x:v>Einsatzhinweis</x:v>
      </x:c>
      <x:c r="R4" s="81" t="str">
        <x:v>Straße</x:v>
      </x:c>
      <x:c r="S4" s="81" t="str">
        <x:v>PLZ</x:v>
      </x:c>
      <x:c r="T4" s="81" t="str">
        <x:v>Ort</x:v>
      </x:c>
      <x:c r="U4" s="81" t="str">
        <x:v>Bundesland</x:v>
      </x:c>
      <x:c r="V4" s="81" t="str">
        <x:v>Land</x:v>
      </x:c>
      <x:c r="W4" s="81" t="str">
        <x:v>Telefon</x:v>
      </x:c>
      <x:c r="X4" s="81" t="str">
        <x:v>E-Mail</x:v>
      </x:c>
      <x:c r="Y4" s="81" t="str">
        <x:v>Website</x:v>
      </x:c>
      <x:c r="Z4" s="81" t="str">
        <x:v>Breitengrad</x:v>
      </x:c>
      <x:c r="AA4" s="81" t="str">
        <x:v>Längengrad</x:v>
      </x:c>
      <x:c r="AB4" s="81" t="str">
        <x:v>Geo-Status</x:v>
      </x:c>
      <x:c r="AC4" s="81" t="str">
        <x:v>Kartenstatus</x:v>
      </x:c>
      <x:c r="AD4" s="81" t="str">
        <x:v>Servicegebiet</x:v>
      </x:c>
      <x:c r="AE4" s="81" t="str">
        <x:v>Adress-/Kontaktquelle</x:v>
      </x:c>
      <x:c r="AF4" s="81" t="str">
        <x:v>Geoquelle</x:v>
      </x:c>
      <x:c r="AG4" s="81" t="str">
        <x:v>Prüfhinweis / Aktualität</x:v>
      </x:c>
      <x:c r="AH4" s="81" t="str">
        <x:v>Prüfdatum</x:v>
      </x:c>
      <x:c r="AI4" s="81" t="str">
        <x:v>Geocode-Query</x:v>
      </x:c>
    </x:row>
    <x:row r="5">
      <x:c r="A5" s="45" t="str">
        <x:v>T-001</x:v>
      </x:c>
      <x:c r="B5" s="45" t="str">
        <x:v>T-001</x:v>
      </x:c>
      <x:c r="C5" s="45" t="str">
        <x:v>MiniTec GmbH</x:v>
      </x:c>
      <x:c r="D5" s="45" t="str">
        <x:v>Aufnehmen</x:v>
      </x:c>
      <x:c r="E5" s="45" t="str">
        <x:v>A+</x:v>
      </x:c>
      <x:c r="F5" s="45" t="str">
        <x:v>Technischer Umsetzer / Sonderlösung</x:v>
      </x:c>
      <x:c r="G5" s="45" t="str">
        <x:v>Metall; Automotive; Maschinenbau; Holz; Montage/Produktion</x:v>
      </x:c>
      <x:c r="H5" s="45" t="str">
        <x:v>Arm/Hand; Schulter; Rücken/Wirbelsäule; Bein/Stehen; reduzierte Kraft; Rollstuhl/Mobilität</x:v>
      </x:c>
      <x:c r="I5" s="45" t="str">
        <x:v>Montagehöhe; lange Greifwege; Materialbereitstellung; dauerhaftes Stehen; körperliche Belastung</x:v>
      </x:c>
      <x:c r="J5" s="45" t="str">
        <x:v>Höhenverstellbarer Arbeitsplatz; Materialbereitstellung; Hubsäulen/Lifter; Sondervorrichtung; Assistenzsystem</x:v>
      </x:c>
      <x:c r="K5" s="45" t="str">
        <x:v>Ja</x:v>
      </x:c>
      <x:c r="L5" s="45" t="str">
        <x:v>Ja</x:v>
      </x:c>
      <x:c r="M5" s="45" t="str">
        <x:v>Ja</x:v>
      </x:c>
      <x:c r="N5" s="45" t="str">
        <x:v>Ja</x:v>
      </x:c>
      <x:c r="O5" s="45" t="str">
        <x:v>teilweise/projektbezogen</x:v>
      </x:c>
      <x:c r="P5" s="45" t="str">
        <x:v>nicht spezifisch belegt</x:v>
      </x:c>
      <x:c r="Q5" s="45" t="str">
        <x:v>Sehr hoher Reha-Nutzen bei individuell anpassbaren Industriearbeitsplätzen; behindertengerechte Arbeitsplätze ausdrücklich ausgewiesen.</x:v>
      </x:c>
      <x:c r="R5" s="45" t="str">
        <x:v>MiniTec-Allee 1</x:v>
      </x:c>
      <x:c r="S5" s="45" t="str">
        <x:v>66901</x:v>
      </x:c>
      <x:c r="T5" s="45" t="str">
        <x:v>Schönenberg-Kübelberg</x:v>
      </x:c>
      <x:c r="U5" s="45" t="str">
        <x:v>Rheinland-Pfalz</x:v>
      </x:c>
      <x:c r="V5" s="45" t="str">
        <x:v>Deutschland</x:v>
      </x:c>
      <x:c r="W5" s="45" t="str">
        <x:v>+49 6373 8127-0</x:v>
      </x:c>
      <x:c r="X5" s="45" t="str">
        <x:v>info@minitec.de</x:v>
      </x:c>
      <x:c r="Y5" s="45" t="str">
        <x:v>https://www.minitec.de/produkte/arbeitsplatzsystem/behindertengerechter-arbeitsplatz</x:v>
      </x:c>
      <x:c r="Z5" s="82" t="n">
        <x:v>49.40292</x:v>
      </x:c>
      <x:c r="AA5" s="82" t="n">
        <x:v>7.35003</x:v>
      </x:c>
      <x:c r="AB5" s="45" t="str">
        <x:v>Adresse und numerische Standortkoordinate geprüft</x:v>
      </x:c>
      <x:c r="AC5" s="45" t="str">
        <x:v>Kartenpunkt – Koordinate geprüft</x:v>
      </x:c>
      <x:c r="AD5" s="45" t="str">
        <x:v>regional + projektbezogen überregional</x:v>
      </x:c>
      <x:c r="AE5" s="45" t="str">
        <x:v>https://www.minitec.de/unternehmen/standorte-weltweit</x:v>
      </x:c>
      <x:c r="AF5" s="45" t="str">
        <x:v>Mapcarta / Adressabgleich 2026-08-30</x:v>
      </x:c>
      <x:c r="AG5" s="45" t="str">
        <x:v>Hauptstandort verifiziert.</x:v>
      </x:c>
      <x:c r="AH5" s="83" t="str">
        <x:v>2026-08-30</x:v>
      </x:c>
      <x:c r="AI5" s="45" t="str">
        <x:f>IF(R5="","",R5&amp;", "&amp;S5&amp;" "&amp;T5&amp;", Deutschland")</x:f>
        <x:v>MiniTec-Allee 1, 66901 Schönenberg-Kübelberg, Deutschland</x:v>
      </x:c>
    </x:row>
    <x:row r="6">
      <x:c r="A6" s="45" t="str">
        <x:v>T-002</x:v>
      </x:c>
      <x:c r="B6" s="45" t="str">
        <x:v>T-002</x:v>
      </x:c>
      <x:c r="C6" s="45" t="str">
        <x:v>Ruck GmbH &amp; Co. KG / RUCK AluConnect</x:v>
      </x:c>
      <x:c r="D6" s="45" t="str">
        <x:v>Aufnehmen</x:v>
      </x:c>
      <x:c r="E6" s="45" t="str">
        <x:v>A+</x:v>
      </x:c>
      <x:c r="F6" s="45" t="str">
        <x:v>Technischer Umsetzer / Arbeitsplatzsystem</x:v>
      </x:c>
      <x:c r="G6" s="45" t="str">
        <x:v>Metall; Automotive; Maschinenbau; Montage/Produktion; Logistik</x:v>
      </x:c>
      <x:c r="H6" s="45" t="str">
        <x:v>Arm/Hand; Schulter; Rücken/Wirbelsäule; Bein/Stehen; reduzierte Kraft</x:v>
      </x:c>
      <x:c r="I6" s="45" t="str">
        <x:v>Montagehöhe; Materialbereitstellung; lange Greifwege; Verpacken; Verkettung</x:v>
      </x:c>
      <x:c r="J6" s="45" t="str">
        <x:v>Höhenverstellbarer Arbeitsplatz; Durchlaufregal; Materialbereitstellung; Bereitstellungswagen; Förder-/Verkettungstechnik</x:v>
      </x:c>
      <x:c r="K6" s="45" t="str">
        <x:v>Ja</x:v>
      </x:c>
      <x:c r="L6" s="45" t="str">
        <x:v>Ja</x:v>
      </x:c>
      <x:c r="M6" s="45" t="str">
        <x:v>Ja</x:v>
      </x:c>
      <x:c r="N6" s="45" t="str">
        <x:v>Ja</x:v>
      </x:c>
      <x:c r="O6" s="45" t="str">
        <x:v>teilweise/projektbezogen</x:v>
      </x:c>
      <x:c r="P6" s="45" t="str">
        <x:v>nicht spezifisch belegt</x:v>
      </x:c>
      <x:c r="Q6" s="45" t="str">
        <x:v>Bestehende Konstruktionen können um- und weitergebaut werden; sehr gut für individualisierte Montageplätze.</x:v>
      </x:c>
      <x:c r="R6" s="45" t="str">
        <x:v>Kelterstraße 43</x:v>
      </x:c>
      <x:c r="S6" s="45" t="str">
        <x:v>72669</x:v>
      </x:c>
      <x:c r="T6" s="45" t="str">
        <x:v>Unterensingen</x:v>
      </x:c>
      <x:c r="U6" s="45" t="str">
        <x:v>Baden-Württemberg</x:v>
      </x:c>
      <x:c r="V6" s="45" t="str">
        <x:v>Deutschland</x:v>
      </x:c>
      <x:c r="W6" s="45" t="str">
        <x:v>+49 7022 67618</x:v>
      </x:c>
      <x:c r="X6" s="45" t="str">
        <x:v>info@ruck.de</x:v>
      </x:c>
      <x:c r="Y6" s="45" t="str">
        <x:v>https://alu-connect.de/index.php/produkte/arbeitsplatzsysteme/montagearbeitsplaetze</x:v>
      </x:c>
      <x:c r="Z6" s="82"/>
      <x:c r="AA6" s="82"/>
      <x:c r="AB6" s="45" t="str">
        <x:v>Adresse/Kontakt geprüft; numerische Hauskoordinate noch nicht separat verifiziert</x:v>
      </x:c>
      <x:c r="AC6" s="45" t="str">
        <x:v>Kartenpunkt – Adresse geprüft</x:v>
      </x:c>
      <x:c r="AD6" s="45" t="str">
        <x:v>regional + projektbezogen überregional</x:v>
      </x:c>
      <x:c r="AE6" s="45" t="str">
        <x:v>https://alu-connect.de/</x:v>
      </x:c>
      <x:c r="AF6" s="45" t="str"/>
      <x:c r="AG6" s="45" t="str">
        <x:v>Standort/Kontakt verifiziert.</x:v>
      </x:c>
      <x:c r="AH6" s="83" t="str">
        <x:v>2026-08-30</x:v>
      </x:c>
      <x:c r="AI6" s="45" t="str">
        <x:f>IF(R6="","",R6&amp;", "&amp;S6&amp;" "&amp;T6&amp;", Deutschland")</x:f>
        <x:v>Kelterstraße 43, 72669 Unterensingen, Deutschland</x:v>
      </x:c>
    </x:row>
    <x:row r="7">
      <x:c r="A7" s="45" t="str">
        <x:v>T-003</x:v>
      </x:c>
      <x:c r="B7" s="45" t="str">
        <x:v>T-003</x:v>
      </x:c>
      <x:c r="C7" s="45" t="str">
        <x:v>J. Schmalz GmbH</x:v>
      </x:c>
      <x:c r="D7" s="45" t="str">
        <x:v>Aufnehmen</x:v>
      </x:c>
      <x:c r="E7" s="45" t="str">
        <x:v>A+</x:v>
      </x:c>
      <x:c r="F7" s="45" t="str">
        <x:v>Technischer Umsetzer / Handhabungstechnik</x:v>
      </x:c>
      <x:c r="G7" s="45" t="str">
        <x:v>Holz; Metall; Automotive; Maschinenbau; Logistik; Montage/Produktion</x:v>
      </x:c>
      <x:c r="H7" s="45" t="str">
        <x:v>Arm/Hand; Schulter; Rücken/Wirbelsäule; reduzierte Kraft; Greifdefizit</x:v>
      </x:c>
      <x:c r="I7" s="45" t="str">
        <x:v>Heben/Tragen; Wenden/Positionieren; Maschinenbeschickung; Plattenhandling; schwere Werkstücke</x:v>
      </x:c>
      <x:c r="J7" s="45" t="str">
        <x:v>Vakuumheber; Kran-/Hebetechnik; Greiftechnik; Maschinenbeschickung; Nachrüstung CNC/Arbeitsplatz</x:v>
      </x:c>
      <x:c r="K7" s="45" t="str">
        <x:v>Ja</x:v>
      </x:c>
      <x:c r="L7" s="45" t="str">
        <x:v>Ja</x:v>
      </x:c>
      <x:c r="M7" s="45" t="str">
        <x:v>Ja</x:v>
      </x:c>
      <x:c r="N7" s="45" t="str">
        <x:v>Ja</x:v>
      </x:c>
      <x:c r="O7" s="45" t="str">
        <x:v>teilweise/projektbezogen</x:v>
      </x:c>
      <x:c r="P7" s="45" t="str">
        <x:v>nicht spezifisch belegt</x:v>
      </x:c>
      <x:c r="Q7" s="45" t="str">
        <x:v>A+ für Holz/Schreinerei und Metall; besonders CNC-/Plattenhandling, Heben und Wenden.</x:v>
      </x:c>
      <x:c r="R7" s="45" t="str">
        <x:v>Aacher Straße 29</x:v>
      </x:c>
      <x:c r="S7" s="45" t="str">
        <x:v>72293</x:v>
      </x:c>
      <x:c r="T7" s="45" t="str">
        <x:v>Glatten</x:v>
      </x:c>
      <x:c r="U7" s="45" t="str">
        <x:v>Baden-Württemberg</x:v>
      </x:c>
      <x:c r="V7" s="45" t="str">
        <x:v>Deutschland</x:v>
      </x:c>
      <x:c r="W7" s="45" t="str">
        <x:v>+49 7443 2403-0</x:v>
      </x:c>
      <x:c r="X7" s="45" t="str">
        <x:v>schmalz@schmalz.de</x:v>
      </x:c>
      <x:c r="Y7" s="45" t="str">
        <x:v>https://www.schmalz.com/de-de/loesungen/branchen-und-anwendungen/holz</x:v>
      </x:c>
      <x:c r="Z7" s="82"/>
      <x:c r="AA7" s="82"/>
      <x:c r="AB7" s="45" t="str">
        <x:v>Adresse/Kontakt geprüft; numerische Hauskoordinate noch nicht separat verifiziert</x:v>
      </x:c>
      <x:c r="AC7" s="45" t="str">
        <x:v>Kartenpunkt – Adresse geprüft</x:v>
      </x:c>
      <x:c r="AD7" s="45" t="str">
        <x:v>regional + projektbezogen überregional</x:v>
      </x:c>
      <x:c r="AE7" s="45" t="str">
        <x:v>https://www.schmalz.com/de-de/unternehmen/kontakt</x:v>
      </x:c>
      <x:c r="AF7" s="45" t="str"/>
      <x:c r="AG7" s="45" t="str">
        <x:v>Für Navigation nennt Schmalz Aacher Straße 29; Firmensitz Johannes-Schmalz-Straße 1.</x:v>
      </x:c>
      <x:c r="AH7" s="83" t="str">
        <x:v>2026-08-30</x:v>
      </x:c>
      <x:c r="AI7" s="45" t="str">
        <x:f>IF(R7="","",R7&amp;", "&amp;S7&amp;" "&amp;T7&amp;", Deutschland")</x:f>
        <x:v>Aacher Straße 29, 72293 Glatten, Deutschland</x:v>
      </x:c>
    </x:row>
    <x:row r="8">
      <x:c r="A8" s="45" t="str">
        <x:v>T-004</x:v>
      </x:c>
      <x:c r="B8" s="45" t="str">
        <x:v>T-004</x:v>
      </x:c>
      <x:c r="C8" s="45" t="str">
        <x:v>Albert Fezer Maschinenfabrik GmbH</x:v>
      </x:c>
      <x:c r="D8" s="45" t="str">
        <x:v>Aufnehmen</x:v>
      </x:c>
      <x:c r="E8" s="45" t="str">
        <x:v>A+</x:v>
      </x:c>
      <x:c r="F8" s="45" t="str">
        <x:v>Technischer Umsetzer / Handhabungstechnik</x:v>
      </x:c>
      <x:c r="G8" s="45" t="str">
        <x:v>Metall; Holz; Automotive; Maschinenbau; Montage/Produktion</x:v>
      </x:c>
      <x:c r="H8" s="45" t="str">
        <x:v>Arm/Hand; Schulter; Rücken/Wirbelsäule; reduzierte Kraft; Greifdefizit</x:v>
      </x:c>
      <x:c r="I8" s="45" t="str">
        <x:v>Heben/Tragen; Wenden/Positionieren; Maschinenbeschickung; schwere/sperrige Werkstücke</x:v>
      </x:c>
      <x:c r="J8" s="45" t="str">
        <x:v>Vakuumheber; Schlauchheber; Krananlage; individuelle Greifer; Handhabungssystem</x:v>
      </x:c>
      <x:c r="K8" s="45" t="str">
        <x:v>Ja</x:v>
      </x:c>
      <x:c r="L8" s="45" t="str">
        <x:v>Ja</x:v>
      </x:c>
      <x:c r="M8" s="45" t="str">
        <x:v>Ja</x:v>
      </x:c>
      <x:c r="N8" s="45" t="str">
        <x:v>Ja</x:v>
      </x:c>
      <x:c r="O8" s="45" t="str">
        <x:v>teilweise/projektbezogen</x:v>
      </x:c>
      <x:c r="P8" s="45" t="str">
        <x:v>nicht spezifisch belegt</x:v>
      </x:c>
      <x:c r="Q8" s="45" t="str">
        <x:v>Vor-Ort-Beratung und kundenspezifische Lösungen; gut für Blech, Holz, Rohre, Behälter und CNC-Beschickung.</x:v>
      </x:c>
      <x:c r="R8" s="45" t="str">
        <x:v>In den Weiden 26</x:v>
      </x:c>
      <x:c r="S8" s="45" t="str">
        <x:v>73776</x:v>
      </x:c>
      <x:c r="T8" s="45" t="str">
        <x:v>Altbach</x:v>
      </x:c>
      <x:c r="U8" s="45" t="str">
        <x:v>Baden-Württemberg</x:v>
      </x:c>
      <x:c r="V8" s="45" t="str">
        <x:v>Deutschland</x:v>
      </x:c>
      <x:c r="W8" s="45" t="str">
        <x:v>+49 7153 61316-0</x:v>
      </x:c>
      <x:c r="X8" s="45" t="str">
        <x:v>kontakt@fezer.com</x:v>
      </x:c>
      <x:c r="Y8" s="45" t="str">
        <x:v>https://www.fezer.com/de/home</x:v>
      </x:c>
      <x:c r="Z8" s="82" t="n">
        <x:v>48.722629</x:v>
      </x:c>
      <x:c r="AA8" s="82" t="n">
        <x:v>9.374738</x:v>
      </x:c>
      <x:c r="AB8" s="45" t="str">
        <x:v>Adresse und numerische Standortkoordinate geprüft</x:v>
      </x:c>
      <x:c r="AC8" s="45" t="str">
        <x:v>Kartenpunkt – Koordinate geprüft</x:v>
      </x:c>
      <x:c r="AD8" s="45" t="str">
        <x:v>regional + projektbezogen überregional</x:v>
      </x:c>
      <x:c r="AE8" s="45" t="str">
        <x:v>https://www.fezer.com/de/home</x:v>
      </x:c>
      <x:c r="AF8" s="45" t="str">
        <x:v>Adressbezogene Web-Geoprüfung 2026-08-30</x:v>
      </x:c>
      <x:c r="AG8" s="45" t="str">
        <x:v>Standort verifiziert.</x:v>
      </x:c>
      <x:c r="AH8" s="83" t="str">
        <x:v>2026-08-30</x:v>
      </x:c>
      <x:c r="AI8" s="45" t="str">
        <x:f>IF(R8="","",R8&amp;", "&amp;S8&amp;" "&amp;T8&amp;", Deutschland")</x:f>
        <x:v>In den Weiden 26, 73776 Altbach, Deutschland</x:v>
      </x:c>
    </x:row>
    <x:row r="9">
      <x:c r="A9" s="45" t="str">
        <x:v>T-005</x:v>
      </x:c>
      <x:c r="B9" s="45" t="str">
        <x:v>T-005</x:v>
      </x:c>
      <x:c r="C9" s="45" t="str">
        <x:v>AERO-LIFT Vakuumtechnik GmbH</x:v>
      </x:c>
      <x:c r="D9" s="45" t="str">
        <x:v>Aufnehmen</x:v>
      </x:c>
      <x:c r="E9" s="45" t="str">
        <x:v>A+</x:v>
      </x:c>
      <x:c r="F9" s="45" t="str">
        <x:v>Technischer Umsetzer / Vakuumhandling</x:v>
      </x:c>
      <x:c r="G9" s="45" t="str">
        <x:v>Holz; Metall; Montage/Produktion; Logistik</x:v>
      </x:c>
      <x:c r="H9" s="45" t="str">
        <x:v>Arm/Hand; Schulter; Rücken/Wirbelsäule; reduzierte Kraft; Greifdefizit</x:v>
      </x:c>
      <x:c r="I9" s="45" t="str">
        <x:v>Heben/Tragen; Plattenhandling; Wenden/Schwenken; Maschinenbeschickung</x:v>
      </x:c>
      <x:c r="J9" s="45" t="str">
        <x:v>Vakuumheber; Schlauchheber; Greiftechnik; Wenden/Schwenken; Sonderlösung</x:v>
      </x:c>
      <x:c r="K9" s="45" t="str">
        <x:v>Ja</x:v>
      </x:c>
      <x:c r="L9" s="45" t="str">
        <x:v>Ja</x:v>
      </x:c>
      <x:c r="M9" s="45" t="str">
        <x:v>Ja</x:v>
      </x:c>
      <x:c r="N9" s="45" t="str">
        <x:v>Ja</x:v>
      </x:c>
      <x:c r="O9" s="45" t="str">
        <x:v>teilweise/projektbezogen</x:v>
      </x:c>
      <x:c r="P9" s="45" t="str">
        <x:v>nicht spezifisch belegt</x:v>
      </x:c>
      <x:c r="Q9" s="45" t="str">
        <x:v>Sehr relevant für Schreinerei/Holzverarbeitung und Metallplatten; kundenspezifische Systeme.</x:v>
      </x:c>
      <x:c r="R9" s="45" t="str">
        <x:v>Turmstraße 1</x:v>
      </x:c>
      <x:c r="S9" s="45" t="str">
        <x:v>72351</x:v>
      </x:c>
      <x:c r="T9" s="45" t="str">
        <x:v>Geislingen-Binsdorf</x:v>
      </x:c>
      <x:c r="U9" s="45" t="str">
        <x:v>Baden-Württemberg</x:v>
      </x:c>
      <x:c r="V9" s="45" t="str">
        <x:v>Deutschland</x:v>
      </x:c>
      <x:c r="W9" s="45" t="str">
        <x:v>+49 7428 94514-0</x:v>
      </x:c>
      <x:c r="X9" s="45" t="str">
        <x:v>info@aero-lift.de</x:v>
      </x:c>
      <x:c r="Y9" s="45" t="str">
        <x:v>https://www.aero-lift.de/produkte/</x:v>
      </x:c>
      <x:c r="Z9" s="82"/>
      <x:c r="AA9" s="82"/>
      <x:c r="AB9" s="45" t="str">
        <x:v>Adresse/Kontakt geprüft; numerische Hauskoordinate noch nicht separat verifiziert</x:v>
      </x:c>
      <x:c r="AC9" s="45" t="str">
        <x:v>Kartenpunkt – Adresse geprüft</x:v>
      </x:c>
      <x:c r="AD9" s="45" t="str">
        <x:v>regional + projektbezogen überregional</x:v>
      </x:c>
      <x:c r="AE9" s="45" t="str">
        <x:v>https://www.aero-lift.de/</x:v>
      </x:c>
      <x:c r="AF9" s="45" t="str"/>
      <x:c r="AG9" s="45" t="str">
        <x:v>Standort und Zentrale verifiziert.</x:v>
      </x:c>
      <x:c r="AH9" s="83" t="str">
        <x:v>2026-08-30</x:v>
      </x:c>
      <x:c r="AI9" s="45" t="str">
        <x:f>IF(R9="","",R9&amp;", "&amp;S9&amp;" "&amp;T9&amp;", Deutschland")</x:f>
        <x:v>Turmstraße 1, 72351 Geislingen-Binsdorf, Deutschland</x:v>
      </x:c>
    </x:row>
    <x:row r="10">
      <x:c r="A10" s="45" t="str">
        <x:v>T-006</x:v>
      </x:c>
      <x:c r="B10" s="45" t="str">
        <x:v>T-006</x:v>
      </x:c>
      <x:c r="C10" s="45" t="str">
        <x:v>ims Handhabungstechnik GmbH</x:v>
      </x:c>
      <x:c r="D10" s="45" t="str">
        <x:v>Aufnehmen</x:v>
      </x:c>
      <x:c r="E10" s="45" t="str">
        <x:v>A+</x:v>
      </x:c>
      <x:c r="F10" s="45" t="str">
        <x:v>Technischer Umsetzer / Arbeitsplatz- &amp; Hebetechnik</x:v>
      </x:c>
      <x:c r="G10" s="45" t="str">
        <x:v>Metall; Automotive; Maschinenbau; Montage/Produktion</x:v>
      </x:c>
      <x:c r="H10" s="45" t="str">
        <x:v>Arm/Hand; Schulter; Rücken/Wirbelsäule; Bein/Stehen; reduzierte Kraft</x:v>
      </x:c>
      <x:c r="I10" s="45" t="str">
        <x:v>Montagehöhe; Heben/Senken; Wenden/Positionieren; körperliche Belastung</x:v>
      </x:c>
      <x:c r="J10" s="45" t="str">
        <x:v>Höhenverstellbarer Montagetisch; Scherenhubtisch; Handhabungstechnik; Sonderkonstruktion</x:v>
      </x:c>
      <x:c r="K10" s="45" t="str">
        <x:v>Ja</x:v>
      </x:c>
      <x:c r="L10" s="45" t="str">
        <x:v>Ja</x:v>
      </x:c>
      <x:c r="M10" s="45" t="str">
        <x:v>Ja</x:v>
      </x:c>
      <x:c r="N10" s="45" t="str">
        <x:v>Ja</x:v>
      </x:c>
      <x:c r="O10" s="45" t="str">
        <x:v>teilweise/projektbezogen</x:v>
      </x:c>
      <x:c r="P10" s="45" t="str">
        <x:v>nicht spezifisch belegt</x:v>
      </x:c>
      <x:c r="Q10" s="45" t="str">
        <x:v>Regional sehr guter Kandidat für individuelle Arbeits-/Montagetische und Hubtechnik.</x:v>
      </x:c>
      <x:c r="R10" s="45" t="str">
        <x:v>Langenmorgen 2/1</x:v>
      </x:c>
      <x:c r="S10" s="45" t="str">
        <x:v>75015</x:v>
      </x:c>
      <x:c r="T10" s="45" t="str">
        <x:v>Bretten</x:v>
      </x:c>
      <x:c r="U10" s="45" t="str">
        <x:v>Baden-Württemberg</x:v>
      </x:c>
      <x:c r="V10" s="45" t="str">
        <x:v>Deutschland</x:v>
      </x:c>
      <x:c r="W10" s="45" t="str">
        <x:v>+49 7252 96661-0</x:v>
      </x:c>
      <x:c r="X10" s="45" t="str">
        <x:v>info@ims-tec.de</x:v>
      </x:c>
      <x:c r="Y10" s="45" t="str">
        <x:v>https://ims-tec.de/</x:v>
      </x:c>
      <x:c r="Z10" s="82"/>
      <x:c r="AA10" s="82"/>
      <x:c r="AB10" s="45" t="str">
        <x:v>Adresse/Kontakt geprüft; numerische Hauskoordinate noch nicht separat verifiziert</x:v>
      </x:c>
      <x:c r="AC10" s="45" t="str">
        <x:v>Kartenpunkt – Adresse geprüft</x:v>
      </x:c>
      <x:c r="AD10" s="45" t="str">
        <x:v>regional + projektbezogen überregional</x:v>
      </x:c>
      <x:c r="AE10" s="45" t="str">
        <x:v>https://ims-tec.de/</x:v>
      </x:c>
      <x:c r="AF10" s="45" t="str"/>
      <x:c r="AG10" s="45" t="str">
        <x:v>Aktuelle Firmenadresse. Alte Verzeichnisadresse Pforzheimer Str. 46 ausdrücklich verworfen.</x:v>
      </x:c>
      <x:c r="AH10" s="83" t="str">
        <x:v>2026-08-30</x:v>
      </x:c>
      <x:c r="AI10" s="45" t="str">
        <x:f>IF(R10="","",R10&amp;", "&amp;S10&amp;" "&amp;T10&amp;", Deutschland")</x:f>
        <x:v>Langenmorgen 2/1, 75015 Bretten, Deutschland</x:v>
      </x:c>
    </x:row>
    <x:row r="11">
      <x:c r="A11" s="45" t="str">
        <x:v>T-007</x:v>
      </x:c>
      <x:c r="B11" s="45" t="str">
        <x:v>T-007</x:v>
      </x:c>
      <x:c r="C11" s="45" t="str">
        <x:v>sachs products GmbH</x:v>
      </x:c>
      <x:c r="D11" s="45" t="str">
        <x:v>Aufnehmen</x:v>
      </x:c>
      <x:c r="E11" s="45" t="str">
        <x:v>A+</x:v>
      </x:c>
      <x:c r="F11" s="45" t="str">
        <x:v>Technischer Umsetzer / Manipulatoren</x:v>
      </x:c>
      <x:c r="G11" s="45" t="str">
        <x:v>Automotive; Metall; Maschinenbau; Montage/Produktion; Logistik</x:v>
      </x:c>
      <x:c r="H11" s="45" t="str">
        <x:v>Arm/Hand; Schulter; Rücken/Wirbelsäule; reduzierte Kraft; Greifdefizit</x:v>
      </x:c>
      <x:c r="I11" s="45" t="str">
        <x:v>Heben/Tragen; Wenden/Positionieren; Maschinenbeschickung; schwere Werkstücke</x:v>
      </x:c>
      <x:c r="J11" s="45" t="str">
        <x:v>Manipulator; Balancer; Greifer; Maschinenbeschickung; Positionierhilfe</x:v>
      </x:c>
      <x:c r="K11" s="45" t="str">
        <x:v>Ja</x:v>
      </x:c>
      <x:c r="L11" s="45" t="str">
        <x:v>Ja</x:v>
      </x:c>
      <x:c r="M11" s="45" t="str">
        <x:v>Ja</x:v>
      </x:c>
      <x:c r="N11" s="45" t="str">
        <x:v>Ja</x:v>
      </x:c>
      <x:c r="O11" s="45" t="str">
        <x:v>teilweise/projektbezogen</x:v>
      </x:c>
      <x:c r="P11" s="45" t="str">
        <x:v>nicht spezifisch belegt</x:v>
      </x:c>
      <x:c r="Q11" s="45" t="str">
        <x:v>Handgeführte Manipulatoren für Logistik, Montage und Produktion; sehr geeignet bei Kraft-/Schulter-/Rückenproblemen.</x:v>
      </x:c>
      <x:c r="R11" s="45" t="str">
        <x:v>Robert-Bosch-Straße 1</x:v>
      </x:c>
      <x:c r="S11" s="45" t="str">
        <x:v>78234</x:v>
      </x:c>
      <x:c r="T11" s="45" t="str">
        <x:v>Engen</x:v>
      </x:c>
      <x:c r="U11" s="45" t="str">
        <x:v>Baden-Württemberg</x:v>
      </x:c>
      <x:c r="V11" s="45" t="str">
        <x:v>Deutschland</x:v>
      </x:c>
      <x:c r="W11" s="45" t="str">
        <x:v>+49 7733 50399-10</x:v>
      </x:c>
      <x:c r="X11" s="45" t="str">
        <x:v>vertrieb@sachs-handling.de</x:v>
      </x:c>
      <x:c r="Y11" s="45" t="str">
        <x:v>https://www.sachs-products.de/</x:v>
      </x:c>
      <x:c r="Z11" s="82"/>
      <x:c r="AA11" s="82"/>
      <x:c r="AB11" s="45" t="str">
        <x:v>Adresse/Kontakt geprüft; numerische Hauskoordinate noch nicht separat verifiziert</x:v>
      </x:c>
      <x:c r="AC11" s="45" t="str">
        <x:v>Kartenpunkt – Adresse geprüft</x:v>
      </x:c>
      <x:c r="AD11" s="45" t="str">
        <x:v>regional + projektbezogen überregional</x:v>
      </x:c>
      <x:c r="AE11" s="45" t="str">
        <x:v>https://www.sachs-products.de/</x:v>
      </x:c>
      <x:c r="AF11" s="45" t="str"/>
      <x:c r="AG11" s="45" t="str">
        <x:v>Standort verifiziert; Handling-Vertrieb als Fachkontakt.</x:v>
      </x:c>
      <x:c r="AH11" s="83" t="str">
        <x:v>2026-08-30</x:v>
      </x:c>
      <x:c r="AI11" s="45" t="str">
        <x:f>IF(R11="","",R11&amp;", "&amp;S11&amp;" "&amp;T11&amp;", Deutschland")</x:f>
        <x:v>Robert-Bosch-Straße 1, 78234 Engen, Deutschland</x:v>
      </x:c>
    </x:row>
    <x:row r="12">
      <x:c r="A12" s="45" t="str">
        <x:v>T-008</x:v>
      </x:c>
      <x:c r="B12" s="45" t="str">
        <x:v>T-008</x:v>
      </x:c>
      <x:c r="C12" s="45" t="str">
        <x:v>Scaglia INDEVA GmbH</x:v>
      </x:c>
      <x:c r="D12" s="45" t="str">
        <x:v>Aufnehmen</x:v>
      </x:c>
      <x:c r="E12" s="45" t="str">
        <x:v>A+</x:v>
      </x:c>
      <x:c r="F12" s="45" t="str">
        <x:v>Technischer Umsetzer / Manipulatoren</x:v>
      </x:c>
      <x:c r="G12" s="45" t="str">
        <x:v>Automotive; Metall; Maschinenbau; Holz; Montage/Produktion</x:v>
      </x:c>
      <x:c r="H12" s="45" t="str">
        <x:v>Arm/Hand; Schulter; Rücken/Wirbelsäule; reduzierte Kraft</x:v>
      </x:c>
      <x:c r="I12" s="45" t="str">
        <x:v>Heben/Tragen; Wenden/Kippen; Positionieren; Maschinen-/Montagebeschickung</x:v>
      </x:c>
      <x:c r="J12" s="45" t="str">
        <x:v>Manipulator; Greifer; Balancer; Positionierhilfe; Holzplattenhandling</x:v>
      </x:c>
      <x:c r="K12" s="45" t="str">
        <x:v>Ja</x:v>
      </x:c>
      <x:c r="L12" s="45" t="str">
        <x:v>Ja</x:v>
      </x:c>
      <x:c r="M12" s="45" t="str">
        <x:v>Ja</x:v>
      </x:c>
      <x:c r="N12" s="45" t="str">
        <x:v>Ja</x:v>
      </x:c>
      <x:c r="O12" s="45" t="str">
        <x:v>teilweise/projektbezogen</x:v>
      </x:c>
      <x:c r="P12" s="45" t="str">
        <x:v>nicht spezifisch belegt</x:v>
      </x:c>
      <x:c r="Q12" s="45" t="str">
        <x:v>Deutscher Standort mit Beratung, Installation, Wartung und Showroom; sehr passend für Automotive und Montage.</x:v>
      </x:c>
      <x:c r="R12" s="45" t="str">
        <x:v>Esslinger Straße 26</x:v>
      </x:c>
      <x:c r="S12" s="45" t="str">
        <x:v>73249</x:v>
      </x:c>
      <x:c r="T12" s="45" t="str">
        <x:v>Wernau (Neckar)</x:v>
      </x:c>
      <x:c r="U12" s="45" t="str">
        <x:v>Baden-Württemberg</x:v>
      </x:c>
      <x:c r="V12" s="45" t="str">
        <x:v>Deutschland</x:v>
      </x:c>
      <x:c r="W12" s="45" t="str">
        <x:v>+49 7153 55049-0</x:v>
      </x:c>
      <x:c r="X12" s="45" t="str">
        <x:v>info@de.indevagroup.com</x:v>
      </x:c>
      <x:c r="Y12" s="45" t="str">
        <x:v>https://www.indevagroup.de/indeva-in-deutschland/</x:v>
      </x:c>
      <x:c r="Z12" s="82" t="n">
        <x:v>48.70036</x:v>
      </x:c>
      <x:c r="AA12" s="82" t="n">
        <x:v>9.41589</x:v>
      </x:c>
      <x:c r="AB12" s="45" t="str">
        <x:v>Adresse und numerische Standortkoordinate geprüft</x:v>
      </x:c>
      <x:c r="AC12" s="45" t="str">
        <x:v>Kartenpunkt – Koordinate geprüft</x:v>
      </x:c>
      <x:c r="AD12" s="45" t="str">
        <x:v>regional + projektbezogen überregional</x:v>
      </x:c>
      <x:c r="AE12" s="45" t="str">
        <x:v>https://www.indevagroup.de/indeva-in-deutschland/</x:v>
      </x:c>
      <x:c r="AF12" s="45" t="str">
        <x:v>Mapcarta / Adressabgleich 2026-08-30</x:v>
      </x:c>
      <x:c r="AG12" s="45" t="str">
        <x:v>Standort verifiziert.</x:v>
      </x:c>
      <x:c r="AH12" s="83" t="str">
        <x:v>2026-08-30</x:v>
      </x:c>
      <x:c r="AI12" s="45" t="str">
        <x:f>IF(R12="","",R12&amp;", "&amp;S12&amp;" "&amp;T12&amp;", Deutschland")</x:f>
        <x:v>Esslinger Straße 26, 73249 Wernau (Neckar), Deutschland</x:v>
      </x:c>
    </x:row>
    <x:row r="13">
      <x:c r="A13" s="45" t="str">
        <x:v>T-009</x:v>
      </x:c>
      <x:c r="B13" s="45" t="str">
        <x:v>T-009</x:v>
      </x:c>
      <x:c r="C13" s="45" t="str">
        <x:v>ZASCHE handling GmbH</x:v>
      </x:c>
      <x:c r="D13" s="45" t="str">
        <x:v>Aufnehmen</x:v>
      </x:c>
      <x:c r="E13" s="45" t="str">
        <x:v>A+</x:v>
      </x:c>
      <x:c r="F13" s="45" t="str">
        <x:v>Technischer Umsetzer / Manipulatoren</x:v>
      </x:c>
      <x:c r="G13" s="45" t="str">
        <x:v>Automotive; Metall; Maschinenbau; Holz/Möbel; Montage/Produktion</x:v>
      </x:c>
      <x:c r="H13" s="45" t="str">
        <x:v>Arm/Hand; Schulter; Rücken/Wirbelsäule; reduzierte Kraft</x:v>
      </x:c>
      <x:c r="I13" s="45" t="str">
        <x:v>Heben/Tragen; schwere/sperrige Werkstücke; Be-/Entladen Bearbeitungszentrum; Positionieren</x:v>
      </x:c>
      <x:c r="J13" s="45" t="str">
        <x:v>Manipulator; Seilbalancer; Parallelogrammgerät; E-Balancer; Sondergreifer</x:v>
      </x:c>
      <x:c r="K13" s="45" t="str">
        <x:v>Ja</x:v>
      </x:c>
      <x:c r="L13" s="45" t="str">
        <x:v>Ja</x:v>
      </x:c>
      <x:c r="M13" s="45" t="str">
        <x:v>Ja</x:v>
      </x:c>
      <x:c r="N13" s="45" t="str">
        <x:v>Ja</x:v>
      </x:c>
      <x:c r="O13" s="45" t="str">
        <x:v>teilweise/projektbezogen</x:v>
      </x:c>
      <x:c r="P13" s="45" t="str">
        <x:v>nicht spezifisch belegt</x:v>
      </x:c>
      <x:c r="Q13" s="45" t="str">
        <x:v>Ergonomische Unterstützung für Industrie ausdrücklich ausgewiesen; sehr breites Branchenspektrum.</x:v>
      </x:c>
      <x:c r="R13" s="45" t="str">
        <x:v>Markham Straße 13</x:v>
      </x:c>
      <x:c r="S13" s="45" t="str">
        <x:v>86720</x:v>
      </x:c>
      <x:c r="T13" s="45" t="str">
        <x:v>Nördlingen</x:v>
      </x:c>
      <x:c r="U13" s="45" t="str">
        <x:v>Bayern</x:v>
      </x:c>
      <x:c r="V13" s="45" t="str">
        <x:v>Deutschland</x:v>
      </x:c>
      <x:c r="W13" s="45" t="str">
        <x:v>+49 9081 8017-0</x:v>
      </x:c>
      <x:c r="X13" s="45" t="str">
        <x:v>info@zasche.de</x:v>
      </x:c>
      <x:c r="Y13" s="45" t="str">
        <x:v>https://www.zasche.de/smart-handling</x:v>
      </x:c>
      <x:c r="Z13" s="82"/>
      <x:c r="AA13" s="82"/>
      <x:c r="AB13" s="45" t="str">
        <x:v>Adresse/Kontakt geprüft; numerische Hauskoordinate noch nicht separat verifiziert</x:v>
      </x:c>
      <x:c r="AC13" s="45" t="str">
        <x:v>Kartenpunkt – Adresse geprüft</x:v>
      </x:c>
      <x:c r="AD13" s="45" t="str">
        <x:v>regional + projektbezogen überregional</x:v>
      </x:c>
      <x:c r="AE13" s="45" t="str">
        <x:v>https://www.zasche.de/</x:v>
      </x:c>
      <x:c r="AF13" s="45" t="str"/>
      <x:c r="AG13" s="45" t="str">
        <x:v>Aktuelle Adresse verifiziert; frühere Gewerbestraße nicht verwenden.</x:v>
      </x:c>
      <x:c r="AH13" s="83" t="str">
        <x:v>2026-08-30</x:v>
      </x:c>
      <x:c r="AI13" s="45" t="str">
        <x:f>IF(R13="","",R13&amp;", "&amp;S13&amp;" "&amp;T13&amp;", Deutschland")</x:f>
        <x:v>Markham Straße 13, 86720 Nördlingen, Deutschland</x:v>
      </x:c>
    </x:row>
    <x:row r="14">
      <x:c r="A14" s="45" t="str">
        <x:v>T-010</x:v>
      </x:c>
      <x:c r="B14" s="45" t="str">
        <x:v>T-010</x:v>
      </x:c>
      <x:c r="C14" s="45" t="str">
        <x:v>EXPRESSO Deutschland GmbH &amp; Co. KG</x:v>
      </x:c>
      <x:c r="D14" s="45" t="str">
        <x:v>Aufnehmen</x:v>
      </x:c>
      <x:c r="E14" s="45" t="str">
        <x:v>A+</x:v>
      </x:c>
      <x:c r="F14" s="45" t="str">
        <x:v>Technischer Umsetzer / Balancer &amp; Greifer</x:v>
      </x:c>
      <x:c r="G14" s="45" t="str">
        <x:v>Automotive; Metall; Maschinenbau; Montage/Produktion; Logistik</x:v>
      </x:c>
      <x:c r="H14" s="45" t="str">
        <x:v>Arm/Hand; Schulter; Rücken/Wirbelsäule; reduzierte Kraft; Greifdefizit</x:v>
      </x:c>
      <x:c r="I14" s="45" t="str">
        <x:v>Heben/Tragen; Wenden/Positionieren; schwere Bauteile; Materialhandling</x:v>
      </x:c>
      <x:c r="J14" s="45" t="str">
        <x:v>Balancer; Hebehilfe; mechanischer/vakuum/pneumatischer Greifer; Sonderlösung</x:v>
      </x:c>
      <x:c r="K14" s="45" t="str">
        <x:v>Ja</x:v>
      </x:c>
      <x:c r="L14" s="45" t="str">
        <x:v>Ja</x:v>
      </x:c>
      <x:c r="M14" s="45" t="str">
        <x:v>Ja</x:v>
      </x:c>
      <x:c r="N14" s="45" t="str">
        <x:v>Ja</x:v>
      </x:c>
      <x:c r="O14" s="45" t="str">
        <x:v>teilweise/projektbezogen</x:v>
      </x:c>
      <x:c r="P14" s="45" t="str">
        <x:v>nicht spezifisch belegt</x:v>
      </x:c>
      <x:c r="Q14" s="45" t="str">
        <x:v>Vor-Ort-Hantierungsanalyse und kundenspezifische Greifer/Balancer; überregional relevant.</x:v>
      </x:c>
      <x:c r="R14" s="45" t="str">
        <x:v>Antonius-Raab-Straße 19</x:v>
      </x:c>
      <x:c r="S14" s="45" t="str">
        <x:v>34123</x:v>
      </x:c>
      <x:c r="T14" s="45" t="str">
        <x:v>Kassel</x:v>
      </x:c>
      <x:c r="U14" s="45" t="str">
        <x:v>Hessen</x:v>
      </x:c>
      <x:c r="V14" s="45" t="str">
        <x:v>Deutschland</x:v>
      </x:c>
      <x:c r="W14" s="45" t="str">
        <x:v>+49 561 9591-0</x:v>
      </x:c>
      <x:c r="X14" s="45" t="str">
        <x:v>info@expresso.de</x:v>
      </x:c>
      <x:c r="Y14" s="45" t="str">
        <x:v>https://www.expresso.de/</x:v>
      </x:c>
      <x:c r="Z14" s="82"/>
      <x:c r="AA14" s="82"/>
      <x:c r="AB14" s="45" t="str">
        <x:v>Adresse/Kontakt geprüft; numerische Hauskoordinate noch nicht separat verifiziert</x:v>
      </x:c>
      <x:c r="AC14" s="45" t="str">
        <x:v>Kartenpunkt – Adresse geprüft</x:v>
      </x:c>
      <x:c r="AD14" s="45" t="str">
        <x:v>regional + projektbezogen überregional</x:v>
      </x:c>
      <x:c r="AE14" s="45" t="str">
        <x:v>https://www.expresso.de/</x:v>
      </x:c>
      <x:c r="AF14" s="45" t="str"/>
      <x:c r="AG14" s="45" t="str">
        <x:v>Standort verifiziert.</x:v>
      </x:c>
      <x:c r="AH14" s="83" t="str">
        <x:v>2026-08-30</x:v>
      </x:c>
      <x:c r="AI14" s="45" t="str">
        <x:f>IF(R14="","",R14&amp;", "&amp;S14&amp;" "&amp;T14&amp;", Deutschland")</x:f>
        <x:v>Antonius-Raab-Straße 19, 34123 Kassel, Deutschland</x:v>
      </x:c>
    </x:row>
    <x:row r="15">
      <x:c r="A15" s="45" t="str">
        <x:v>T-011</x:v>
      </x:c>
      <x:c r="B15" s="45" t="str">
        <x:v>T-011</x:v>
      </x:c>
      <x:c r="C15" s="45" t="str">
        <x:v>PRONOMIC GmbH</x:v>
      </x:c>
      <x:c r="D15" s="45" t="str">
        <x:v>Aufnehmen</x:v>
      </x:c>
      <x:c r="E15" s="45" t="str">
        <x:v>A+</x:v>
      </x:c>
      <x:c r="F15" s="45" t="str">
        <x:v>Technischer Umsetzer / Hebe- &amp; Sonderlösungen</x:v>
      </x:c>
      <x:c r="G15" s="45" t="str">
        <x:v>Metall; Automotive; Maschinenbau; Montage/Produktion; Logistik</x:v>
      </x:c>
      <x:c r="H15" s="45" t="str">
        <x:v>Arm/Hand; Schulter; Rücken/Wirbelsäule; reduzierte Kraft; Greifdefizit</x:v>
      </x:c>
      <x:c r="I15" s="45" t="str">
        <x:v>Heben/Tragen; Wenden/Positionieren; Materialhandling; ungünstige Bewegungsabläufe</x:v>
      </x:c>
      <x:c r="J15" s="45" t="str">
        <x:v>Hebelifter; Manipulator/Kran; Sonderaufnahme; Greifer; Positionierhilfe</x:v>
      </x:c>
      <x:c r="K15" s="45" t="str">
        <x:v>Ja</x:v>
      </x:c>
      <x:c r="L15" s="45" t="str">
        <x:v>Ja</x:v>
      </x:c>
      <x:c r="M15" s="45" t="str">
        <x:v>Ja</x:v>
      </x:c>
      <x:c r="N15" s="45" t="str">
        <x:v>Ja</x:v>
      </x:c>
      <x:c r="O15" s="45" t="str">
        <x:v>teilweise/projektbezogen</x:v>
      </x:c>
      <x:c r="P15" s="45" t="str">
        <x:v>nicht spezifisch belegt</x:v>
      </x:c>
      <x:c r="Q15" s="45" t="str">
        <x:v>Bewertet Bedienperson, Bewegungsablauf und Arbeitsplatz; vollständige Kette Beratung bis Test.</x:v>
      </x:c>
      <x:c r="R15" s="45" t="str">
        <x:v>Dennhäuser Straße 62</x:v>
      </x:c>
      <x:c r="S15" s="45" t="str">
        <x:v>34134</x:v>
      </x:c>
      <x:c r="T15" s="45" t="str">
        <x:v>Kassel</x:v>
      </x:c>
      <x:c r="U15" s="45" t="str">
        <x:v>Hessen</x:v>
      </x:c>
      <x:c r="V15" s="45" t="str">
        <x:v>Deutschland</x:v>
      </x:c>
      <x:c r="W15" s="45" t="str">
        <x:v>+49 561 5004000</x:v>
      </x:c>
      <x:c r="X15" s="45" t="str">
        <x:v>deutschland@pronomic.com</x:v>
      </x:c>
      <x:c r="Y15" s="45" t="str">
        <x:v>https://www.pronomic.com/de/</x:v>
      </x:c>
      <x:c r="Z15" s="82"/>
      <x:c r="AA15" s="82"/>
      <x:c r="AB15" s="45" t="str">
        <x:v>Adresse/Kontakt geprüft; numerische Hauskoordinate noch nicht separat verifiziert</x:v>
      </x:c>
      <x:c r="AC15" s="45" t="str">
        <x:v>Kartenpunkt – Adresse geprüft</x:v>
      </x:c>
      <x:c r="AD15" s="45" t="str">
        <x:v>regional + projektbezogen überregional</x:v>
      </x:c>
      <x:c r="AE15" s="45" t="str">
        <x:v>https://www.pronomic.com/de/</x:v>
      </x:c>
      <x:c r="AF15" s="45" t="str"/>
      <x:c r="AG15" s="45" t="str">
        <x:v>Neuer Hauptsitz/aktuelle Adresse verifiziert.</x:v>
      </x:c>
      <x:c r="AH15" s="83" t="str">
        <x:v>2026-08-30</x:v>
      </x:c>
      <x:c r="AI15" s="45" t="str">
        <x:f>IF(R15="","",R15&amp;", "&amp;S15&amp;" "&amp;T15&amp;", Deutschland")</x:f>
        <x:v>Dennhäuser Straße 62, 34134 Kassel, Deutschland</x:v>
      </x:c>
    </x:row>
    <x:row r="16">
      <x:c r="A16" s="45" t="str">
        <x:v>T-012</x:v>
      </x:c>
      <x:c r="B16" s="45" t="str">
        <x:v>T-012</x:v>
      </x:c>
      <x:c r="C16" s="45" t="str">
        <x:v>Reinhold Beck Maschinenbau GmbH</x:v>
      </x:c>
      <x:c r="D16" s="45" t="str">
        <x:v>Aufnehmen</x:v>
      </x:c>
      <x:c r="E16" s="45" t="str">
        <x:v>A+</x:v>
      </x:c>
      <x:c r="F16" s="45" t="str">
        <x:v>Technischer Umsetzer / Holz &amp; Montage</x:v>
      </x:c>
      <x:c r="G16" s="45" t="str">
        <x:v>Holz/Schreinerei; Metall; Maschinenbau; Montage/Produktion; Kfz-Werkstatt</x:v>
      </x:c>
      <x:c r="H16" s="45" t="str">
        <x:v>Schulter; Rücken/Wirbelsäule; Bein/Stehen; reduzierte Kraft; Arm/Hand</x:v>
      </x:c>
      <x:c r="I16" s="45" t="str">
        <x:v>Arbeitshöhe; Heben/Senken; Drehen/Kippen; dauerhaftes Stehen; schwere Werkstücke</x:v>
      </x:c>
      <x:c r="J16" s="45" t="str">
        <x:v>Höhenverstellbarer Arbeits-/Montagetisch; Hubtisch; Dreh-/Kipphilfe; Sonderbau</x:v>
      </x:c>
      <x:c r="K16" s="45" t="str">
        <x:v>Ja</x:v>
      </x:c>
      <x:c r="L16" s="45" t="str">
        <x:v>Ja</x:v>
      </x:c>
      <x:c r="M16" s="45" t="str">
        <x:v>Ja</x:v>
      </x:c>
      <x:c r="N16" s="45" t="str">
        <x:v>Ja</x:v>
      </x:c>
      <x:c r="O16" s="45" t="str">
        <x:v>teilweise/projektbezogen</x:v>
      </x:c>
      <x:c r="P16" s="45" t="str">
        <x:v>nicht spezifisch belegt</x:v>
      </x:c>
      <x:c r="Q16" s="45" t="str">
        <x:v>A+ für Holz/Schreinerei; eigene Konstruktion/Produktion und ergonomische Hub-/Arbeitstische.</x:v>
      </x:c>
      <x:c r="R16" s="45" t="str">
        <x:v>Im Grund 23</x:v>
      </x:c>
      <x:c r="S16" s="45" t="str">
        <x:v>72505</x:v>
      </x:c>
      <x:c r="T16" s="45" t="str">
        <x:v>Krauchenwies-Bittelschieß</x:v>
      </x:c>
      <x:c r="U16" s="45" t="str">
        <x:v>Baden-Württemberg</x:v>
      </x:c>
      <x:c r="V16" s="45" t="str">
        <x:v>Deutschland</x:v>
      </x:c>
      <x:c r="W16" s="45" t="str">
        <x:v>+49 7576 962978-0</x:v>
      </x:c>
      <x:c r="X16" s="45" t="str">
        <x:v>info@beck-maschinenbau.de</x:v>
      </x:c>
      <x:c r="Y16" s="45" t="str">
        <x:v>https://beck-maschinenbau.com/produkte/arbeitstische/</x:v>
      </x:c>
      <x:c r="Z16" s="82"/>
      <x:c r="AA16" s="82"/>
      <x:c r="AB16" s="45" t="str">
        <x:v>Adresse/Kontakt geprüft; numerische Hauskoordinate noch nicht separat verifiziert</x:v>
      </x:c>
      <x:c r="AC16" s="45" t="str">
        <x:v>Kartenpunkt – Adresse geprüft</x:v>
      </x:c>
      <x:c r="AD16" s="45" t="str">
        <x:v>regional + projektbezogen überregional</x:v>
      </x:c>
      <x:c r="AE16" s="45" t="str">
        <x:v>https://beck-maschinenbau.com/</x:v>
      </x:c>
      <x:c r="AF16" s="45" t="str"/>
      <x:c r="AG16" s="45" t="str">
        <x:v>Standort verifiziert.</x:v>
      </x:c>
      <x:c r="AH16" s="83" t="str">
        <x:v>2026-08-30</x:v>
      </x:c>
      <x:c r="AI16" s="45" t="str">
        <x:f>IF(R16="","",R16&amp;", "&amp;S16&amp;" "&amp;T16&amp;", Deutschland")</x:f>
        <x:v>Im Grund 23, 72505 Krauchenwies-Bittelschieß, Deutschland</x:v>
      </x:c>
    </x:row>
    <x:row r="17">
      <x:c r="A17" s="45" t="str">
        <x:v>T-013</x:v>
      </x:c>
      <x:c r="B17" s="45" t="str">
        <x:v>T-013</x:v>
      </x:c>
      <x:c r="C17" s="45" t="str">
        <x:v>BARTH GmbH</x:v>
      </x:c>
      <x:c r="D17" s="45" t="str">
        <x:v>Aufnehmen</x:v>
      </x:c>
      <x:c r="E17" s="45" t="str">
        <x:v>A+</x:v>
      </x:c>
      <x:c r="F17" s="45" t="str">
        <x:v>Technischer Umsetzer / Holz-Handwerk</x:v>
      </x:c>
      <x:c r="G17" s="45" t="str">
        <x:v>Holz/Schreinerei; Fenster-/Türenbau; Möbelbau; Montage</x:v>
      </x:c>
      <x:c r="H17" s="45" t="str">
        <x:v>Schulter; Rücken/Wirbelsäule; Arm/Hand; reduzierte Kraft</x:v>
      </x:c>
      <x:c r="I17" s="45" t="str">
        <x:v>Heben/Tragen; Wenden/Kippen; Korpusmontage; schwere Rahmen/Werkstücke</x:v>
      </x:c>
      <x:c r="J17" s="45" t="str">
        <x:v>Hubtisch; Kipp-/Wendetisch; Montagetisch; Sonderlösung</x:v>
      </x:c>
      <x:c r="K17" s="45" t="str">
        <x:v>Ja</x:v>
      </x:c>
      <x:c r="L17" s="45" t="str">
        <x:v>Ja</x:v>
      </x:c>
      <x:c r="M17" s="45" t="str">
        <x:v>Ja</x:v>
      </x:c>
      <x:c r="N17" s="45" t="str">
        <x:v>Ja</x:v>
      </x:c>
      <x:c r="O17" s="45" t="str">
        <x:v>teilweise/projektbezogen</x:v>
      </x:c>
      <x:c r="P17" s="45" t="str">
        <x:v>nicht spezifisch belegt</x:v>
      </x:c>
      <x:c r="Q17" s="45" t="str">
        <x:v>Sehr konkrete Lösungen für Korpusse, Fenster-/Türrahmen, Schleif- und Montagearbeiten.</x:v>
      </x:c>
      <x:c r="R17" s="45" t="str">
        <x:v>Gerhard-Meister-Straße 5</x:v>
      </x:c>
      <x:c r="S17" s="45" t="str">
        <x:v>83342</x:v>
      </x:c>
      <x:c r="T17" s="45" t="str">
        <x:v>Tacherting</x:v>
      </x:c>
      <x:c r="U17" s="45" t="str">
        <x:v>Bayern</x:v>
      </x:c>
      <x:c r="V17" s="45" t="str">
        <x:v>Deutschland</x:v>
      </x:c>
      <x:c r="W17" s="45" t="str">
        <x:v>+49 8621 5050-600</x:v>
      </x:c>
      <x:c r="X17" s="45" t="str">
        <x:v>info@barth-maschinenbau.de</x:v>
      </x:c>
      <x:c r="Y17" s="45" t="str">
        <x:v>https://www.barth-maschinenbau.de/</x:v>
      </x:c>
      <x:c r="Z17" s="82"/>
      <x:c r="AA17" s="82"/>
      <x:c r="AB17" s="45" t="str">
        <x:v>Adresse/Kontakt geprüft; numerische Hauskoordinate noch nicht separat verifiziert</x:v>
      </x:c>
      <x:c r="AC17" s="45" t="str">
        <x:v>Kartenpunkt – Adresse geprüft</x:v>
      </x:c>
      <x:c r="AD17" s="45" t="str">
        <x:v>regional + projektbezogen überregional</x:v>
      </x:c>
      <x:c r="AE17" s="45" t="str">
        <x:v>https://www.barth-maschinenbau.de/</x:v>
      </x:c>
      <x:c r="AF17" s="45" t="str"/>
      <x:c r="AG17" s="45" t="str">
        <x:v>Standort verifiziert.</x:v>
      </x:c>
      <x:c r="AH17" s="83" t="str">
        <x:v>2026-08-30</x:v>
      </x:c>
      <x:c r="AI17" s="45" t="str">
        <x:f>IF(R17="","",R17&amp;", "&amp;S17&amp;" "&amp;T17&amp;", Deutschland")</x:f>
        <x:v>Gerhard-Meister-Straße 5, 83342 Tacherting, Deutschland</x:v>
      </x:c>
    </x:row>
    <x:row r="18">
      <x:c r="A18" s="45" t="str">
        <x:v>T-014</x:v>
      </x:c>
      <x:c r="B18" s="45" t="str">
        <x:v>T-014</x:v>
      </x:c>
      <x:c r="C18" s="45" t="str">
        <x:v>BeeWaTec AG</x:v>
      </x:c>
      <x:c r="D18" s="45" t="str">
        <x:v>Aufnehmen</x:v>
      </x:c>
      <x:c r="E18" s="45" t="str">
        <x:v>A</x:v>
      </x:c>
      <x:c r="F18" s="45" t="str">
        <x:v>Technischer Umsetzer / Arbeitsplatzsysteme</x:v>
      </x:c>
      <x:c r="G18" s="45" t="str">
        <x:v>Automotive; Metall; Maschinenbau; Montage/Produktion; Logistik</x:v>
      </x:c>
      <x:c r="H18" s="45" t="str">
        <x:v>Arm/Hand; Schulter; Rücken/Wirbelsäule; Bein/Stehen; reduzierte Kraft</x:v>
      </x:c>
      <x:c r="I18" s="45" t="str">
        <x:v>Montagehöhe; Greifwege; Materialbereitstellung; Verpackung/Prüfung</x:v>
      </x:c>
      <x:c r="J18" s="45" t="str">
        <x:v>Montagearbeitsplatz; Hubsystem; Materialbereitstellung; Durchlaufregal; ESD; Schwenkarm</x:v>
      </x:c>
      <x:c r="K18" s="45" t="str">
        <x:v>Ja</x:v>
      </x:c>
      <x:c r="L18" s="45" t="str">
        <x:v>Ja</x:v>
      </x:c>
      <x:c r="M18" s="45" t="str">
        <x:v>Ja</x:v>
      </x:c>
      <x:c r="N18" s="45" t="str">
        <x:v>Ja</x:v>
      </x:c>
      <x:c r="O18" s="45" t="str">
        <x:v>nein/unklar</x:v>
      </x:c>
      <x:c r="P18" s="45" t="str">
        <x:v>nicht spezifisch belegt</x:v>
      </x:c>
      <x:c r="Q18" s="45" t="str">
        <x:v>Individuelle ergonomische Montage-, Pack- und Kontrollarbeitsplätze mit modularer Materialbereitstellung.</x:v>
      </x:c>
      <x:c r="R18" s="45" t="str">
        <x:v>Kunstmühlestraße 16</x:v>
      </x:c>
      <x:c r="S18" s="45" t="str">
        <x:v>72793</x:v>
      </x:c>
      <x:c r="T18" s="45" t="str">
        <x:v>Pfullingen</x:v>
      </x:c>
      <x:c r="U18" s="45" t="str">
        <x:v>Baden-Württemberg</x:v>
      </x:c>
      <x:c r="V18" s="45" t="str">
        <x:v>Deutschland</x:v>
      </x:c>
      <x:c r="W18" s="45" t="str">
        <x:v>+49 7121 628716-0</x:v>
      </x:c>
      <x:c r="X18" s="45" t="str">
        <x:v>info@beewatec.de</x:v>
      </x:c>
      <x:c r="Y18" s="45" t="str">
        <x:v>https://www.beewatec.com/de/lean-loesungen/arbeitsplatzsysteme/</x:v>
      </x:c>
      <x:c r="Z18" s="82"/>
      <x:c r="AA18" s="82"/>
      <x:c r="AB18" s="45" t="str">
        <x:v>Adresse/Kontakt geprüft; numerische Hauskoordinate noch nicht separat verifiziert</x:v>
      </x:c>
      <x:c r="AC18" s="45" t="str">
        <x:v>Kartenpunkt – Adresse geprüft</x:v>
      </x:c>
      <x:c r="AD18" s="45" t="str">
        <x:v>regional + projektbezogen überregional</x:v>
      </x:c>
      <x:c r="AE18" s="45" t="str">
        <x:v>https://www.beewatec.com/de/</x:v>
      </x:c>
      <x:c r="AF18" s="45" t="str"/>
      <x:c r="AG18" s="45" t="str">
        <x:v>Standort verifiziert.</x:v>
      </x:c>
      <x:c r="AH18" s="83" t="str">
        <x:v>2026-08-30</x:v>
      </x:c>
      <x:c r="AI18" s="45" t="str">
        <x:f>IF(R18="","",R18&amp;", "&amp;S18&amp;" "&amp;T18&amp;", Deutschland")</x:f>
        <x:v>Kunstmühlestraße 16, 72793 Pfullingen, Deutschland</x:v>
      </x:c>
    </x:row>
    <x:row r="19">
      <x:c r="A19" s="45" t="str">
        <x:v>T-015</x:v>
      </x:c>
      <x:c r="B19" s="45" t="str">
        <x:v>T-015</x:v>
      </x:c>
      <x:c r="C19" s="45" t="str">
        <x:v>bott GmbH &amp; Co. KG</x:v>
      </x:c>
      <x:c r="D19" s="45" t="str">
        <x:v>Aufnehmen</x:v>
      </x:c>
      <x:c r="E19" s="45" t="str">
        <x:v>A</x:v>
      </x:c>
      <x:c r="F19" s="45" t="str">
        <x:v>Technischer Umsetzer / Arbeitsplatzsysteme</x:v>
      </x:c>
      <x:c r="G19" s="45" t="str">
        <x:v>Metall; Automotive; Maschinenbau; Werkstatt; Montage/Produktion</x:v>
      </x:c>
      <x:c r="H19" s="45" t="str">
        <x:v>Arm/Hand; Schulter; Rücken/Wirbelsäule; Bein/Stehen; reduzierte Kraft</x:v>
      </x:c>
      <x:c r="I19" s="45" t="str">
        <x:v>Montagehöhe; Werkzeugbereitstellung; Greifwege; Werkstattorganisation</x:v>
      </x:c>
      <x:c r="J19" s="45" t="str">
        <x:v>Montage-/Prüfarbeitsplatz; Werkstatteinrichtung; Material-/Werkzeugbereitstellung</x:v>
      </x:c>
      <x:c r="K19" s="45" t="str">
        <x:v>Ja</x:v>
      </x:c>
      <x:c r="L19" s="45" t="str">
        <x:v>Ja</x:v>
      </x:c>
      <x:c r="M19" s="45" t="str">
        <x:v>teilweise</x:v>
      </x:c>
      <x:c r="N19" s="45" t="str">
        <x:v>Ja</x:v>
      </x:c>
      <x:c r="O19" s="45" t="str">
        <x:v>nein/unklar</x:v>
      </x:c>
      <x:c r="P19" s="45" t="str">
        <x:v>nicht spezifisch belegt</x:v>
      </x:c>
      <x:c r="Q19" s="45" t="str">
        <x:v>Als industrieller Umsetzer führen, nicht als unabhängigen Reha-Gutachter.</x:v>
      </x:c>
      <x:c r="R19" s="45" t="str">
        <x:v>Bahnstraße 17</x:v>
      </x:c>
      <x:c r="S19" s="45" t="str">
        <x:v>74405</x:v>
      </x:c>
      <x:c r="T19" s="45" t="str">
        <x:v>Gaildorf</x:v>
      </x:c>
      <x:c r="U19" s="45" t="str">
        <x:v>Baden-Württemberg</x:v>
      </x:c>
      <x:c r="V19" s="45" t="str">
        <x:v>Deutschland</x:v>
      </x:c>
      <x:c r="W19" s="45" t="str">
        <x:v>+49 7971 251-0</x:v>
      </x:c>
      <x:c r="X19" s="45" t="str">
        <x:v>info@bott.de</x:v>
      </x:c>
      <x:c r="Y19" s="45" t="str">
        <x:v>https://www.bott.de/</x:v>
      </x:c>
      <x:c r="Z19" s="82"/>
      <x:c r="AA19" s="82"/>
      <x:c r="AB19" s="45" t="str">
        <x:v>Adresse/Kontakt geprüft; numerische Hauskoordinate noch nicht separat verifiziert</x:v>
      </x:c>
      <x:c r="AC19" s="45" t="str">
        <x:v>Kartenpunkt – Adresse geprüft</x:v>
      </x:c>
      <x:c r="AD19" s="45" t="str">
        <x:v>regional + projektbezogen überregional</x:v>
      </x:c>
      <x:c r="AE19" s="45" t="str">
        <x:v>https://www.bott.de/</x:v>
      </x:c>
      <x:c r="AF19" s="45" t="str"/>
      <x:c r="AG19" s="45" t="str">
        <x:v>Standort verifiziert.</x:v>
      </x:c>
      <x:c r="AH19" s="83" t="str">
        <x:v>2026-08-30</x:v>
      </x:c>
      <x:c r="AI19" s="45" t="str">
        <x:f>IF(R19="","",R19&amp;", "&amp;S19&amp;" "&amp;T19&amp;", Deutschland")</x:f>
        <x:v>Bahnstraße 17, 74405 Gaildorf, Deutschland</x:v>
      </x:c>
    </x:row>
    <x:row r="20">
      <x:c r="A20" s="45" t="str">
        <x:v>T-016</x:v>
      </x:c>
      <x:c r="B20" s="45" t="str">
        <x:v>T-016</x:v>
      </x:c>
      <x:c r="C20" s="45" t="str">
        <x:v>Blickle Räder+Rollen GmbH u. Co. KG / ErgoMove</x:v>
      </x:c>
      <x:c r="D20" s="45" t="str">
        <x:v>Aufnehmen</x:v>
      </x:c>
      <x:c r="E20" s="45" t="str">
        <x:v>A</x:v>
      </x:c>
      <x:c r="F20" s="45" t="str">
        <x:v>Technischer Umsetzer / Materialtransport</x:v>
      </x:c>
      <x:c r="G20" s="45" t="str">
        <x:v>Automotive; Metall; Maschinenbau; Holz; Logistik; Montage/Produktion</x:v>
      </x:c>
      <x:c r="H20" s="45" t="str">
        <x:v>Arm/Hand; Schulter; Rücken/Wirbelsäule; reduzierte Kraft</x:v>
      </x:c>
      <x:c r="I20" s="45" t="str">
        <x:v>Schieben/Ziehen; innerbetrieblicher Transport; schwere Wagen/Lasten</x:v>
      </x:c>
      <x:c r="J20" s="45" t="str">
        <x:v>Elektrische Transporthilfe; Nachrüstung Transportwagen; Fahr-/Lenkhilfe</x:v>
      </x:c>
      <x:c r="K20" s="45" t="str">
        <x:v>Ja</x:v>
      </x:c>
      <x:c r="L20" s="45" t="str">
        <x:v>Ja</x:v>
      </x:c>
      <x:c r="M20" s="45" t="str">
        <x:v>Ja</x:v>
      </x:c>
      <x:c r="N20" s="45" t="str">
        <x:v>Ja</x:v>
      </x:c>
      <x:c r="O20" s="45" t="str">
        <x:v>nein/unklar</x:v>
      </x:c>
      <x:c r="P20" s="45" t="str">
        <x:v>nicht spezifisch belegt</x:v>
      </x:c>
      <x:c r="Q20" s="45" t="str">
        <x:v>Sehr interessant bei reduzierter Schiebe-/Zugkraft; vorhandene Wagen können elektrisch unterstützt werden.</x:v>
      </x:c>
      <x:c r="R20" s="45" t="str">
        <x:v>Heinrich-Blickle-Straße 1</x:v>
      </x:c>
      <x:c r="S20" s="45" t="str">
        <x:v>72348</x:v>
      </x:c>
      <x:c r="T20" s="45" t="str">
        <x:v>Rosenfeld</x:v>
      </x:c>
      <x:c r="U20" s="45" t="str">
        <x:v>Baden-Württemberg</x:v>
      </x:c>
      <x:c r="V20" s="45" t="str">
        <x:v>Deutschland</x:v>
      </x:c>
      <x:c r="W20" s="45" t="str">
        <x:v>+49 7428 932-8000</x:v>
      </x:c>
      <x:c r="X20" s="45" t="str">
        <x:v>ergomove@blickle.com</x:v>
      </x:c>
      <x:c r="Y20" s="45" t="str">
        <x:v>https://www.blickle.com/ergomove</x:v>
      </x:c>
      <x:c r="Z20" s="82"/>
      <x:c r="AA20" s="82"/>
      <x:c r="AB20" s="45" t="str">
        <x:v>Adresse/Kontakt geprüft; numerische Hauskoordinate noch nicht separat verifiziert</x:v>
      </x:c>
      <x:c r="AC20" s="45" t="str">
        <x:v>Kartenpunkt – Adresse geprüft</x:v>
      </x:c>
      <x:c r="AD20" s="45" t="str">
        <x:v>regional + projektbezogen überregional</x:v>
      </x:c>
      <x:c r="AE20" s="45" t="str">
        <x:v>https://www.blickle.com/ergomove</x:v>
      </x:c>
      <x:c r="AF20" s="45" t="str"/>
      <x:c r="AG20" s="45" t="str">
        <x:v>ErgoMove-Fachkontakt verifiziert.</x:v>
      </x:c>
      <x:c r="AH20" s="83" t="str">
        <x:v>2026-08-30</x:v>
      </x:c>
      <x:c r="AI20" s="45" t="str">
        <x:f>IF(R20="","",R20&amp;", "&amp;S20&amp;" "&amp;T20&amp;", Deutschland")</x:f>
        <x:v>Heinrich-Blickle-Straße 1, 72348 Rosenfeld, Deutschland</x:v>
      </x:c>
    </x:row>
    <x:row r="21">
      <x:c r="A21" s="45" t="str">
        <x:v>T-017</x:v>
      </x:c>
      <x:c r="B21" s="45" t="str">
        <x:v>T-017</x:v>
      </x:c>
      <x:c r="C21" s="45" t="str">
        <x:v>Carl Stahl / Kromer</x:v>
      </x:c>
      <x:c r="D21" s="45" t="str">
        <x:v>Aufnehmen</x:v>
      </x:c>
      <x:c r="E21" s="45" t="str">
        <x:v>A</x:v>
      </x:c>
      <x:c r="F21" s="45" t="str">
        <x:v>Technischer Umsetzer / Werkzeugentlastung</x:v>
      </x:c>
      <x:c r="G21" s="45" t="str">
        <x:v>Automotive; Metall; Maschinenbau; Montage/Produktion; Werkstatt</x:v>
      </x:c>
      <x:c r="H21" s="45" t="str">
        <x:v>Arm/Hand; Schulter; Rücken/Wirbelsäule; reduzierte Kraft</x:v>
      </x:c>
      <x:c r="I21" s="45" t="str">
        <x:v>Schweres Werkzeug; wiederholtes Heben; Werkzeugführung</x:v>
      </x:c>
      <x:c r="J21" s="45" t="str">
        <x:v>Werkzeugbalancer; Federzug; Gewichtsausgleicher; Arbeitsplatzanalyse</x:v>
      </x:c>
      <x:c r="K21" s="45" t="str">
        <x:v>Ja</x:v>
      </x:c>
      <x:c r="L21" s="45" t="str">
        <x:v>teilweise</x:v>
      </x:c>
      <x:c r="M21" s="45" t="str">
        <x:v>teilweise</x:v>
      </x:c>
      <x:c r="N21" s="45" t="str">
        <x:v>Ja</x:v>
      </x:c>
      <x:c r="O21" s="45" t="str">
        <x:v>nein/unklar</x:v>
      </x:c>
      <x:c r="P21" s="45" t="str">
        <x:v>nicht spezifisch belegt</x:v>
      </x:c>
      <x:c r="Q21" s="45" t="str">
        <x:v>Besonders relevant für Winkelschleifer, Schrauber und andere schwere Handwerkzeuge.</x:v>
      </x:c>
      <x:c r="R21" s="45" t="str">
        <x:v>Tobelstraße 2</x:v>
      </x:c>
      <x:c r="S21" s="45" t="str">
        <x:v>73079</x:v>
      </x:c>
      <x:c r="T21" s="45" t="str">
        <x:v>Süßen</x:v>
      </x:c>
      <x:c r="U21" s="45" t="str">
        <x:v>Baden-Württemberg</x:v>
      </x:c>
      <x:c r="V21" s="45" t="str">
        <x:v>Deutschland</x:v>
      </x:c>
      <x:c r="W21" s="45" t="str">
        <x:v>+49 7162 4007-1000</x:v>
      </x:c>
      <x:c r="X21" s="45" t="str">
        <x:v>carlstahl@carlstahl.com</x:v>
      </x:c>
      <x:c r="Y21" s="45" t="str">
        <x:v>https://www.carlstahl.com/de/de/loesungen/federzuege-und-balancer-fuer-ergonomische-werkzeugfuehrung</x:v>
      </x:c>
      <x:c r="Z21" s="82"/>
      <x:c r="AA21" s="82"/>
      <x:c r="AB21" s="45" t="str">
        <x:v>Adresse/Kontakt geprüft; numerische Hauskoordinate noch nicht separat verifiziert</x:v>
      </x:c>
      <x:c r="AC21" s="45" t="str">
        <x:v>Kartenpunkt – Adresse geprüft</x:v>
      </x:c>
      <x:c r="AD21" s="45" t="str">
        <x:v>überregional / bundesweit projektbezogen</x:v>
      </x:c>
      <x:c r="AE21" s="45" t="str">
        <x:v>https://www.carlstahl.com/</x:v>
      </x:c>
      <x:c r="AF21" s="45" t="str"/>
      <x:c r="AG21" s="45" t="str">
        <x:v>Standort verifiziert; überregional einsetzbar.</x:v>
      </x:c>
      <x:c r="AH21" s="83" t="str">
        <x:v>2026-08-30</x:v>
      </x:c>
      <x:c r="AI21" s="45" t="str">
        <x:f>IF(R21="","",R21&amp;", "&amp;S21&amp;" "&amp;T21&amp;", Deutschland")</x:f>
        <x:v>Tobelstraße 2, 73079 Süßen, Deutschland</x:v>
      </x:c>
    </x:row>
    <x:row r="22">
      <x:c r="A22" s="45" t="str">
        <x:v>T-018</x:v>
      </x:c>
      <x:c r="B22" s="45" t="str">
        <x:v>T-018</x:v>
      </x:c>
      <x:c r="C22" s="45" t="str">
        <x:v>German Tools GmbH</x:v>
      </x:c>
      <x:c r="D22" s="45" t="str">
        <x:v>Aufnehmen</x:v>
      </x:c>
      <x:c r="E22" s="45" t="str">
        <x:v>A</x:v>
      </x:c>
      <x:c r="F22" s="45" t="str">
        <x:v>Technischer Umsetzer / Schraubarbeitsplätze</x:v>
      </x:c>
      <x:c r="G22" s="45" t="str">
        <x:v>Automotive; Metall; Maschinenbau; Montage/Produktion</x:v>
      </x:c>
      <x:c r="H22" s="45" t="str">
        <x:v>Arm/Hand; Schulter; reduzierte Kraft</x:v>
      </x:c>
      <x:c r="I22" s="45" t="str">
        <x:v>Hohes Drehmoment/Reaktionskraft; schweres Werkzeug; repetitive Schraubarbeit</x:v>
      </x:c>
      <x:c r="J22" s="45" t="str">
        <x:v>Drehmomentarm; Balancer; Positionsüberwachung; ergonomischer Schraubplatz</x:v>
      </x:c>
      <x:c r="K22" s="45" t="str">
        <x:v>Ja</x:v>
      </x:c>
      <x:c r="L22" s="45" t="str">
        <x:v>Ja</x:v>
      </x:c>
      <x:c r="M22" s="45" t="str">
        <x:v>teilweise</x:v>
      </x:c>
      <x:c r="N22" s="45" t="str">
        <x:v>Ja</x:v>
      </x:c>
      <x:c r="O22" s="45" t="str">
        <x:v>nein/unklar</x:v>
      </x:c>
      <x:c r="P22" s="45" t="str">
        <x:v>nicht spezifisch belegt</x:v>
      </x:c>
      <x:c r="Q22" s="45" t="str">
        <x:v>Spezialist für ergonomische Schraub- und Montageplätze; bundesweit einsetzbar.</x:v>
      </x:c>
      <x:c r="R22" s="45" t="str">
        <x:v>Boschstraße 3</x:v>
      </x:c>
      <x:c r="S22" s="45" t="str">
        <x:v>59609</x:v>
      </x:c>
      <x:c r="T22" s="45" t="str">
        <x:v>Anröchte</x:v>
      </x:c>
      <x:c r="U22" s="45" t="str">
        <x:v>Nordrhein-Westfalen</x:v>
      </x:c>
      <x:c r="V22" s="45" t="str">
        <x:v>Deutschland</x:v>
      </x:c>
      <x:c r="W22" s="45" t="str">
        <x:v>+49 2947 6569960</x:v>
      </x:c>
      <x:c r="X22" s="45" t="str">
        <x:v>info@germantools-gmbh.de</x:v>
      </x:c>
      <x:c r="Y22" s="45" t="str">
        <x:v>https://www.germantools-gmbh.de/</x:v>
      </x:c>
      <x:c r="Z22" s="82"/>
      <x:c r="AA22" s="82"/>
      <x:c r="AB22" s="45" t="str">
        <x:v>Adresse/Kontakt geprüft; numerische Hauskoordinate noch nicht separat verifiziert</x:v>
      </x:c>
      <x:c r="AC22" s="45" t="str">
        <x:v>Kartenpunkt – Adresse geprüft</x:v>
      </x:c>
      <x:c r="AD22" s="45" t="str">
        <x:v>überregional / bundesweit projektbezogen</x:v>
      </x:c>
      <x:c r="AE22" s="45" t="str">
        <x:v>https://www.germantools-gmbh.de/</x:v>
      </x:c>
      <x:c r="AF22" s="45" t="str"/>
      <x:c r="AG22" s="45" t="str">
        <x:v>Aktuelle Adresse; Umzug seit 2025 berücksichtigt.</x:v>
      </x:c>
      <x:c r="AH22" s="83" t="str">
        <x:v>2026-08-30</x:v>
      </x:c>
      <x:c r="AI22" s="45" t="str">
        <x:f>IF(R22="","",R22&amp;", "&amp;S22&amp;" "&amp;T22&amp;", Deutschland")</x:f>
        <x:v>Boschstraße 3, 59609 Anröchte, Deutschland</x:v>
      </x:c>
    </x:row>
    <x:row r="23">
      <x:c r="A23" s="45" t="str">
        <x:v>T-019</x:v>
      </x:c>
      <x:c r="B23" s="45" t="str">
        <x:v>T-019</x:v>
      </x:c>
      <x:c r="C23" s="45" t="str">
        <x:v>Atlas Copco Industrial Technique</x:v>
      </x:c>
      <x:c r="D23" s="45" t="str">
        <x:v>Aufnehmen</x:v>
      </x:c>
      <x:c r="E23" s="45" t="str">
        <x:v>A</x:v>
      </x:c>
      <x:c r="F23" s="45" t="str">
        <x:v>Technischer Umsetzer / Montagewerkzeuge</x:v>
      </x:c>
      <x:c r="G23" s="45" t="str">
        <x:v>Automotive; Metall; Maschinenbau; Montage/Produktion</x:v>
      </x:c>
      <x:c r="H23" s="45" t="str">
        <x:v>Arm/Hand; Schulter; reduzierte Kraft</x:v>
      </x:c>
      <x:c r="I23" s="45" t="str">
        <x:v>Hohes Drehmoment/Reaktionskraft; repetitive Schraubarbeit</x:v>
      </x:c>
      <x:c r="J23" s="45" t="str">
        <x:v>Drehmomentarm; Werkzeugführung; Schraubtechnik; Montageassistenz</x:v>
      </x:c>
      <x:c r="K23" s="45" t="str">
        <x:v>Ja</x:v>
      </x:c>
      <x:c r="L23" s="45" t="str">
        <x:v>Ja</x:v>
      </x:c>
      <x:c r="M23" s="45" t="str">
        <x:v>teilweise</x:v>
      </x:c>
      <x:c r="N23" s="45" t="str">
        <x:v>Ja</x:v>
      </x:c>
      <x:c r="O23" s="45" t="str">
        <x:v>nein/unklar</x:v>
      </x:c>
      <x:c r="P23" s="45" t="str">
        <x:v>nicht spezifisch belegt</x:v>
      </x:c>
      <x:c r="Q23" s="45" t="str">
        <x:v>Ergonomische Lösung für Reaktionskräfte von Schraubern; Standortbezogene Beratung bei Bedarf ergänzen.</x:v>
      </x:c>
      <x:c r="R23" s="45" t="str">
        <x:v>Wetterschacht 9</x:v>
      </x:c>
      <x:c r="S23" s="45" t="str">
        <x:v>45139</x:v>
      </x:c>
      <x:c r="T23" s="45" t="str">
        <x:v>Essen</x:v>
      </x:c>
      <x:c r="U23" s="45" t="str">
        <x:v>Nordrhein-Westfalen</x:v>
      </x:c>
      <x:c r="V23" s="45" t="str">
        <x:v>Deutschland</x:v>
      </x:c>
      <x:c r="W23" s="45" t="str">
        <x:v>+49 201 2177-0</x:v>
      </x:c>
      <x:c r="X23" s="45" t="str">
        <x:v>tools.de@atlascopco.com</x:v>
      </x:c>
      <x:c r="Y23" s="45" t="str">
        <x:v>https://www.atlascopco.com/de-de/itba</x:v>
      </x:c>
      <x:c r="Z23" s="82"/>
      <x:c r="AA23" s="82"/>
      <x:c r="AB23" s="45" t="str">
        <x:v>Adresse/Kontakt geprüft; numerische Hauskoordinate noch nicht separat verifiziert</x:v>
      </x:c>
      <x:c r="AC23" s="45" t="str">
        <x:v>Kartenpunkt – Adresse geprüft</x:v>
      </x:c>
      <x:c r="AD23" s="45" t="str">
        <x:v>überregional / bundesweit projektbezogen</x:v>
      </x:c>
      <x:c r="AE23" s="45" t="str">
        <x:v>https://www.atlascopco.com/de-de/itba</x:v>
      </x:c>
      <x:c r="AF23" s="45" t="str"/>
      <x:c r="AG23" s="45" t="str">
        <x:v>Deutscher Industrial-Technique-Standort; Leistungsgebiet überregional.</x:v>
      </x:c>
      <x:c r="AH23" s="83" t="str">
        <x:v>2026-08-30</x:v>
      </x:c>
      <x:c r="AI23" s="45" t="str">
        <x:f>IF(R23="","",R23&amp;", "&amp;S23&amp;" "&amp;T23&amp;", Deutschland")</x:f>
        <x:v>Wetterschacht 9, 45139 Essen, Deutschland</x:v>
      </x:c>
    </x:row>
    <x:row r="24">
      <x:c r="A24" s="45" t="str">
        <x:v>T-020</x:v>
      </x:c>
      <x:c r="B24" s="45" t="str">
        <x:v>T-020</x:v>
      </x:c>
      <x:c r="C24" s="45" t="str">
        <x:v>Bimos / Interstuhl Group</x:v>
      </x:c>
      <x:c r="D24" s="45" t="str">
        <x:v>Aufnehmen</x:v>
      </x:c>
      <x:c r="E24" s="45" t="str">
        <x:v>A</x:v>
      </x:c>
      <x:c r="F24" s="45" t="str">
        <x:v>Technischer Umsetzer / Industrie-Sitzlösungen</x:v>
      </x:c>
      <x:c r="G24" s="45" t="str">
        <x:v>Metall; Automotive; Maschinenbau; Montage/Produktion; Werkstatt; Labor</x:v>
      </x:c>
      <x:c r="H24" s="45" t="str">
        <x:v>Rücken/Wirbelsäule; Bein/Knie/Stehen; reduzierte Belastbarkeit</x:v>
      </x:c>
      <x:c r="I24" s="45" t="str">
        <x:v>Dauerhaftes Stehen; ungünstiges Sitzen; wechselnde Arbeitshöhen</x:v>
      </x:c>
      <x:c r="J24" s="45" t="str">
        <x:v>Industriesitz; Stehhilfe; Sitz-Steh-Lösung; ESD-Sitzlösung</x:v>
      </x:c>
      <x:c r="K24" s="45" t="str">
        <x:v>Ja</x:v>
      </x:c>
      <x:c r="L24" s="45" t="str">
        <x:v>nein</x:v>
      </x:c>
      <x:c r="M24" s="45" t="str">
        <x:v>nein</x:v>
      </x:c>
      <x:c r="N24" s="45" t="str">
        <x:v>teilweise</x:v>
      </x:c>
      <x:c r="O24" s="45" t="str">
        <x:v>nein</x:v>
      </x:c>
      <x:c r="P24" s="45" t="str">
        <x:v>nicht spezifisch belegt</x:v>
      </x:c>
      <x:c r="Q24" s="45" t="str">
        <x:v>Spezialisiert auf Produktion, Werkstatt und Montage; sinnvoll bei Rücken-/Bein-/Stehproblemen.</x:v>
      </x:c>
      <x:c r="R24" s="45" t="str">
        <x:v>Brühlstraße 21</x:v>
      </x:c>
      <x:c r="S24" s="45" t="str">
        <x:v>72469</x:v>
      </x:c>
      <x:c r="T24" s="45" t="str">
        <x:v>Meßstetten-Tieringen</x:v>
      </x:c>
      <x:c r="U24" s="45" t="str">
        <x:v>Baden-Württemberg</x:v>
      </x:c>
      <x:c r="V24" s="45" t="str">
        <x:v>Deutschland</x:v>
      </x:c>
      <x:c r="W24" s="45" t="str">
        <x:v>+49 7436 871-0</x:v>
      </x:c>
      <x:c r="X24" s="45" t="str">
        <x:v>info@bimos.de</x:v>
      </x:c>
      <x:c r="Y24" s="45" t="str">
        <x:v>https://www.bimos.com/de-de/produkte/industriestuehle</x:v>
      </x:c>
      <x:c r="Z24" s="82"/>
      <x:c r="AA24" s="82"/>
      <x:c r="AB24" s="45" t="str">
        <x:v>Adresse/Kontakt geprüft; numerische Hauskoordinate noch nicht separat verifiziert</x:v>
      </x:c>
      <x:c r="AC24" s="45" t="str">
        <x:v>Kartenpunkt – Adresse geprüft</x:v>
      </x:c>
      <x:c r="AD24" s="45" t="str">
        <x:v>überregional / bundesweit projektbezogen</x:v>
      </x:c>
      <x:c r="AE24" s="45" t="str">
        <x:v>https://www.bimos.com/de-de/</x:v>
      </x:c>
      <x:c r="AF24" s="45" t="str"/>
      <x:c r="AG24" s="45" t="str">
        <x:v>Bimos/Interstuhl-Standort verifiziert.</x:v>
      </x:c>
      <x:c r="AH24" s="83" t="str">
        <x:v>2026-08-30</x:v>
      </x:c>
      <x:c r="AI24" s="45" t="str">
        <x:f>IF(R24="","",R24&amp;", "&amp;S24&amp;" "&amp;T24&amp;", Deutschland")</x:f>
        <x:v>Brühlstraße 21, 72469 Meßstetten-Tieringen, Deutschland</x:v>
      </x:c>
    </x:row>
    <x:row r="25">
      <x:c r="A25" s="45" t="str">
        <x:v>T-021</x:v>
      </x:c>
      <x:c r="B25" s="45" t="str">
        <x:v>T-021</x:v>
      </x:c>
      <x:c r="C25" s="45" t="str">
        <x:v>HUNIC GmbH</x:v>
      </x:c>
      <x:c r="D25" s="45" t="str">
        <x:v>Aufnehmen</x:v>
      </x:c>
      <x:c r="E25" s="45" t="str">
        <x:v>A</x:v>
      </x:c>
      <x:c r="F25" s="45" t="str">
        <x:v>Technischer Umsetzer / Exoskelett</x:v>
      </x:c>
      <x:c r="G25" s="45" t="str">
        <x:v>Automotive; Metall; Maschinenbau; Logistik; Montage/Produktion</x:v>
      </x:c>
      <x:c r="H25" s="45" t="str">
        <x:v>Schulter; Rücken/Wirbelsäule; reduzierte Kraft/Belastbarkeit</x:v>
      </x:c>
      <x:c r="I25" s="45" t="str">
        <x:v>Überkopfarbeit; Heben/Tragen; Vorbeugehaltung; repetitive Belastung</x:v>
      </x:c>
      <x:c r="J25" s="45" t="str">
        <x:v>Exoskelett; körpergetragene Assistenz; Vor-Ort-Demo</x:v>
      </x:c>
      <x:c r="K25" s="45" t="str">
        <x:v>Ja</x:v>
      </x:c>
      <x:c r="L25" s="45" t="str">
        <x:v>nein</x:v>
      </x:c>
      <x:c r="M25" s="45" t="str">
        <x:v>nein</x:v>
      </x:c>
      <x:c r="N25" s="45" t="str">
        <x:v>teilweise</x:v>
      </x:c>
      <x:c r="O25" s="45" t="str">
        <x:v>nein</x:v>
      </x:c>
      <x:c r="P25" s="45" t="str">
        <x:v>nicht spezifisch belegt</x:v>
      </x:c>
      <x:c r="Q25" s="45" t="str">
        <x:v>Nur als individuell zu prüfende Sonderlösung führen; nicht pauschal als Reha-Hilfsmittel empfehlen.</x:v>
      </x:c>
      <x:c r="R25" s="45" t="str">
        <x:v>Bergerweg 51</x:v>
      </x:c>
      <x:c r="S25" s="45" t="str">
        <x:v>72270</x:v>
      </x:c>
      <x:c r="T25" s="45" t="str">
        <x:v>Baiersbronn</x:v>
      </x:c>
      <x:c r="U25" s="45" t="str">
        <x:v>Baden-Württemberg</x:v>
      </x:c>
      <x:c r="V25" s="45" t="str">
        <x:v>Deutschland</x:v>
      </x:c>
      <x:c r="W25" s="45" t="str">
        <x:v>+49 7442 608231</x:v>
      </x:c>
      <x:c r="X25" s="45" t="str">
        <x:v>info@hunic.de</x:v>
      </x:c>
      <x:c r="Y25" s="45" t="str">
        <x:v>https://www.hunic.com/</x:v>
      </x:c>
      <x:c r="Z25" s="82"/>
      <x:c r="AA25" s="82"/>
      <x:c r="AB25" s="45" t="str">
        <x:v>Adresse/Kontakt geprüft; numerische Hauskoordinate noch nicht separat verifiziert</x:v>
      </x:c>
      <x:c r="AC25" s="45" t="str">
        <x:v>Kartenpunkt – Adresse geprüft</x:v>
      </x:c>
      <x:c r="AD25" s="45" t="str">
        <x:v>regional + projektbezogen überregional</x:v>
      </x:c>
      <x:c r="AE25" s="45" t="str">
        <x:v>https://www.hunic.com/</x:v>
      </x:c>
      <x:c r="AF25" s="45" t="str"/>
      <x:c r="AG25" s="45" t="str">
        <x:v>Standort verifiziert.</x:v>
      </x:c>
      <x:c r="AH25" s="83" t="str">
        <x:v>2026-08-30</x:v>
      </x:c>
      <x:c r="AI25" s="45" t="str">
        <x:f>IF(R25="","",R25&amp;", "&amp;S25&amp;" "&amp;T25&amp;", Deutschland")</x:f>
        <x:v>Bergerweg 51, 72270 Baiersbronn, Deutschland</x:v>
      </x:c>
    </x:row>
    <x:row r="26">
      <x:c r="A26" s="45" t="str">
        <x:v>T-022</x:v>
      </x:c>
      <x:c r="B26" s="45" t="str">
        <x:v>T-022</x:v>
      </x:c>
      <x:c r="C26" s="45" t="str">
        <x:v>hTRIUS GmbH</x:v>
      </x:c>
      <x:c r="D26" s="45" t="str">
        <x:v>Aufnehmen</x:v>
      </x:c>
      <x:c r="E26" s="45" t="str">
        <x:v>A</x:v>
      </x:c>
      <x:c r="F26" s="45" t="str">
        <x:v>Technischer Umsetzer / Exoskelett</x:v>
      </x:c>
      <x:c r="G26" s="45" t="str">
        <x:v>Automotive; Metall; Maschinenbau; Logistik; Montage/Produktion</x:v>
      </x:c>
      <x:c r="H26" s="45" t="str">
        <x:v>Rücken/Wirbelsäule; reduzierte Kraft/Belastbarkeit</x:v>
      </x:c>
      <x:c r="I26" s="45" t="str">
        <x:v>Heben/Tragen; Vorbeugehaltung; körperlich belastende Montage</x:v>
      </x:c>
      <x:c r="J26" s="45" t="str">
        <x:v>Exoskelett; Rückenassistenz; Demo/Rollout</x:v>
      </x:c>
      <x:c r="K26" s="45" t="str">
        <x:v>Ja</x:v>
      </x:c>
      <x:c r="L26" s="45" t="str">
        <x:v>nein</x:v>
      </x:c>
      <x:c r="M26" s="45" t="str">
        <x:v>nein</x:v>
      </x:c>
      <x:c r="N26" s="45" t="str">
        <x:v>teilweise</x:v>
      </x:c>
      <x:c r="O26" s="45" t="str">
        <x:v>nein</x:v>
      </x:c>
      <x:c r="P26" s="45" t="str">
        <x:v>nicht spezifisch belegt</x:v>
      </x:c>
      <x:c r="Q26" s="45" t="str">
        <x:v>Eignung im Einzelfall prüfen; sinnvoll als Option bei belastenden Hebe-/Beugebewegungen.</x:v>
      </x:c>
      <x:c r="R26" s="45" t="str">
        <x:v>Junghansstraße 16</x:v>
      </x:c>
      <x:c r="S26" s="45" t="str">
        <x:v>72160</x:v>
      </x:c>
      <x:c r="T26" s="45" t="str">
        <x:v>Horb am Neckar</x:v>
      </x:c>
      <x:c r="U26" s="45" t="str">
        <x:v>Baden-Württemberg</x:v>
      </x:c>
      <x:c r="V26" s="45" t="str">
        <x:v>Deutschland</x:v>
      </x:c>
      <x:c r="W26" s="45" t="str">
        <x:v>+49 7451 5391551</x:v>
      </x:c>
      <x:c r="X26" s="45" t="str">
        <x:v>info@htrius.com</x:v>
      </x:c>
      <x:c r="Y26" s="45" t="str">
        <x:v>https://www.htrius.com/</x:v>
      </x:c>
      <x:c r="Z26" s="82"/>
      <x:c r="AA26" s="82"/>
      <x:c r="AB26" s="45" t="str">
        <x:v>Adresse/Kontakt geprüft; numerische Hauskoordinate noch nicht separat verifiziert</x:v>
      </x:c>
      <x:c r="AC26" s="45" t="str">
        <x:v>Kartenpunkt – Adresse geprüft</x:v>
      </x:c>
      <x:c r="AD26" s="45" t="str">
        <x:v>regional + projektbezogen überregional</x:v>
      </x:c>
      <x:c r="AE26" s="45" t="str">
        <x:v>https://www.htrius.com/</x:v>
      </x:c>
      <x:c r="AF26" s="45" t="str"/>
      <x:c r="AG26" s="45" t="str">
        <x:v>Aktuelle Adresse nach Adressänderung 2025 verifiziert.</x:v>
      </x:c>
      <x:c r="AH26" s="83" t="str">
        <x:v>2026-08-30</x:v>
      </x:c>
      <x:c r="AI26" s="45" t="str">
        <x:f>IF(R26="","",R26&amp;", "&amp;S26&amp;" "&amp;T26&amp;", Deutschland")</x:f>
        <x:v>Junghansstraße 16, 72160 Horb am Neckar, Deutschland</x:v>
      </x:c>
    </x:row>
    <x:row r="27">
      <x:c r="A27" s="45" t="str">
        <x:v>T-023</x:v>
      </x:c>
      <x:c r="B27" s="45" t="str">
        <x:v>T-023</x:v>
      </x:c>
      <x:c r="C27" s="45" t="str">
        <x:v>HDC Huttelmaier Retrofit</x:v>
      </x:c>
      <x:c r="D27" s="45" t="str">
        <x:v>Aufnehmen</x:v>
      </x:c>
      <x:c r="E27" s="45" t="str">
        <x:v>A</x:v>
      </x:c>
      <x:c r="F27" s="45" t="str">
        <x:v>Technischer Umsetzer / Maschinenretrofit</x:v>
      </x:c>
      <x:c r="G27" s="45" t="str">
        <x:v>Metall; Maschinenbau; Automotive</x:v>
      </x:c>
      <x:c r="H27" s="45" t="str">
        <x:v>Arm/Hand; Sehen; reduzierte Kraft; sonstige Bedienungseinschränkung</x:v>
      </x:c>
      <x:c r="I27" s="45" t="str">
        <x:v>Maschine nicht mehr bedienbar; Steuerungs-/Bedienproblem; Sicherheitsanpassung</x:v>
      </x:c>
      <x:c r="J27" s="45" t="str">
        <x:v>Maschinenretrofit; Steuerungsumbau; Bedienpult; Elektrik/Schaltschrank; Schutzeinrichtung</x:v>
      </x:c>
      <x:c r="K27" s="45" t="str">
        <x:v>Ja</x:v>
      </x:c>
      <x:c r="L27" s="45" t="str">
        <x:v>Ja</x:v>
      </x:c>
      <x:c r="M27" s="45" t="str">
        <x:v>Ja</x:v>
      </x:c>
      <x:c r="N27" s="45" t="str">
        <x:v>Ja</x:v>
      </x:c>
      <x:c r="O27" s="45" t="str">
        <x:v>Ja/projektbezogen</x:v>
      </x:c>
      <x:c r="P27" s="45" t="str">
        <x:v>nicht spezifisch belegt</x:v>
      </x:c>
      <x:c r="Q27" s="45" t="str">
        <x:v>Als Umsetzer für projektbezogene Bedienungsänderung führen; Reha-Spezialisierung vor Auftrag prüfen.</x:v>
      </x:c>
      <x:c r="R27" s="45" t="str">
        <x:v>Winterbacher Straße 66</x:v>
      </x:c>
      <x:c r="S27" s="45" t="str">
        <x:v>73614</x:v>
      </x:c>
      <x:c r="T27" s="45" t="str">
        <x:v>Schorndorf</x:v>
      </x:c>
      <x:c r="U27" s="45" t="str">
        <x:v>Baden-Württemberg</x:v>
      </x:c>
      <x:c r="V27" s="45" t="str">
        <x:v>Deutschland</x:v>
      </x:c>
      <x:c r="W27" s="45" t="str">
        <x:v>+49 7181 97868-0</x:v>
      </x:c>
      <x:c r="X27" s="45" t="str">
        <x:v>vertrieb@huttelmaier.de</x:v>
      </x:c>
      <x:c r="Y27" s="45" t="str">
        <x:v>https://retrofit.de/</x:v>
      </x:c>
      <x:c r="Z27" s="82"/>
      <x:c r="AA27" s="82"/>
      <x:c r="AB27" s="45" t="str">
        <x:v>Adresse/Kontakt geprüft; numerische Hauskoordinate noch nicht separat verifiziert</x:v>
      </x:c>
      <x:c r="AC27" s="45" t="str">
        <x:v>Kartenpunkt – Adresse geprüft</x:v>
      </x:c>
      <x:c r="AD27" s="45" t="str">
        <x:v>regional + projektbezogen überregional</x:v>
      </x:c>
      <x:c r="AE27" s="45" t="str">
        <x:v>https://retrofit.de/</x:v>
      </x:c>
      <x:c r="AF27" s="45" t="str"/>
      <x:c r="AG27" s="45" t="str">
        <x:v>Standort verifiziert.</x:v>
      </x:c>
      <x:c r="AH27" s="83" t="str">
        <x:v>2026-08-30</x:v>
      </x:c>
      <x:c r="AI27" s="45" t="str">
        <x:f>IF(R27="","",R27&amp;", "&amp;S27&amp;" "&amp;T27&amp;", Deutschland")</x:f>
        <x:v>Winterbacher Straße 66, 73614 Schorndorf, Deutschland</x:v>
      </x:c>
    </x:row>
    <x:row r="28">
      <x:c r="A28" s="45" t="str">
        <x:v>T-024</x:v>
      </x:c>
      <x:c r="B28" s="45" t="str">
        <x:v>T-024</x:v>
      </x:c>
      <x:c r="C28" s="45" t="str">
        <x:v>SPS Automation GmbH</x:v>
      </x:c>
      <x:c r="D28" s="45" t="str">
        <x:v>Aufnehmen</x:v>
      </x:c>
      <x:c r="E28" s="45" t="str">
        <x:v>A</x:v>
      </x:c>
      <x:c r="F28" s="45" t="str">
        <x:v>Technischer Umsetzer / Maschinenretrofit</x:v>
      </x:c>
      <x:c r="G28" s="45" t="str">
        <x:v>Metall; Maschinenbau; Automotive; Montage/Produktion</x:v>
      </x:c>
      <x:c r="H28" s="45" t="str">
        <x:v>Arm/Hand; Sehen; reduzierte Kraft; sonstige Bedienungseinschränkung</x:v>
      </x:c>
      <x:c r="I28" s="45" t="str">
        <x:v>Maschinenbedienung; Steuerungsproblem; Retrofit; Sicherheitsanpassung</x:v>
      </x:c>
      <x:c r="J28" s="45" t="str">
        <x:v>SPS-/Steuerungsumbau; Schaltschrank; Bedienung; Retrofit; Inbetriebnahme</x:v>
      </x:c>
      <x:c r="K28" s="45" t="str">
        <x:v>Ja</x:v>
      </x:c>
      <x:c r="L28" s="45" t="str">
        <x:v>Ja</x:v>
      </x:c>
      <x:c r="M28" s="45" t="str">
        <x:v>Ja</x:v>
      </x:c>
      <x:c r="N28" s="45" t="str">
        <x:v>Ja</x:v>
      </x:c>
      <x:c r="O28" s="45" t="str">
        <x:v>Ja/projektbezogen</x:v>
      </x:c>
      <x:c r="P28" s="45" t="str">
        <x:v>nicht spezifisch belegt</x:v>
      </x:c>
      <x:c r="Q28" s="45" t="str">
        <x:v>Regional sehr interessant: Ist-Analyse, Umbau, Montage vor Ort, Inbetriebnahme und Schulung.</x:v>
      </x:c>
      <x:c r="R28" s="45" t="str">
        <x:v>Langen-Morgenstraße 17</x:v>
      </x:c>
      <x:c r="S28" s="45" t="str">
        <x:v>69488</x:v>
      </x:c>
      <x:c r="T28" s="45" t="str">
        <x:v>Birkenau</x:v>
      </x:c>
      <x:c r="U28" s="45" t="str">
        <x:v>Hessen</x:v>
      </x:c>
      <x:c r="V28" s="45" t="str">
        <x:v>Deutschland</x:v>
      </x:c>
      <x:c r="W28" s="45" t="str">
        <x:v>+49 6209 725749</x:v>
      </x:c>
      <x:c r="X28" s="45" t="str">
        <x:v>info@sps-automation.de</x:v>
      </x:c>
      <x:c r="Y28" s="45" t="str">
        <x:v>https://sps-automation.de/dienstleistungen/retrofit.html</x:v>
      </x:c>
      <x:c r="Z28" s="82"/>
      <x:c r="AA28" s="82"/>
      <x:c r="AB28" s="45" t="str">
        <x:v>Adresse aktuell widersprüchlich; vor finaler Geocodierung manuell bestätigen</x:v>
      </x:c>
      <x:c r="AC28" s="45" t="str">
        <x:v>Kartenpunkt – Geo-Warnung</x:v>
      </x:c>
      <x:c r="AD28" s="45" t="str">
        <x:v>regional + projektbezogen überregional</x:v>
      </x:c>
      <x:c r="AE28" s="45" t="str">
        <x:v>https://sps-automation.de/</x:v>
      </x:c>
      <x:c r="AF28" s="45" t="str"/>
      <x:c r="AG28" s="45" t="str">
        <x:v>Website nennt operativ Nr. 17; Impressum enthält zugleich Nr. 19. Vor produktivem Geocode einmal manuell gegenprüfen.</x:v>
      </x:c>
      <x:c r="AH28" s="83" t="str">
        <x:v>2026-08-30</x:v>
      </x:c>
      <x:c r="AI28" s="45" t="str">
        <x:f>IF(R28="","",R28&amp;", "&amp;S28&amp;" "&amp;T28&amp;", Deutschland")</x:f>
        <x:v>Langen-Morgenstraße 17, 69488 Birkenau, Deutschland</x:v>
      </x:c>
    </x:row>
    <x:row r="29">
      <x:c r="A29" s="45" t="str">
        <x:v>T-025</x:v>
      </x:c>
      <x:c r="B29" s="45" t="str">
        <x:v>T-025</x:v>
      </x:c>
      <x:c r="C29" s="45" t="str">
        <x:v>NEFF-Pressen / Röcher GmbH &amp; Co. KG</x:v>
      </x:c>
      <x:c r="D29" s="45" t="str">
        <x:v>Aufnehmen</x:v>
      </x:c>
      <x:c r="E29" s="45" t="str">
        <x:v>A</x:v>
      </x:c>
      <x:c r="F29" s="45" t="str">
        <x:v>Technischer Umsetzer / Pressenretrofit</x:v>
      </x:c>
      <x:c r="G29" s="45" t="str">
        <x:v>Metall; Automotive; Maschinenbau</x:v>
      </x:c>
      <x:c r="H29" s="45" t="str">
        <x:v>Arm/Hand; Sehen; reduzierte Kraft; sonstige Bedienungseinschränkung</x:v>
      </x:c>
      <x:c r="I29" s="45" t="str">
        <x:v>Pressenbedienung; Bedienpult; Sicherheit; Zuführung/Entnahme</x:v>
      </x:c>
      <x:c r="J29" s="45" t="str">
        <x:v>Retrofit; Touch-/Bedienpult; Taster/Schalter; I/O; Sicherheit; Zuführ-/Robotiklösung</x:v>
      </x:c>
      <x:c r="K29" s="45" t="str">
        <x:v>Ja</x:v>
      </x:c>
      <x:c r="L29" s="45" t="str">
        <x:v>Ja</x:v>
      </x:c>
      <x:c r="M29" s="45" t="str">
        <x:v>Ja</x:v>
      </x:c>
      <x:c r="N29" s="45" t="str">
        <x:v>Ja</x:v>
      </x:c>
      <x:c r="O29" s="45" t="str">
        <x:v>Ja/projektbezogen</x:v>
      </x:c>
      <x:c r="P29" s="45" t="str">
        <x:v>nicht spezifisch belegt</x:v>
      </x:c>
      <x:c r="Q29" s="45" t="str">
        <x:v>Besonders für konkrete Pressen-/Metallfälle interessant.</x:v>
      </x:c>
      <x:c r="R29" s="45" t="str">
        <x:v>In den Kuhwiesen 4</x:v>
      </x:c>
      <x:c r="S29" s="45" t="str">
        <x:v>76149</x:v>
      </x:c>
      <x:c r="T29" s="45" t="str">
        <x:v>Karlsruhe</x:v>
      </x:c>
      <x:c r="U29" s="45" t="str">
        <x:v>Baden-Württemberg</x:v>
      </x:c>
      <x:c r="V29" s="45" t="str">
        <x:v>Deutschland</x:v>
      </x:c>
      <x:c r="W29" s="45" t="str">
        <x:v>+49 721 97828-0</x:v>
      </x:c>
      <x:c r="X29" s="45" t="str"/>
      <x:c r="Y29" s="45" t="str">
        <x:v>https://beflex.neff-pressen.de/retrofit.html</x:v>
      </x:c>
      <x:c r="Z29" s="82"/>
      <x:c r="AA29" s="82"/>
      <x:c r="AB29" s="45" t="str">
        <x:v>Adresse/Kontakt geprüft; numerische Hauskoordinate noch nicht separat verifiziert</x:v>
      </x:c>
      <x:c r="AC29" s="45" t="str">
        <x:v>Kartenpunkt – Adresse geprüft</x:v>
      </x:c>
      <x:c r="AD29" s="45" t="str">
        <x:v>regional + projektbezogen überregional</x:v>
      </x:c>
      <x:c r="AE29" s="45" t="str">
        <x:v>https://neff-pressen.de/</x:v>
      </x:c>
      <x:c r="AF29" s="45" t="str"/>
      <x:c r="AG29" s="45" t="str">
        <x:v>Standort Werk 2/NEFF verifiziert. Kein allgemeines Funktionspostfach belastbar verifiziert; Websitekontakt verwenden.</x:v>
      </x:c>
      <x:c r="AH29" s="83" t="str">
        <x:v>2026-08-30</x:v>
      </x:c>
      <x:c r="AI29" s="45" t="str">
        <x:f>IF(R29="","",R29&amp;", "&amp;S29&amp;" "&amp;T29&amp;", Deutschland")</x:f>
        <x:v>In den Kuhwiesen 4, 76149 Karlsruhe, Deutschland</x:v>
      </x:c>
    </x:row>
    <x:row r="30">
      <x:c r="A30" s="45" t="str">
        <x:v>T-026</x:v>
      </x:c>
      <x:c r="B30" s="45" t="str">
        <x:v>T-026</x:v>
      </x:c>
      <x:c r="C30" s="45" t="str">
        <x:v>ANKO GmbH &amp; Co. KG</x:v>
      </x:c>
      <x:c r="D30" s="45" t="str">
        <x:v>Aufnehmen</x:v>
      </x:c>
      <x:c r="E30" s="45" t="str">
        <x:v>A</x:v>
      </x:c>
      <x:c r="F30" s="45" t="str">
        <x:v>Technischer Umsetzer / Sondermaschinen &amp; Vorrichtungen</x:v>
      </x:c>
      <x:c r="G30" s="45" t="str">
        <x:v>Automotive; Metall; Maschinenbau; Montage/Produktion</x:v>
      </x:c>
      <x:c r="H30" s="45" t="str">
        <x:v>Arm/Hand; Schulter; reduzierte Kraft</x:v>
      </x:c>
      <x:c r="I30" s="45" t="str">
        <x:v>Positionieren; Zentrieren; Schrauben; Handling; Montagevorgang</x:v>
      </x:c>
      <x:c r="J30" s="45" t="str">
        <x:v>Sondervorrichtung; Handling; Positionier-/Zentriertechnik; Schraubapplikation</x:v>
      </x:c>
      <x:c r="K30" s="45" t="str">
        <x:v>Ja</x:v>
      </x:c>
      <x:c r="L30" s="45" t="str">
        <x:v>Ja</x:v>
      </x:c>
      <x:c r="M30" s="45" t="str">
        <x:v>Ja</x:v>
      </x:c>
      <x:c r="N30" s="45" t="str">
        <x:v>Ja</x:v>
      </x:c>
      <x:c r="O30" s="45" t="str">
        <x:v>teilweise/projektbezogen</x:v>
      </x:c>
      <x:c r="P30" s="45" t="str">
        <x:v>nicht spezifisch belegt</x:v>
      </x:c>
      <x:c r="Q30" s="45" t="str">
        <x:v>Als technischer Umsetzer führen, nicht als unabhängigen Reha-Berater.</x:v>
      </x:c>
      <x:c r="R30" s="45" t="str">
        <x:v>Litzenhardtstraße 26</x:v>
      </x:c>
      <x:c r="S30" s="45" t="str">
        <x:v>76135</x:v>
      </x:c>
      <x:c r="T30" s="45" t="str">
        <x:v>Karlsruhe</x:v>
      </x:c>
      <x:c r="U30" s="45" t="str">
        <x:v>Baden-Württemberg</x:v>
      </x:c>
      <x:c r="V30" s="45" t="str">
        <x:v>Deutschland</x:v>
      </x:c>
      <x:c r="W30" s="45" t="str">
        <x:v>+49 721 26306-54</x:v>
      </x:c>
      <x:c r="X30" s="45" t="str">
        <x:v>info@anko-karlsruhe.de</x:v>
      </x:c>
      <x:c r="Y30" s="45" t="str">
        <x:v>https://anko-karlsruhe.de/</x:v>
      </x:c>
      <x:c r="Z30" s="82"/>
      <x:c r="AA30" s="82"/>
      <x:c r="AB30" s="45" t="str">
        <x:v>Adresse/Kontakt geprüft; numerische Hauskoordinate noch nicht separat verifiziert</x:v>
      </x:c>
      <x:c r="AC30" s="45" t="str">
        <x:v>Kartenpunkt – Adresse geprüft</x:v>
      </x:c>
      <x:c r="AD30" s="45" t="str">
        <x:v>regional + projektbezogen überregional</x:v>
      </x:c>
      <x:c r="AE30" s="45" t="str">
        <x:v>https://anko-karlsruhe.de/kontakt/</x:v>
      </x:c>
      <x:c r="AF30" s="45" t="str"/>
      <x:c r="AG30" s="45" t="str">
        <x:v>Standort und aktuelle Kontaktdaten verifiziert.</x:v>
      </x:c>
      <x:c r="AH30" s="83" t="str">
        <x:v>2026-08-30</x:v>
      </x:c>
      <x:c r="AI30" s="45" t="str">
        <x:f>IF(R30="","",R30&amp;", "&amp;S30&amp;" "&amp;T30&amp;", Deutschland")</x:f>
        <x:v>Litzenhardtstraße 26, 76135 Karlsruhe, Deutschland</x:v>
      </x:c>
    </x:row>
    <x:row r="31">
      <x:c r="A31" s="45" t="str">
        <x:v>T-027</x:v>
      </x:c>
      <x:c r="B31" s="45" t="str">
        <x:v>T-027</x:v>
      </x:c>
      <x:c r="C31" s="45" t="str">
        <x:v>TINKA Handelsgesellschaft mbH</x:v>
      </x:c>
      <x:c r="D31" s="45" t="str">
        <x:v>Aufnehmen</x:v>
      </x:c>
      <x:c r="E31" s="45" t="str">
        <x:v>A</x:v>
      </x:c>
      <x:c r="F31" s="45" t="str">
        <x:v>Technischer Umsetzer / Hebe- &amp; Sondertechnik</x:v>
      </x:c>
      <x:c r="G31" s="45" t="str">
        <x:v>Metall; Maschinenbau; Montage/Produktion; Logistik</x:v>
      </x:c>
      <x:c r="H31" s="45" t="str">
        <x:v>Arm/Hand; Schulter; Rücken/Wirbelsäule; reduzierte Kraft</x:v>
      </x:c>
      <x:c r="I31" s="45" t="str">
        <x:v>Heben/Tragen; Wenden/Positionieren; innerbetriebliche Bewegung</x:v>
      </x:c>
      <x:c r="J31" s="45" t="str">
        <x:v>Hebetechnik; Handhabungstechnik; Sonderkonstruktion; Montage</x:v>
      </x:c>
      <x:c r="K31" s="45" t="str">
        <x:v>Ja</x:v>
      </x:c>
      <x:c r="L31" s="45" t="str">
        <x:v>Ja</x:v>
      </x:c>
      <x:c r="M31" s="45" t="str">
        <x:v>Ja</x:v>
      </x:c>
      <x:c r="N31" s="45" t="str">
        <x:v>Ja</x:v>
      </x:c>
      <x:c r="O31" s="45" t="str">
        <x:v>teilweise/projektbezogen</x:v>
      </x:c>
      <x:c r="P31" s="45" t="str">
        <x:v>nicht spezifisch belegt</x:v>
      </x:c>
      <x:c r="Q31" s="45" t="str">
        <x:v>Regionaler Umsetzungspartner; BG-/Reha-Spezialisierung projektbezogen prüfen.</x:v>
      </x:c>
      <x:c r="R31" s="45" t="str">
        <x:v>August-Mogler-Straße 1/3</x:v>
      </x:c>
      <x:c r="S31" s="45" t="str">
        <x:v>74080</x:v>
      </x:c>
      <x:c r="T31" s="45" t="str">
        <x:v>Heilbronn</x:v>
      </x:c>
      <x:c r="U31" s="45" t="str">
        <x:v>Baden-Württemberg</x:v>
      </x:c>
      <x:c r="V31" s="45" t="str">
        <x:v>Deutschland</x:v>
      </x:c>
      <x:c r="W31" s="45" t="str">
        <x:v>+49 7131 63530-50</x:v>
      </x:c>
      <x:c r="X31" s="45" t="str">
        <x:v>info@tinka-gmbh.de</x:v>
      </x:c>
      <x:c r="Y31" s="45" t="str">
        <x:v>https://www.tinka-gmbh.de/</x:v>
      </x:c>
      <x:c r="Z31" s="82"/>
      <x:c r="AA31" s="82"/>
      <x:c r="AB31" s="45" t="str">
        <x:v>Adresse/Kontakt geprüft; numerische Hauskoordinate noch nicht separat verifiziert</x:v>
      </x:c>
      <x:c r="AC31" s="45" t="str">
        <x:v>Kartenpunkt – Adresse geprüft</x:v>
      </x:c>
      <x:c r="AD31" s="45" t="str">
        <x:v>regional + projektbezogen überregional</x:v>
      </x:c>
      <x:c r="AE31" s="45" t="str">
        <x:v>https://www.tinka-gmbh.de/</x:v>
      </x:c>
      <x:c r="AF31" s="45" t="str"/>
      <x:c r="AG31" s="45" t="str">
        <x:v>Standort verifiziert.</x:v>
      </x:c>
      <x:c r="AH31" s="83" t="str">
        <x:v>2026-08-30</x:v>
      </x:c>
      <x:c r="AI31" s="45" t="str">
        <x:f>IF(R31="","",R31&amp;", "&amp;S31&amp;" "&amp;T31&amp;", Deutschland")</x:f>
        <x:v>August-Mogler-Straße 1/3, 74080 Heilbronn, Deutschland</x:v>
      </x:c>
    </x:row>
    <x:row r="32">
      <x:c r="A32" s="45" t="str">
        <x:v>T-028</x:v>
      </x:c>
      <x:c r="B32" s="45" t="str">
        <x:v>T-028</x:v>
      </x:c>
      <x:c r="C32" s="45" t="str">
        <x:v>Rauscher &amp; Reyhing GmbH</x:v>
      </x:c>
      <x:c r="D32" s="45" t="str">
        <x:v>Aufnehmen</x:v>
      </x:c>
      <x:c r="E32" s="45" t="str">
        <x:v>A</x:v>
      </x:c>
      <x:c r="F32" s="45" t="str">
        <x:v>Technischer Umsetzer / Holzmaschinen</x:v>
      </x:c>
      <x:c r="G32" s="45" t="str">
        <x:v>Holz/Schreinerei; Möbelbau; Montage</x:v>
      </x:c>
      <x:c r="H32" s="45" t="str">
        <x:v>Arm/Hand; Schulter; Rücken/Wirbelsäule; reduzierte Kraft</x:v>
      </x:c>
      <x:c r="I32" s="45" t="str">
        <x:v>Plattenhandling; Maschinenbeschickung; Heben/Tragen; Werkstattprozess</x:v>
      </x:c>
      <x:c r="J32" s="45" t="str">
        <x:v>Holzbearbeitungsmaschine; Vakuumheber; Plattenhandling; Service/Vor-Ort-Beratung</x:v>
      </x:c>
      <x:c r="K32" s="45" t="str">
        <x:v>Ja</x:v>
      </x:c>
      <x:c r="L32" s="45" t="str">
        <x:v>teilweise</x:v>
      </x:c>
      <x:c r="M32" s="45" t="str">
        <x:v>Ja</x:v>
      </x:c>
      <x:c r="N32" s="45" t="str">
        <x:v>Ja</x:v>
      </x:c>
      <x:c r="O32" s="45" t="str">
        <x:v>teilweise/projektbezogen</x:v>
      </x:c>
      <x:c r="P32" s="45" t="str">
        <x:v>nicht spezifisch belegt</x:v>
      </x:c>
      <x:c r="Q32" s="45" t="str">
        <x:v>Branchenspezifischer Partner für Schreinerei; als technischer Branchenumsetzer kennzeichnen.</x:v>
      </x:c>
      <x:c r="R32" s="45" t="str">
        <x:v>Meidelstetter Straße 13</x:v>
      </x:c>
      <x:c r="S32" s="45" t="str">
        <x:v>72531</x:v>
      </x:c>
      <x:c r="T32" s="45" t="str">
        <x:v>Hohenstein-Bernloch</x:v>
      </x:c>
      <x:c r="U32" s="45" t="str">
        <x:v>Baden-Württemberg</x:v>
      </x:c>
      <x:c r="V32" s="45" t="str">
        <x:v>Deutschland</x:v>
      </x:c>
      <x:c r="W32" s="45" t="str">
        <x:v>+49 7387 9884-0</x:v>
      </x:c>
      <x:c r="X32" s="45" t="str">
        <x:v>mail@rauscher-reyhing.de</x:v>
      </x:c>
      <x:c r="Y32" s="45" t="str">
        <x:v>https://www.rauscher-reyhing.de/</x:v>
      </x:c>
      <x:c r="Z32" s="82"/>
      <x:c r="AA32" s="82"/>
      <x:c r="AB32" s="45" t="str">
        <x:v>Adresse/Kontakt geprüft; numerische Hauskoordinate noch nicht separat verifiziert</x:v>
      </x:c>
      <x:c r="AC32" s="45" t="str">
        <x:v>Kartenpunkt – Adresse geprüft</x:v>
      </x:c>
      <x:c r="AD32" s="45" t="str">
        <x:v>regional + projektbezogen überregional</x:v>
      </x:c>
      <x:c r="AE32" s="45" t="str">
        <x:v>https://www.rauscher-reyhing.de/</x:v>
      </x:c>
      <x:c r="AF32" s="45" t="str"/>
      <x:c r="AG32" s="45" t="str">
        <x:v>Standort verifiziert.</x:v>
      </x:c>
      <x:c r="AH32" s="83" t="str">
        <x:v>2026-08-30</x:v>
      </x:c>
      <x:c r="AI32" s="45" t="str">
        <x:f>IF(R32="","",R32&amp;", "&amp;S32&amp;" "&amp;T32&amp;", Deutschland")</x:f>
        <x:v>Meidelstetter Straße 13, 72531 Hohenstein-Bernloch, Deutschland</x:v>
      </x:c>
    </x:row>
    <x:row r="33">
      <x:c r="A33" s="45" t="str">
        <x:v>T-029</x:v>
      </x:c>
      <x:c r="B33" s="45" t="str">
        <x:v>T-029</x:v>
      </x:c>
      <x:c r="C33" s="45" t="str">
        <x:v>Schmersal / tec.nicum</x:v>
      </x:c>
      <x:c r="D33" s="45" t="str">
        <x:v>Aufnehmen</x:v>
      </x:c>
      <x:c r="E33" s="45" t="str">
        <x:v>A+</x:v>
      </x:c>
      <x:c r="F33" s="45" t="str">
        <x:v>Technischer Berater &amp; Umsetzer / Bedienung &amp; Safety</x:v>
      </x:c>
      <x:c r="G33" s="45" t="str">
        <x:v>Metall; Automotive; Maschinenbau; Holz; Montage/Produktion</x:v>
      </x:c>
      <x:c r="H33" s="45" t="str">
        <x:v>Arm/Hand; reduzierte Kraft; Sehen/Hören; sonstige Bedienungseinschränkung</x:v>
      </x:c>
      <x:c r="I33" s="45" t="str">
        <x:v>Alternative Maschinenbedienung; geringe Betätigungskraft; Fuß-/Kniebedienung; Maschinensicherheit</x:v>
      </x:c>
      <x:c r="J33" s="45" t="str">
        <x:v>Fußschalter; Knieschalter; leichtgängige Bedienelemente; Bedienfeld; Handheld; Safety/Arbeitsplatzoptimierung</x:v>
      </x:c>
      <x:c r="K33" s="45" t="str">
        <x:v>Ja</x:v>
      </x:c>
      <x:c r="L33" s="45" t="str">
        <x:v>Ja</x:v>
      </x:c>
      <x:c r="M33" s="45" t="str">
        <x:v>Ja</x:v>
      </x:c>
      <x:c r="N33" s="45" t="str">
        <x:v>Ja</x:v>
      </x:c>
      <x:c r="O33" s="45" t="str">
        <x:v>Ja</x:v>
      </x:c>
      <x:c r="P33" s="45" t="str">
        <x:v>nicht spezifisch belegt</x:v>
      </x:c>
      <x:c r="Q33" s="45" t="str">
        <x:v>Sehr wertvoll bei Hand-/Finger-/Armdefiziten und alternativer Betätigung; Safety-Kompetenz verknüpfen.</x:v>
      </x:c>
      <x:c r="R33" s="45" t="str">
        <x:v>Möddinghofe 30</x:v>
      </x:c>
      <x:c r="S33" s="45" t="str">
        <x:v>42279</x:v>
      </x:c>
      <x:c r="T33" s="45" t="str">
        <x:v>Wuppertal</x:v>
      </x:c>
      <x:c r="U33" s="45" t="str">
        <x:v>Nordrhein-Westfalen</x:v>
      </x:c>
      <x:c r="V33" s="45" t="str">
        <x:v>Deutschland</x:v>
      </x:c>
      <x:c r="W33" s="45" t="str">
        <x:v>+49 202 6474-932</x:v>
      </x:c>
      <x:c r="X33" s="45" t="str">
        <x:v>info-de@tecnicum.com</x:v>
      </x:c>
      <x:c r="Y33" s="45" t="str">
        <x:v>https://www.schmersal.com/</x:v>
      </x:c>
      <x:c r="Z33" s="82"/>
      <x:c r="AA33" s="82"/>
      <x:c r="AB33" s="45" t="str">
        <x:v>Adresse/Kontakt geprüft; numerische Hauskoordinate noch nicht separat verifiziert</x:v>
      </x:c>
      <x:c r="AC33" s="45" t="str">
        <x:v>Kartenpunkt – Adresse geprüft</x:v>
      </x:c>
      <x:c r="AD33" s="45" t="str">
        <x:v>überregional / bundesweit projektbezogen</x:v>
      </x:c>
      <x:c r="AE33" s="45" t="str">
        <x:v>https://www.schmersal.com/</x:v>
      </x:c>
      <x:c r="AF33" s="45" t="str"/>
      <x:c r="AG33" s="45" t="str">
        <x:v>Schmersal/tec.nicum Wuppertal als Kartenstandort; Einsatz überregional.</x:v>
      </x:c>
      <x:c r="AH33" s="83" t="str">
        <x:v>2026-08-30</x:v>
      </x:c>
      <x:c r="AI33" s="45" t="str">
        <x:f>IF(R33="","",R33&amp;", "&amp;S33&amp;" "&amp;T33&amp;", Deutschland")</x:f>
        <x:v>Möddinghofe 30, 42279 Wuppertal, Deutschland</x:v>
      </x:c>
    </x:row>
    <x:row r="34">
      <x:c r="A34" s="45" t="str">
        <x:v>T-030</x:v>
      </x:c>
      <x:c r="B34" s="45" t="str">
        <x:v>T-030</x:v>
      </x:c>
      <x:c r="C34" s="45" t="str">
        <x:v>Faude Tec GmbH</x:v>
      </x:c>
      <x:c r="D34" s="45" t="str">
        <x:v>Aufnehmen</x:v>
      </x:c>
      <x:c r="E34" s="45" t="str">
        <x:v>A+</x:v>
      </x:c>
      <x:c r="F34" s="45" t="str">
        <x:v>Systemintegrator / Cobot &amp; Automation</x:v>
      </x:c>
      <x:c r="G34" s="45" t="str">
        <x:v>Automotive; Metall; Maschinenbau; Montage/Produktion</x:v>
      </x:c>
      <x:c r="H34" s="45" t="str">
        <x:v>Arm/Hand; Schulter; Rücken/Wirbelsäule; reduzierte Kraft/Belastbarkeit</x:v>
      </x:c>
      <x:c r="I34" s="45" t="str">
        <x:v>Repetitive Belastung; Heben/Positionieren; Maschinenbeschickung; ungünstige Körperhaltung</x:v>
      </x:c>
      <x:c r="J34" s="45" t="str">
        <x:v>Cobot; Robotik; SPS; Sonderautomation; Teilprozess-Automatisierung</x:v>
      </x:c>
      <x:c r="K34" s="45" t="str">
        <x:v>Ja</x:v>
      </x:c>
      <x:c r="L34" s="45" t="str">
        <x:v>Ja</x:v>
      </x:c>
      <x:c r="M34" s="45" t="str">
        <x:v>Ja</x:v>
      </x:c>
      <x:c r="N34" s="45" t="str">
        <x:v>Ja</x:v>
      </x:c>
      <x:c r="O34" s="45" t="str">
        <x:v>Ja</x:v>
      </x:c>
      <x:c r="P34" s="45" t="str">
        <x:v>nicht spezifisch belegt</x:v>
      </x:c>
      <x:c r="Q34" s="45" t="str">
        <x:v>Cobot nur als individuell zu prüfende Sonderlösung; starke Safety-/CE-Kette.</x:v>
      </x:c>
      <x:c r="R34" s="45" t="str">
        <x:v>Robert-Mayer-Straße 3</x:v>
      </x:c>
      <x:c r="S34" s="45" t="str">
        <x:v>73660</x:v>
      </x:c>
      <x:c r="T34" s="45" t="str">
        <x:v>Urbach</x:v>
      </x:c>
      <x:c r="U34" s="45" t="str">
        <x:v>Baden-Württemberg</x:v>
      </x:c>
      <x:c r="V34" s="45" t="str">
        <x:v>Deutschland</x:v>
      </x:c>
      <x:c r="W34" s="45" t="str">
        <x:v>+49 7161 9459839</x:v>
      </x:c>
      <x:c r="X34" s="45" t="str">
        <x:v>info@faudetec.de</x:v>
      </x:c>
      <x:c r="Y34" s="45" t="str">
        <x:v>https://www.faudetec.de/</x:v>
      </x:c>
      <x:c r="Z34" s="82"/>
      <x:c r="AA34" s="82"/>
      <x:c r="AB34" s="45" t="str">
        <x:v>Adresse/Kontakt geprüft; numerische Hauskoordinate noch nicht separat verifiziert</x:v>
      </x:c>
      <x:c r="AC34" s="45" t="str">
        <x:v>Kartenpunkt – Adresse geprüft</x:v>
      </x:c>
      <x:c r="AD34" s="45" t="str">
        <x:v>regional + projektbezogen überregional</x:v>
      </x:c>
      <x:c r="AE34" s="45" t="str">
        <x:v>https://www.faudetec.de/</x:v>
      </x:c>
      <x:c r="AF34" s="45" t="str"/>
      <x:c r="AG34" s="45" t="str">
        <x:v>Für Karte Besucheradresse Urbach verwenden; Börtlingen (Ödweilerhof 3) ist Rechnungsadresse.</x:v>
      </x:c>
      <x:c r="AH34" s="83" t="str">
        <x:v>2026-08-30</x:v>
      </x:c>
      <x:c r="AI34" s="45" t="str">
        <x:f>IF(R34="","",R34&amp;", "&amp;S34&amp;" "&amp;T34&amp;", Deutschland")</x:f>
        <x:v>Robert-Mayer-Straße 3, 73660 Urbach, Deutschland</x:v>
      </x:c>
    </x:row>
    <x:row r="35">
      <x:c r="A35" s="45" t="str">
        <x:v>T-031</x:v>
      </x:c>
      <x:c r="B35" s="45" t="str">
        <x:v>T-031</x:v>
      </x:c>
      <x:c r="C35" s="45" t="str">
        <x:v>HOLZ automation GmbH</x:v>
      </x:c>
      <x:c r="D35" s="45" t="str">
        <x:v>Aufnehmen</x:v>
      </x:c>
      <x:c r="E35" s="45" t="str">
        <x:v>A</x:v>
      </x:c>
      <x:c r="F35" s="45" t="str">
        <x:v>Systemintegrator / Robotik &amp; Retrofit</x:v>
      </x:c>
      <x:c r="G35" s="45" t="str">
        <x:v>Automotive; Metall; Maschinenbau; Montage/Produktion</x:v>
      </x:c>
      <x:c r="H35" s="45" t="str">
        <x:v>Arm/Hand; Schulter; Rücken/Wirbelsäule; reduzierte Kraft/Belastbarkeit</x:v>
      </x:c>
      <x:c r="I35" s="45" t="str">
        <x:v>Repetitive Belastung; Montageautomation; Maschinenbeschickung; Bedienungsproblem</x:v>
      </x:c>
      <x:c r="J35" s="45" t="str">
        <x:v>Robotik/Cobot; Montageautomation; Sondermaschinenbau; SPS; Retrofit</x:v>
      </x:c>
      <x:c r="K35" s="45" t="str">
        <x:v>Ja</x:v>
      </x:c>
      <x:c r="L35" s="45" t="str">
        <x:v>Ja</x:v>
      </x:c>
      <x:c r="M35" s="45" t="str">
        <x:v>Ja</x:v>
      </x:c>
      <x:c r="N35" s="45" t="str">
        <x:v>Ja</x:v>
      </x:c>
      <x:c r="O35" s="45" t="str">
        <x:v>Ja</x:v>
      </x:c>
      <x:c r="P35" s="45" t="str">
        <x:v>nicht spezifisch belegt</x:v>
      </x:c>
      <x:c r="Q35" s="45" t="str">
        <x:v>Für komplexe industrielle Teilprozesse; Reha-Einsatz projektbezogen bewerten.</x:v>
      </x:c>
      <x:c r="R35" s="45" t="str">
        <x:v>Donaustraße 23</x:v>
      </x:c>
      <x:c r="S35" s="45" t="str">
        <x:v>71522</x:v>
      </x:c>
      <x:c r="T35" s="45" t="str">
        <x:v>Backnang</x:v>
      </x:c>
      <x:c r="U35" s="45" t="str">
        <x:v>Baden-Württemberg</x:v>
      </x:c>
      <x:c r="V35" s="45" t="str">
        <x:v>Deutschland</x:v>
      </x:c>
      <x:c r="W35" s="45" t="str">
        <x:v>+49 7191 3432-0</x:v>
      </x:c>
      <x:c r="X35" s="45" t="str">
        <x:v>info@holz-automation.de</x:v>
      </x:c>
      <x:c r="Y35" s="45" t="str">
        <x:v>https://www.holz-automation.de/de/</x:v>
      </x:c>
      <x:c r="Z35" s="82"/>
      <x:c r="AA35" s="82"/>
      <x:c r="AB35" s="45" t="str">
        <x:v>Adresse/Kontakt geprüft; numerische Hauskoordinate noch nicht separat verifiziert</x:v>
      </x:c>
      <x:c r="AC35" s="45" t="str">
        <x:v>Kartenpunkt – Adresse geprüft</x:v>
      </x:c>
      <x:c r="AD35" s="45" t="str">
        <x:v>regional + projektbezogen überregional</x:v>
      </x:c>
      <x:c r="AE35" s="45" t="str">
        <x:v>https://www.holz-automation.de/de/</x:v>
      </x:c>
      <x:c r="AF35" s="45" t="str"/>
      <x:c r="AG35" s="45" t="str">
        <x:v>Standort Backnang-Waldrems verifiziert.</x:v>
      </x:c>
      <x:c r="AH35" s="83" t="str">
        <x:v>2026-08-30</x:v>
      </x:c>
      <x:c r="AI35" s="45" t="str">
        <x:f>IF(R35="","",R35&amp;", "&amp;S35&amp;" "&amp;T35&amp;", Deutschland")</x:f>
        <x:v>Donaustraße 23, 71522 Backnang, Deutschland</x:v>
      </x:c>
    </x:row>
    <x:row r="36">
      <x:c r="A36" s="45" t="str">
        <x:v>T-032</x:v>
      </x:c>
      <x:c r="B36" s="45" t="str">
        <x:v>T-032</x:v>
      </x:c>
      <x:c r="C36" s="45" t="str">
        <x:v>WERMA Signaltechnik GmbH + Co. KG</x:v>
      </x:c>
      <x:c r="D36" s="45" t="str">
        <x:v>Aufnehmen</x:v>
      </x:c>
      <x:c r="E36" s="45" t="str">
        <x:v>A</x:v>
      </x:c>
      <x:c r="F36" s="45" t="str">
        <x:v>Technischer Umsetzer / Signaltechnik</x:v>
      </x:c>
      <x:c r="G36" s="45" t="str">
        <x:v>Metall; Automotive; Maschinenbau; Holz; Montage/Produktion</x:v>
      </x:c>
      <x:c r="H36" s="45" t="str">
        <x:v>Hören/Kommunikation; Sehen</x:v>
      </x:c>
      <x:c r="I36" s="45" t="str">
        <x:v>Warnsignale werden nicht wahrgenommen; Maschinenstatus/Alarmierung</x:v>
      </x:c>
      <x:c r="J36" s="45" t="str">
        <x:v>Optische Signale; akustische Signale; optisch-akustische Kombination; Zwei-Sinne-Signalisierung</x:v>
      </x:c>
      <x:c r="K36" s="45" t="str">
        <x:v>Ja</x:v>
      </x:c>
      <x:c r="L36" s="45" t="str">
        <x:v>teilweise</x:v>
      </x:c>
      <x:c r="M36" s="45" t="str">
        <x:v>teilweise</x:v>
      </x:c>
      <x:c r="N36" s="45" t="str">
        <x:v>Ja</x:v>
      </x:c>
      <x:c r="O36" s="45" t="str">
        <x:v>nein</x:v>
      </x:c>
      <x:c r="P36" s="45" t="str">
        <x:v>nicht spezifisch belegt</x:v>
      </x:c>
      <x:c r="Q36" s="45" t="str">
        <x:v>Für sensorische Arbeitsplatzanpassung; individuelle Kombination mit IFD/Hörfachberatung sinnvoll.</x:v>
      </x:c>
      <x:c r="R36" s="45" t="str">
        <x:v>Erich-Marquardt-Straße 1</x:v>
      </x:c>
      <x:c r="S36" s="45" t="str">
        <x:v>78604</x:v>
      </x:c>
      <x:c r="T36" s="45" t="str">
        <x:v>Rietheim-Weilheim</x:v>
      </x:c>
      <x:c r="U36" s="45" t="str">
        <x:v>Baden-Württemberg</x:v>
      </x:c>
      <x:c r="V36" s="45" t="str">
        <x:v>Deutschland</x:v>
      </x:c>
      <x:c r="W36" s="45" t="str">
        <x:v>+49 7424 9557-0</x:v>
      </x:c>
      <x:c r="X36" s="45" t="str">
        <x:v>info@werma.com</x:v>
      </x:c>
      <x:c r="Y36" s="45" t="str">
        <x:v>https://www.werma.com/</x:v>
      </x:c>
      <x:c r="Z36" s="82"/>
      <x:c r="AA36" s="82"/>
      <x:c r="AB36" s="45" t="str">
        <x:v>Adresse/Kontakt geprüft; numerische Hauskoordinate noch nicht separat verifiziert</x:v>
      </x:c>
      <x:c r="AC36" s="45" t="str">
        <x:v>Kartenpunkt – Adresse geprüft</x:v>
      </x:c>
      <x:c r="AD36" s="45" t="str">
        <x:v>regional + projektbezogen überregional</x:v>
      </x:c>
      <x:c r="AE36" s="45" t="str">
        <x:v>https://www.werma.com/</x:v>
      </x:c>
      <x:c r="AF36" s="45" t="str"/>
      <x:c r="AG36" s="45" t="str">
        <x:v>Aktuelle öffentliche HQ-Adresse. Alte/abweichende Dürbheimer Str. 15 nicht als Kartenpunkt verwenden.</x:v>
      </x:c>
      <x:c r="AH36" s="83" t="str">
        <x:v>2026-08-30</x:v>
      </x:c>
      <x:c r="AI36" s="45" t="str">
        <x:f>IF(R36="","",R36&amp;", "&amp;S36&amp;" "&amp;T36&amp;", Deutschland")</x:f>
        <x:v>Erich-Marquardt-Straße 1, 78604 Rietheim-Weilheim, Deutschland</x:v>
      </x:c>
    </x:row>
    <x:row r="37">
      <x:c r="A37" s="45" t="str">
        <x:v>T-033</x:v>
      </x:c>
      <x:c r="B37" s="45" t="str">
        <x:v>T-033</x:v>
      </x:c>
      <x:c r="C37" s="45" t="str">
        <x:v>Pilz GmbH &amp; Co. KG</x:v>
      </x:c>
      <x:c r="D37" s="45" t="str">
        <x:v>Aufnehmen</x:v>
      </x:c>
      <x:c r="E37" s="45" t="str">
        <x:v>A+</x:v>
      </x:c>
      <x:c r="F37" s="45" t="str">
        <x:v>Maschinensicherheit / Engineering</x:v>
      </x:c>
      <x:c r="G37" s="45" t="str">
        <x:v>Metall; Automotive; Maschinenbau; Holz; Montage/Produktion</x:v>
      </x:c>
      <x:c r="H37" s="45" t="str">
        <x:v>alle – indirekt bei Maschinenumbau</x:v>
      </x:c>
      <x:c r="I37" s="45" t="str">
        <x:v>Maschinenumbau; wesentliche Veränderung; Sicherheits-/CE-Fragen</x:v>
      </x:c>
      <x:c r="J37" s="45" t="str">
        <x:v>Risikobeurteilung; Safety-Design; Systemintegration; Validierung; Retrofit; CE/Konformität</x:v>
      </x:c>
      <x:c r="K37" s="45" t="str">
        <x:v>Ja</x:v>
      </x:c>
      <x:c r="L37" s="45" t="str">
        <x:v>Ja</x:v>
      </x:c>
      <x:c r="M37" s="45" t="str">
        <x:v>teilweise</x:v>
      </x:c>
      <x:c r="N37" s="45" t="str">
        <x:v>Ja</x:v>
      </x:c>
      <x:c r="O37" s="45" t="str">
        <x:v>Ja</x:v>
      </x:c>
      <x:c r="P37" s="45" t="str">
        <x:v>nicht spezifisch belegt</x:v>
      </x:c>
      <x:c r="Q37" s="45" t="str">
        <x:v>Nicht als Reha-Berater, sondern als Safety-/Abnahmebaustein bei komplexen Maschinenumbauten.</x:v>
      </x:c>
      <x:c r="R37" s="45" t="str">
        <x:v>Felix-Wankel-Straße 2</x:v>
      </x:c>
      <x:c r="S37" s="45" t="str">
        <x:v>73760</x:v>
      </x:c>
      <x:c r="T37" s="45" t="str">
        <x:v>Ostfildern</x:v>
      </x:c>
      <x:c r="U37" s="45" t="str">
        <x:v>Baden-Württemberg</x:v>
      </x:c>
      <x:c r="V37" s="45" t="str">
        <x:v>Deutschland</x:v>
      </x:c>
      <x:c r="W37" s="45" t="str">
        <x:v>+49 711 3409-0</x:v>
      </x:c>
      <x:c r="X37" s="45" t="str">
        <x:v>info@pilz.de</x:v>
      </x:c>
      <x:c r="Y37" s="45" t="str">
        <x:v>https://www.pilz.com/de-DE/services/workplace-safety</x:v>
      </x:c>
      <x:c r="Z37" s="82"/>
      <x:c r="AA37" s="82"/>
      <x:c r="AB37" s="45" t="str">
        <x:v>Adresse/Kontakt geprüft; numerische Hauskoordinate noch nicht separat verifiziert</x:v>
      </x:c>
      <x:c r="AC37" s="45" t="str">
        <x:v>Kartenpunkt – Adresse geprüft</x:v>
      </x:c>
      <x:c r="AD37" s="45" t="str">
        <x:v>regional + projektbezogen überregional</x:v>
      </x:c>
      <x:c r="AE37" s="45" t="str">
        <x:v>https://www.pilz.com/de-DE/</x:v>
      </x:c>
      <x:c r="AF37" s="45" t="str"/>
      <x:c r="AG37" s="45" t="str">
        <x:v>Standort verifiziert.</x:v>
      </x:c>
      <x:c r="AH37" s="83" t="str">
        <x:v>2026-08-30</x:v>
      </x:c>
      <x:c r="AI37" s="45" t="str">
        <x:f>IF(R37="","",R37&amp;", "&amp;S37&amp;" "&amp;T37&amp;", Deutschland")</x:f>
        <x:v>Felix-Wankel-Straße 2, 73760 Ostfildern, Deutschland</x:v>
      </x:c>
    </x:row>
    <x:row r="38">
      <x:c r="A38" s="45" t="str">
        <x:v>T-034</x:v>
      </x:c>
      <x:c r="B38" s="45" t="str">
        <x:v>T-034</x:v>
      </x:c>
      <x:c r="C38" s="45" t="str">
        <x:v>ALLMATIC-Jakob Spannsysteme GmbH</x:v>
      </x:c>
      <x:c r="D38" s="45" t="str">
        <x:v>Aufnehmen</x:v>
      </x:c>
      <x:c r="E38" s="45" t="str">
        <x:v>A</x:v>
      </x:c>
      <x:c r="F38" s="45" t="str">
        <x:v>Technischer Umsetzer / Spann- &amp; Rüsthilfe</x:v>
      </x:c>
      <x:c r="G38" s="45" t="str">
        <x:v>Metall; Maschinenbau; Automotive</x:v>
      </x:c>
      <x:c r="H38" s="45" t="str">
        <x:v>Arm/Hand; Schulter; Rücken/Wirbelsäule; reduzierte Kraft</x:v>
      </x:c>
      <x:c r="I38" s="45" t="str">
        <x:v>Kurbeln/Drehmoment; Rüsten; Spannarbeit; wiederholte Kraftbelastung</x:v>
      </x:c>
      <x:c r="J38" s="45" t="str">
        <x:v>WorkBuddy Spannhilfe; Bedienhilfe; individuelle Maschinen-/Rüstplatzmontage</x:v>
      </x:c>
      <x:c r="K38" s="45" t="str">
        <x:v>Ja</x:v>
      </x:c>
      <x:c r="L38" s="45" t="str">
        <x:v>teilweise</x:v>
      </x:c>
      <x:c r="M38" s="45" t="str">
        <x:v>Ja</x:v>
      </x:c>
      <x:c r="N38" s="45" t="str">
        <x:v>Ja</x:v>
      </x:c>
      <x:c r="O38" s="45" t="str">
        <x:v>nein/unklar</x:v>
      </x:c>
      <x:c r="P38" s="45" t="str">
        <x:v>nicht spezifisch belegt</x:v>
      </x:c>
      <x:c r="Q38" s="45" t="str">
        <x:v>Sehr konkreter Baustein für Rüstplätze und Spanntürme; individuell an Maschine montierbar.</x:v>
      </x:c>
      <x:c r="R38" s="45" t="str">
        <x:v>Jägermühle 10</x:v>
      </x:c>
      <x:c r="S38" s="45" t="str">
        <x:v>87647</x:v>
      </x:c>
      <x:c r="T38" s="45" t="str">
        <x:v>Unterthingau</x:v>
      </x:c>
      <x:c r="U38" s="45" t="str">
        <x:v>Bayern</x:v>
      </x:c>
      <x:c r="V38" s="45" t="str">
        <x:v>Deutschland</x:v>
      </x:c>
      <x:c r="W38" s="45" t="str">
        <x:v>+49 8377 929-0</x:v>
      </x:c>
      <x:c r="X38" s="45" t="str">
        <x:v>info@allmatic.de</x:v>
      </x:c>
      <x:c r="Y38" s="45" t="str">
        <x:v>https://www.allmatic.de/workbuddy/</x:v>
      </x:c>
      <x:c r="Z38" s="82"/>
      <x:c r="AA38" s="82"/>
      <x:c r="AB38" s="45" t="str">
        <x:v>Adresse/Kontakt geprüft; numerische Hauskoordinate noch nicht separat verifiziert</x:v>
      </x:c>
      <x:c r="AC38" s="45" t="str">
        <x:v>Kartenpunkt – Adresse geprüft</x:v>
      </x:c>
      <x:c r="AD38" s="45" t="str">
        <x:v>regional + projektbezogen überregional</x:v>
      </x:c>
      <x:c r="AE38" s="45" t="str">
        <x:v>https://www.allmatic.de/</x:v>
      </x:c>
      <x:c r="AF38" s="45" t="str"/>
      <x:c r="AG38" s="45" t="str">
        <x:v>Standort verifiziert.</x:v>
      </x:c>
      <x:c r="AH38" s="83" t="str">
        <x:v>2026-08-30</x:v>
      </x:c>
      <x:c r="AI38" s="45" t="str">
        <x:f>IF(R38="","",R38&amp;", "&amp;S38&amp;" "&amp;T38&amp;", Deutschland")</x:f>
        <x:v>Jägermühle 10, 87647 Unterthingau, Deutschland</x:v>
      </x:c>
    </x:row>
    <x:row r="39">
      <x:c r="A39" s="45" t="str">
        <x:v>T-035</x:v>
      </x:c>
      <x:c r="B39" s="45" t="str">
        <x:v>T-035</x:v>
      </x:c>
      <x:c r="C39" s="45" t="str">
        <x:v>Humanelektronik GmbH</x:v>
      </x:c>
      <x:c r="D39" s="45" t="str">
        <x:v>Aufnehmen</x:v>
      </x:c>
      <x:c r="E39" s="45" t="str">
        <x:v>A+</x:v>
      </x:c>
      <x:c r="F39" s="45" t="str">
        <x:v>Technischer Umsetzer / alternative Steuerung &amp; Kommunikation</x:v>
      </x:c>
      <x:c r="G39" s="45" t="str">
        <x:v>Metall; Automotive; Maschinenbau; Holz; Büro/IT; Montage/Produktion</x:v>
      </x:c>
      <x:c r="H39" s="45" t="str">
        <x:v>Arm/Hand; Greifdefizit; reduzierte Kraft; Sehen; Kommunikation; Rollstuhl/Mobilität</x:v>
      </x:c>
      <x:c r="I39" s="45" t="str">
        <x:v>PC-/Maschinennahe Eingabe; alternative Steuerung; Kommunikation; Umfeldsteuerung</x:v>
      </x:c>
      <x:c r="J39" s="45" t="str">
        <x:v>Alternative Eingabegeräte; Augensteuerung; Kopf-/Joysticksteuerung; Umfeld-/Rollstuhlsteuerung; Kommunikation</x:v>
      </x:c>
      <x:c r="K39" s="45" t="str">
        <x:v>Ja</x:v>
      </x:c>
      <x:c r="L39" s="45" t="str">
        <x:v>Ja</x:v>
      </x:c>
      <x:c r="M39" s="45" t="str">
        <x:v>Ja</x:v>
      </x:c>
      <x:c r="N39" s="45" t="str">
        <x:v>Ja</x:v>
      </x:c>
      <x:c r="O39" s="45" t="str">
        <x:v>teilweise/projektbezogen</x:v>
      </x:c>
      <x:c r="P39" s="45" t="str">
        <x:v>Kostenträgerbezug naheliegend; im Einzelfall prüfen</x:v>
      </x:c>
      <x:c r="Q39" s="45" t="str">
        <x:v>A+ für motorische Einschränkungen und komplexe alternative Ansteuerung; mit Meier &amp; Schütte verknüpfen.</x:v>
      </x:c>
      <x:c r="R39" s="45" t="str">
        <x:v>Weinsheimer Straße 57a</x:v>
      </x:c>
      <x:c r="S39" s="45" t="str">
        <x:v>67547</x:v>
      </x:c>
      <x:c r="T39" s="45" t="str">
        <x:v>Worms</x:v>
      </x:c>
      <x:c r="U39" s="45" t="str">
        <x:v>Rheinland-Pfalz</x:v>
      </x:c>
      <x:c r="V39" s="45" t="str">
        <x:v>Deutschland</x:v>
      </x:c>
      <x:c r="W39" s="45" t="str">
        <x:v>+49 6241 49691-0</x:v>
      </x:c>
      <x:c r="X39" s="45" t="str">
        <x:v>info@humanelektronik.gmbh</x:v>
      </x:c>
      <x:c r="Y39" s="45" t="str">
        <x:v>https://humanelektronik.de/</x:v>
      </x:c>
      <x:c r="Z39" s="82"/>
      <x:c r="AA39" s="82"/>
      <x:c r="AB39" s="45" t="str">
        <x:v>Adresse/Kontakt geprüft; numerische Hauskoordinate noch nicht separat verifiziert</x:v>
      </x:c>
      <x:c r="AC39" s="45" t="str">
        <x:v>Kartenpunkt – Adresse geprüft</x:v>
      </x:c>
      <x:c r="AD39" s="45" t="str">
        <x:v>regional + projektbezogen überregional</x:v>
      </x:c>
      <x:c r="AE39" s="45" t="str">
        <x:v>https://humanelektronik.de/</x:v>
      </x:c>
      <x:c r="AF39" s="45" t="str"/>
      <x:c r="AG39" s="45" t="str">
        <x:v>Standort verifiziert.</x:v>
      </x:c>
      <x:c r="AH39" s="83" t="str">
        <x:v>2026-08-30</x:v>
      </x:c>
      <x:c r="AI39" s="45" t="str">
        <x:f>IF(R39="","",R39&amp;", "&amp;S39&amp;" "&amp;T39&amp;", Deutschland")</x:f>
        <x:v>Weinsheimer Straße 57a, 67547 Worms, Deutschland</x:v>
      </x:c>
    </x:row>
    <x:row r="40">
      <x:c r="A40" s="45" t="str">
        <x:v>T-036</x:v>
      </x:c>
      <x:c r="B40" s="45" t="str">
        <x:v>T-036</x:v>
      </x:c>
      <x:c r="C40" s="45" t="str">
        <x:v>Meier &amp; Schütte GmbH &amp; Co. KG</x:v>
      </x:c>
      <x:c r="D40" s="45" t="str">
        <x:v>Aufnehmen</x:v>
      </x:c>
      <x:c r="E40" s="45" t="str">
        <x:v>A+</x:v>
      </x:c>
      <x:c r="F40" s="45" t="str">
        <x:v>Technischer Umsetzer / Arbeitsplatztechnologie</x:v>
      </x:c>
      <x:c r="G40" s="45" t="str">
        <x:v>Metall; Automotive; Maschinenbau; Holz; Büro/IT; Montage/Produktion</x:v>
      </x:c>
      <x:c r="H40" s="45" t="str">
        <x:v>Arm/Hand; Greifdefizit; reduzierte Kraft; motorische Einschränkung</x:v>
      </x:c>
      <x:c r="I40" s="45" t="str">
        <x:v>Eingabe/Bedienung; Arbeitsplatztechnologie; individuelle Sonderlösung</x:v>
      </x:c>
      <x:c r="J40" s="45" t="str">
        <x:v>Behindertengerechter Arbeitsplatz; Einhand-/Sondertastatur; alternative Maus; Spracherkennung; Sonderlösung</x:v>
      </x:c>
      <x:c r="K40" s="45" t="str">
        <x:v>Ja</x:v>
      </x:c>
      <x:c r="L40" s="45" t="str">
        <x:v>Ja</x:v>
      </x:c>
      <x:c r="M40" s="45" t="str">
        <x:v>Ja</x:v>
      </x:c>
      <x:c r="N40" s="45" t="str">
        <x:v>Ja</x:v>
      </x:c>
      <x:c r="O40" s="45" t="str">
        <x:v>teilweise/projektbezogen</x:v>
      </x:c>
      <x:c r="P40" s="45" t="str">
        <x:v>Kostenträgerbezug naheliegend; im Einzelfall prüfen</x:v>
      </x:c>
      <x:c r="Q40" s="45" t="str">
        <x:v>Sehr hoher Reha-Nutzen; Arbeitsplatztechnologie und individuelle Anpassung im Vordergrund.</x:v>
      </x:c>
      <x:c r="R40" s="45" t="str">
        <x:v>Weinsheimer Straße 57a</x:v>
      </x:c>
      <x:c r="S40" s="45" t="str">
        <x:v>67547</x:v>
      </x:c>
      <x:c r="T40" s="45" t="str">
        <x:v>Worms</x:v>
      </x:c>
      <x:c r="U40" s="45" t="str">
        <x:v>Rheinland-Pfalz</x:v>
      </x:c>
      <x:c r="V40" s="45" t="str">
        <x:v>Deutschland</x:v>
      </x:c>
      <x:c r="W40" s="45" t="str">
        <x:v>+49 6241 4969160</x:v>
      </x:c>
      <x:c r="X40" s="45" t="str">
        <x:v>office@meier-schuette.de</x:v>
      </x:c>
      <x:c r="Y40" s="45" t="str">
        <x:v>https://www.meier-schuette.de/</x:v>
      </x:c>
      <x:c r="Z40" s="82"/>
      <x:c r="AA40" s="82"/>
      <x:c r="AB40" s="45" t="str">
        <x:v>Adresse/Kontakt geprüft; numerische Hauskoordinate noch nicht separat verifiziert</x:v>
      </x:c>
      <x:c r="AC40" s="45" t="str">
        <x:v>Kartenpunkt – Adresse geprüft</x:v>
      </x:c>
      <x:c r="AD40" s="45" t="str">
        <x:v>regional + projektbezogen überregional</x:v>
      </x:c>
      <x:c r="AE40" s="45" t="str">
        <x:v>https://www.meier-schuette.de/</x:v>
      </x:c>
      <x:c r="AF40" s="45" t="str"/>
      <x:c r="AG40" s="45" t="str">
        <x:v>Standort verifiziert; gleicher Gebäudestandort wie Humanelektronik möglich.</x:v>
      </x:c>
      <x:c r="AH40" s="83" t="str">
        <x:v>2026-08-30</x:v>
      </x:c>
      <x:c r="AI40" s="45" t="str">
        <x:f>IF(R40="","",R40&amp;", "&amp;S40&amp;" "&amp;T40&amp;", Deutschland")</x:f>
        <x:v>Weinsheimer Straße 57a, 67547 Worms, Deutschland</x:v>
      </x:c>
    </x:row>
    <x:row r="41">
      <x:c r="A41" s="45" t="str">
        <x:v>T-037</x:v>
      </x:c>
      <x:c r="B41" s="45" t="str">
        <x:v>T-037</x:v>
      </x:c>
      <x:c r="C41" s="45" t="str">
        <x:v>Reinecker Vision GmbH</x:v>
      </x:c>
      <x:c r="D41" s="45" t="str">
        <x:v>Aufnehmen</x:v>
      </x:c>
      <x:c r="E41" s="45" t="str">
        <x:v>A+</x:v>
      </x:c>
      <x:c r="F41" s="45" t="str">
        <x:v>Technischer Umsetzer / Sehen &amp; Blindheit</x:v>
      </x:c>
      <x:c r="G41" s="45" t="str">
        <x:v>alle Branchen mit Bildschirm-/Informationsarbeit</x:v>
      </x:c>
      <x:c r="H41" s="45" t="str">
        <x:v>Sehen/Blindheit</x:v>
      </x:c>
      <x:c r="I41" s="45" t="str">
        <x:v>Bildschirminformation nicht lesbar; visuelle Arbeitsinformationen; IT-Arbeitsplatz</x:v>
      </x:c>
      <x:c r="J41" s="45" t="str">
        <x:v>Bildschirmlesesystem; Vergrößerung; Vorlesetechnik; Braille; Screenreader; Beleuchtung</x:v>
      </x:c>
      <x:c r="K41" s="45" t="str">
        <x:v>Ja</x:v>
      </x:c>
      <x:c r="L41" s="45" t="str">
        <x:v>teilweise</x:v>
      </x:c>
      <x:c r="M41" s="45" t="str">
        <x:v>Ja</x:v>
      </x:c>
      <x:c r="N41" s="45" t="str">
        <x:v>Ja</x:v>
      </x:c>
      <x:c r="O41" s="45" t="str">
        <x:v>nein</x:v>
      </x:c>
      <x:c r="P41" s="45" t="str">
        <x:v>Kostenträger-/Beratungsbezug belegt</x:v>
      </x:c>
      <x:c r="Q41" s="45" t="str">
        <x:v>Fachberater für Schule und Beruf; Beratung idealerweise direkt am Arbeitsplatz.</x:v>
      </x:c>
      <x:c r="R41" s="45" t="str">
        <x:v>Sandwiesenstraße 19</x:v>
      </x:c>
      <x:c r="S41" s="45" t="str">
        <x:v>64665</x:v>
      </x:c>
      <x:c r="T41" s="45" t="str">
        <x:v>Alsbach-Hähnlein</x:v>
      </x:c>
      <x:c r="U41" s="45" t="str">
        <x:v>Hessen</x:v>
      </x:c>
      <x:c r="V41" s="45" t="str">
        <x:v>Deutschland</x:v>
      </x:c>
      <x:c r="W41" s="45" t="str">
        <x:v>+49 6257 9311-0</x:v>
      </x:c>
      <x:c r="X41" s="45" t="str">
        <x:v>info@reineckervision.de</x:v>
      </x:c>
      <x:c r="Y41" s="45" t="str">
        <x:v>https://www.reineckervision.de/de/versorgung/versorgung-in-schule-und-beruf/</x:v>
      </x:c>
      <x:c r="Z41" s="82"/>
      <x:c r="AA41" s="82"/>
      <x:c r="AB41" s="45" t="str">
        <x:v>Adresse/Kontakt geprüft; numerische Hauskoordinate noch nicht separat verifiziert</x:v>
      </x:c>
      <x:c r="AC41" s="45" t="str">
        <x:v>Kartenpunkt – Adresse geprüft</x:v>
      </x:c>
      <x:c r="AD41" s="45" t="str">
        <x:v>regional + projektbezogen überregional</x:v>
      </x:c>
      <x:c r="AE41" s="45" t="str">
        <x:v>https://www.reineckervision.de/</x:v>
      </x:c>
      <x:c r="AF41" s="45" t="str"/>
      <x:c r="AG41" s="45" t="str">
        <x:v>Hauptsitz als Kartenpunkt; Servicecenter Erlenweg 3+5 ggf. später als Zusatzstandort.</x:v>
      </x:c>
      <x:c r="AH41" s="83" t="str">
        <x:v>2026-08-30</x:v>
      </x:c>
      <x:c r="AI41" s="45" t="str">
        <x:f>IF(R41="","",R41&amp;", "&amp;S41&amp;" "&amp;T41&amp;", Deutschland")</x:f>
        <x:v>Sandwiesenstraße 19, 64665 Alsbach-Hähnlein, Deutschland</x:v>
      </x:c>
    </x:row>
    <x:row r="42">
      <x:c r="A42" s="45" t="str">
        <x:v>T-038</x:v>
      </x:c>
      <x:c r="B42" s="45" t="str">
        <x:v>T-038</x:v>
      </x:c>
      <x:c r="C42" s="45" t="str">
        <x:v>HUMANTECHNIK GmbH</x:v>
      </x:c>
      <x:c r="D42" s="45" t="str">
        <x:v>Aufnehmen</x:v>
      </x:c>
      <x:c r="E42" s="45" t="str">
        <x:v>A</x:v>
      </x:c>
      <x:c r="F42" s="45" t="str">
        <x:v>Technischer Umsetzer / Hören &amp; Kommunikation</x:v>
      </x:c>
      <x:c r="G42" s="45" t="str">
        <x:v>alle Branchen</x:v>
      </x:c>
      <x:c r="H42" s="45" t="str">
        <x:v>Hören/Kommunikation</x:v>
      </x:c>
      <x:c r="I42" s="45" t="str">
        <x:v>Akustische Warnung/Kommunikation nicht ausreichend wahrnehmbar</x:v>
      </x:c>
      <x:c r="J42" s="45" t="str">
        <x:v>Lichtsignal; Vibrationssignal; Telefon-/Audioübertragung; Hörassistenz</x:v>
      </x:c>
      <x:c r="K42" s="45" t="str">
        <x:v>Ja</x:v>
      </x:c>
      <x:c r="L42" s="45" t="str">
        <x:v>teilweise</x:v>
      </x:c>
      <x:c r="M42" s="45" t="str">
        <x:v>Ja</x:v>
      </x:c>
      <x:c r="N42" s="45" t="str">
        <x:v>teilweise</x:v>
      </x:c>
      <x:c r="O42" s="45" t="str">
        <x:v>nein</x:v>
      </x:c>
      <x:c r="P42" s="45" t="str">
        <x:v>nicht spezifisch belegt</x:v>
      </x:c>
      <x:c r="Q42" s="45" t="str">
        <x:v>Mit IFD/Hörfachberatung verknüpfen; sinnvoll für Zwei-Sinne-Prinzip und Kommunikationshilfen.</x:v>
      </x:c>
      <x:c r="R42" s="45" t="str">
        <x:v>Im Wörth 25</x:v>
      </x:c>
      <x:c r="S42" s="45" t="str">
        <x:v>79576</x:v>
      </x:c>
      <x:c r="T42" s="45" t="str">
        <x:v>Weil am Rhein</x:v>
      </x:c>
      <x:c r="U42" s="45" t="str">
        <x:v>Baden-Württemberg</x:v>
      </x:c>
      <x:c r="V42" s="45" t="str">
        <x:v>Deutschland</x:v>
      </x:c>
      <x:c r="W42" s="45" t="str">
        <x:v>+49 7621 95689-0</x:v>
      </x:c>
      <x:c r="X42" s="45" t="str">
        <x:v>info@humantechnik.com</x:v>
      </x:c>
      <x:c r="Y42" s="45" t="str">
        <x:v>https://www.humantechnik.com/</x:v>
      </x:c>
      <x:c r="Z42" s="82"/>
      <x:c r="AA42" s="82"/>
      <x:c r="AB42" s="45" t="str">
        <x:v>Adresse/Kontakt geprüft; numerische Hauskoordinate noch nicht separat verifiziert</x:v>
      </x:c>
      <x:c r="AC42" s="45" t="str">
        <x:v>Kartenpunkt – Adresse geprüft</x:v>
      </x:c>
      <x:c r="AD42" s="45" t="str">
        <x:v>regional + projektbezogen überregional</x:v>
      </x:c>
      <x:c r="AE42" s="45" t="str">
        <x:v>https://www.humantechnik.com/</x:v>
      </x:c>
      <x:c r="AF42" s="45" t="str"/>
      <x:c r="AG42" s="45" t="str">
        <x:v>Standort verifiziert.</x:v>
      </x:c>
      <x:c r="AH42" s="83" t="str">
        <x:v>2026-08-30</x:v>
      </x:c>
      <x:c r="AI42" s="45" t="str">
        <x:f>IF(R42="","",R42&amp;", "&amp;S42&amp;" "&amp;T42&amp;", Deutschland")</x:f>
        <x:v>Im Wörth 25, 79576 Weil am Rhein, Deutschland</x:v>
      </x:c>
    </x:row>
    <x:row r="43">
      <x:c r="A43" s="45" t="str">
        <x:v>T-039</x:v>
      </x:c>
      <x:c r="B43" s="45" t="str">
        <x:v>T-039</x:v>
      </x:c>
      <x:c r="C43" s="45" t="str">
        <x:v>F.H. Papenmeier GmbH &amp; Co. KG</x:v>
      </x:c>
      <x:c r="D43" s="45" t="str">
        <x:v>Aufnehmen</x:v>
      </x:c>
      <x:c r="E43" s="45" t="str">
        <x:v>A</x:v>
      </x:c>
      <x:c r="F43" s="45" t="str">
        <x:v>Technischer Umsetzer / Sehen &amp; Blindheit</x:v>
      </x:c>
      <x:c r="G43" s="45" t="str">
        <x:v>alle Branchen mit IT-/Informationsarbeit</x:v>
      </x:c>
      <x:c r="H43" s="45" t="str">
        <x:v>Sehen/Blindheit</x:v>
      </x:c>
      <x:c r="I43" s="45" t="str">
        <x:v>IT-/Informationszugang; visuelle Arbeitsinformationen</x:v>
      </x:c>
      <x:c r="J43" s="45" t="str">
        <x:v>Braille; Screenreader; Arbeitsplatzanalyse; Softwareanpassung; Schulung</x:v>
      </x:c>
      <x:c r="K43" s="45" t="str">
        <x:v>Ja</x:v>
      </x:c>
      <x:c r="L43" s="45" t="str">
        <x:v>Ja</x:v>
      </x:c>
      <x:c r="M43" s="45" t="str">
        <x:v>Ja</x:v>
      </x:c>
      <x:c r="N43" s="45" t="str">
        <x:v>Ja</x:v>
      </x:c>
      <x:c r="O43" s="45" t="str">
        <x:v>nein</x:v>
      </x:c>
      <x:c r="P43" s="45" t="str">
        <x:v>Kostenträgerabstimmung Bestandteil</x:v>
      </x:c>
      <x:c r="Q43" s="45" t="str">
        <x:v>Überregionaler Spezialanbieter; bei komplexen Blindenarbeitsplätzen relevant.</x:v>
      </x:c>
      <x:c r="R43" s="45" t="str">
        <x:v>Talweg 2</x:v>
      </x:c>
      <x:c r="S43" s="45" t="str">
        <x:v>58239</x:v>
      </x:c>
      <x:c r="T43" s="45" t="str">
        <x:v>Schwerte</x:v>
      </x:c>
      <x:c r="U43" s="45" t="str">
        <x:v>Nordrhein-Westfalen</x:v>
      </x:c>
      <x:c r="V43" s="45" t="str">
        <x:v>Deutschland</x:v>
      </x:c>
      <x:c r="W43" s="45" t="str">
        <x:v>+49 2304 205-0</x:v>
      </x:c>
      <x:c r="X43" s="45" t="str">
        <x:v>info@papenmeier.de</x:v>
      </x:c>
      <x:c r="Y43" s="45" t="str">
        <x:v>https://www.papenmeier-rehatechnik.de/</x:v>
      </x:c>
      <x:c r="Z43" s="82"/>
      <x:c r="AA43" s="82"/>
      <x:c r="AB43" s="45" t="str">
        <x:v>Adresse/Kontakt geprüft; numerische Hauskoordinate noch nicht separat verifiziert</x:v>
      </x:c>
      <x:c r="AC43" s="45" t="str">
        <x:v>Kartenpunkt – Adresse geprüft</x:v>
      </x:c>
      <x:c r="AD43" s="45" t="str">
        <x:v>überregional / bundesweit projektbezogen</x:v>
      </x:c>
      <x:c r="AE43" s="45" t="str">
        <x:v>https://www.papenmeier-rehatechnik.de/</x:v>
      </x:c>
      <x:c r="AF43" s="45" t="str"/>
      <x:c r="AG43" s="45" t="str">
        <x:v>Unternehmensstandort verifiziert; Rehatechnik überregional.</x:v>
      </x:c>
      <x:c r="AH43" s="83" t="str">
        <x:v>2026-08-30</x:v>
      </x:c>
      <x:c r="AI43" s="45" t="str">
        <x:f>IF(R43="","",R43&amp;", "&amp;S43&amp;" "&amp;T43&amp;", Deutschland")</x:f>
        <x:v>Talweg 2, 58239 Schwerte, Deutschland</x:v>
      </x:c>
    </x:row>
    <x:row r="44">
      <x:c r="A44" s="45" t="str">
        <x:v>T-040</x:v>
      </x:c>
      <x:c r="B44" s="45" t="str">
        <x:v>T-040</x:v>
      </x:c>
      <x:c r="C44" s="45" t="str">
        <x:v>Or BIT EDV – Technik für Menschen</x:v>
      </x:c>
      <x:c r="D44" s="45" t="str">
        <x:v>Aufnehmen</x:v>
      </x:c>
      <x:c r="E44" s="45" t="str">
        <x:v>A+</x:v>
      </x:c>
      <x:c r="F44" s="45" t="str">
        <x:v>Technischer Arbeitsplatzberater &amp; Umsetzer</x:v>
      </x:c>
      <x:c r="G44" s="45" t="str">
        <x:v>alle Branchen mit IT-/Bedienarbeitsplätzen</x:v>
      </x:c>
      <x:c r="H44" s="45" t="str">
        <x:v>Arm/Hand; Sehen/Blindheit; Hören; reduzierte Kraft; motorische Einschränkung</x:v>
      </x:c>
      <x:c r="I44" s="45" t="str">
        <x:v>Alternative Eingabe; IT-Arbeitsplatz; individuelle technische Einschränkung</x:v>
      </x:c>
      <x:c r="J44" s="45" t="str">
        <x:v>Arbeitsplatzanalyse; Hilfsmittelerprobung; alternative Eingabe; Blindentechnik; Ergonomie; Sonderlösung</x:v>
      </x:c>
      <x:c r="K44" s="45" t="str">
        <x:v>Ja</x:v>
      </x:c>
      <x:c r="L44" s="45" t="str">
        <x:v>Ja</x:v>
      </x:c>
      <x:c r="M44" s="45" t="str">
        <x:v>Ja</x:v>
      </x:c>
      <x:c r="N44" s="45" t="str">
        <x:v>Ja</x:v>
      </x:c>
      <x:c r="O44" s="45" t="str">
        <x:v>teilweise/projektbezogen</x:v>
      </x:c>
      <x:c r="P44" s="45" t="str">
        <x:v>BG/UV/DRV/Integrationsamt ausdrücklich relevant</x:v>
      </x:c>
      <x:c r="Q44" s="45" t="str">
        <x:v>Sehr starker überregionaler Reha-Spezialist; Herstellerunabhängigkeit und Kostenträgererfahrung.</x:v>
      </x:c>
      <x:c r="R44" s="45" t="str">
        <x:v>Alte Hauptstraße 9</x:v>
      </x:c>
      <x:c r="S44" s="45" t="str">
        <x:v>28844</x:v>
      </x:c>
      <x:c r="T44" s="45" t="str">
        <x:v>Weyhe</x:v>
      </x:c>
      <x:c r="U44" s="45" t="str">
        <x:v>Niedersachsen</x:v>
      </x:c>
      <x:c r="V44" s="45" t="str">
        <x:v>Deutschland</x:v>
      </x:c>
      <x:c r="W44" s="45" t="str">
        <x:v>+49 4203 810881</x:v>
      </x:c>
      <x:c r="X44" s="45" t="str">
        <x:v>post@orbit-edv.de</x:v>
      </x:c>
      <x:c r="Y44" s="45" t="str">
        <x:v>https://www.orbit-edv.de/</x:v>
      </x:c>
      <x:c r="Z44" s="82"/>
      <x:c r="AA44" s="82"/>
      <x:c r="AB44" s="45" t="str">
        <x:v>Adresse/Kontakt geprüft; numerische Hauskoordinate noch nicht separat verifiziert</x:v>
      </x:c>
      <x:c r="AC44" s="45" t="str">
        <x:v>Kartenpunkt – Adresse geprüft</x:v>
      </x:c>
      <x:c r="AD44" s="45" t="str">
        <x:v>überregional / bundesweit projektbezogen</x:v>
      </x:c>
      <x:c r="AE44" s="45" t="str">
        <x:v>https://www.orbit-edv.de/</x:v>
      </x:c>
      <x:c r="AF44" s="45" t="str"/>
      <x:c r="AG44" s="45" t="str">
        <x:v>Standort verifiziert; überregional.</x:v>
      </x:c>
      <x:c r="AH44" s="83" t="str">
        <x:v>2026-08-30</x:v>
      </x:c>
      <x:c r="AI44" s="45" t="str">
        <x:f>IF(R44="","",R44&amp;", "&amp;S44&amp;" "&amp;T44&amp;", Deutschland")</x:f>
        <x:v>Alte Hauptstraße 9, 28844 Weyhe, Deutschland</x:v>
      </x:c>
    </x:row>
    <x:row r="45">
      <x:c r="A45" s="45" t="str">
        <x:v>T-041</x:v>
      </x:c>
      <x:c r="B45" s="45" t="str">
        <x:v>T-041</x:v>
      </x:c>
      <x:c r="C45" s="45" t="str">
        <x:v>Berufsförderungswerk Würzburg</x:v>
      </x:c>
      <x:c r="D45" s="45" t="str">
        <x:v>Aufnehmen</x:v>
      </x:c>
      <x:c r="E45" s="45" t="str">
        <x:v>A+</x:v>
      </x:c>
      <x:c r="F45" s="45" t="str">
        <x:v>Technischer Arbeitsplatzberater / RehaAssessment</x:v>
      </x:c>
      <x:c r="G45" s="45" t="str">
        <x:v>Metall; Automotive; Maschinenbau; Holz; Montage/Produktion; Büro</x:v>
      </x:c>
      <x:c r="H45" s="45" t="str">
        <x:v>alle – funktionsbezogene Arbeitsplatzanalyse</x:v>
      </x:c>
      <x:c r="I45" s="45" t="str">
        <x:v>Unklarer Hilfsmittelbedarf; unklare Belastbarkeit; Arbeitsplatzpassung</x:v>
      </x:c>
      <x:c r="J45" s="45" t="str">
        <x:v>Arbeitsplatzanalyse; RehaAssessment; Hilfsmittelbedarf; Belastungserprobung; Arbeitgeberberatung</x:v>
      </x:c>
      <x:c r="K45" s="45" t="str">
        <x:v>Ja</x:v>
      </x:c>
      <x:c r="L45" s="45" t="str">
        <x:v>nein</x:v>
      </x:c>
      <x:c r="M45" s="45" t="str">
        <x:v>nein</x:v>
      </x:c>
      <x:c r="N45" s="45" t="str">
        <x:v>nein</x:v>
      </x:c>
      <x:c r="O45" s="45" t="str">
        <x:v>nein</x:v>
      </x:c>
      <x:c r="P45" s="45" t="str">
        <x:v>Reha-/Kostenträgerbezug eindeutig</x:v>
      </x:c>
      <x:c r="Q45" s="45" t="str">
        <x:v>Ideal vorgelagert: Was muss an diesem Arbeitsplatz technisch verändert werden?</x:v>
      </x:c>
      <x:c r="R45" s="45" t="str">
        <x:v>Helen-Keller-Straße 5</x:v>
      </x:c>
      <x:c r="S45" s="45" t="str">
        <x:v>97209</x:v>
      </x:c>
      <x:c r="T45" s="45" t="str">
        <x:v>Veitshöchheim</x:v>
      </x:c>
      <x:c r="U45" s="45" t="str">
        <x:v>Bayern</x:v>
      </x:c>
      <x:c r="V45" s="45" t="str">
        <x:v>Deutschland</x:v>
      </x:c>
      <x:c r="W45" s="45" t="str">
        <x:v>+49 931 9001-0</x:v>
      </x:c>
      <x:c r="X45" s="45" t="str">
        <x:v>info@bfw-wuerzburg.de</x:v>
      </x:c>
      <x:c r="Y45" s="45" t="str">
        <x:v>https://www.bfw-wuerzburg.de/</x:v>
      </x:c>
      <x:c r="Z45" s="82"/>
      <x:c r="AA45" s="82"/>
      <x:c r="AB45" s="45" t="str">
        <x:v>Adresse/Kontakt geprüft; numerische Hauskoordinate noch nicht separat verifiziert</x:v>
      </x:c>
      <x:c r="AC45" s="45" t="str">
        <x:v>Kartenpunkt – Adresse geprüft</x:v>
      </x:c>
      <x:c r="AD45" s="45" t="str">
        <x:v>überregional / bundesweit projektbezogen</x:v>
      </x:c>
      <x:c r="AE45" s="45" t="str">
        <x:v>https://www.bfw-wuerzburg.de/</x:v>
      </x:c>
      <x:c r="AF45" s="45" t="str"/>
      <x:c r="AG45" s="45" t="str">
        <x:v>Standort verifiziert.</x:v>
      </x:c>
      <x:c r="AH45" s="83" t="str">
        <x:v>2026-08-30</x:v>
      </x:c>
      <x:c r="AI45" s="45" t="str">
        <x:f>IF(R45="","",R45&amp;", "&amp;S45&amp;" "&amp;T45&amp;", Deutschland")</x:f>
        <x:v>Helen-Keller-Straße 5, 97209 Veitshöchheim, Deutschland</x:v>
      </x:c>
    </x:row>
    <x:row r="46">
      <x:c r="A46" s="45" t="str">
        <x:v>T-042</x:v>
      </x:c>
      <x:c r="B46" s="45" t="str">
        <x:v>T-042-KA</x:v>
      </x:c>
      <x:c r="C46" s="45" t="str">
        <x:v>KVJS – Technischer Beratungsdienst Integrationsamt</x:v>
      </x:c>
      <x:c r="D46" s="45" t="str">
        <x:v>Aufnehmen</x:v>
      </x:c>
      <x:c r="E46" s="45" t="str">
        <x:v>A+</x:v>
      </x:c>
      <x:c r="F46" s="45" t="str">
        <x:v>Öffentlicher Technischer Fachdienst</x:v>
      </x:c>
      <x:c r="G46" s="45" t="str">
        <x:v>alle Branchen</x:v>
      </x:c>
      <x:c r="H46" s="45" t="str">
        <x:v>alle – behinderungsbezogene Arbeitsplatzgestaltung</x:v>
      </x:c>
      <x:c r="I46" s="45" t="str">
        <x:v>Arbeitsplatzgestaltung; technische Arbeitshilfe; Förder-/Umsetzungsklärung</x:v>
      </x:c>
      <x:c r="J46" s="45" t="str">
        <x:v>Technische Beratung; Arbeitsplatzanalyse; Arbeitshilfe; Fahrzeug-/Wohnraumbezug; Förderberatung</x:v>
      </x:c>
      <x:c r="K46" s="45" t="str">
        <x:v>Ja</x:v>
      </x:c>
      <x:c r="L46" s="45" t="str">
        <x:v>teilweise</x:v>
      </x:c>
      <x:c r="M46" s="45" t="str">
        <x:v>nein</x:v>
      </x:c>
      <x:c r="N46" s="45" t="str">
        <x:v>nein</x:v>
      </x:c>
      <x:c r="O46" s="45" t="str">
        <x:v>teilweise</x:v>
      </x:c>
      <x:c r="P46" s="45" t="str">
        <x:v>öffentlicher Kostenträger-/Integrationsbezug</x:v>
      </x:c>
      <x:c r="Q46" s="45" t="str">
        <x:v>Als Beratungs-/Fachdienst führen, nicht als ausführenden Anbieter.</x:v>
      </x:c>
      <x:c r="R46" s="45" t="str">
        <x:v>Erzbergerstraße 119</x:v>
      </x:c>
      <x:c r="S46" s="45" t="str">
        <x:v>76133</x:v>
      </x:c>
      <x:c r="T46" s="45" t="str">
        <x:v>Karlsruhe</x:v>
      </x:c>
      <x:c r="U46" s="45" t="str">
        <x:v>Baden-Württemberg</x:v>
      </x:c>
      <x:c r="V46" s="45" t="str">
        <x:v>Deutschland</x:v>
      </x:c>
      <x:c r="W46" s="45" t="str">
        <x:v>+49 721 8107-0</x:v>
      </x:c>
      <x:c r="X46" s="45" t="str"/>
      <x:c r="Y46" s="45" t="str">
        <x:v>https://www.kvjs.de/behinderung-und-beruf/technischer-beratungsdienst</x:v>
      </x:c>
      <x:c r="Z46" s="82"/>
      <x:c r="AA46" s="82"/>
      <x:c r="AB46" s="45" t="str">
        <x:v>Adresse/Kontakt geprüft; numerische Hauskoordinate noch nicht separat verifiziert</x:v>
      </x:c>
      <x:c r="AC46" s="45" t="str">
        <x:v>Kartenpunkt – verifizierter Teilstandort</x:v>
      </x:c>
      <x:c r="AD46" s="45" t="str">
        <x:v>Baden-Württemberg</x:v>
      </x:c>
      <x:c r="AE46" s="45" t="str">
        <x:v>https://www.kvjs.de/behinderung-und-beruf/technischer-beratungsdienst</x:v>
      </x:c>
      <x:c r="AF46" s="45" t="str"/>
      <x:c r="AG46" s="45" t="str">
        <x:v>KVJS-Standort Karlsruhe.</x:v>
      </x:c>
      <x:c r="AH46" s="83" t="str">
        <x:v>2026-08-30</x:v>
      </x:c>
      <x:c r="AI46" s="45" t="str">
        <x:f>IF(R46="","",R46&amp;", "&amp;S46&amp;" "&amp;T46&amp;", Deutschland")</x:f>
        <x:v>Erzbergerstraße 119, 76133 Karlsruhe, Deutschland</x:v>
      </x:c>
    </x:row>
    <x:row r="47">
      <x:c r="A47" s="45" t="str">
        <x:v>T-042</x:v>
      </x:c>
      <x:c r="B47" s="45" t="str">
        <x:v>T-042-ST</x:v>
      </x:c>
      <x:c r="C47" s="45" t="str">
        <x:v>KVJS – Technischer Beratungsdienst Integrationsamt</x:v>
      </x:c>
      <x:c r="D47" s="45" t="str">
        <x:v>Aufnehmen</x:v>
      </x:c>
      <x:c r="E47" s="45" t="str">
        <x:v>A+</x:v>
      </x:c>
      <x:c r="F47" s="45" t="str">
        <x:v>Öffentlicher Technischer Fachdienst</x:v>
      </x:c>
      <x:c r="G47" s="45" t="str">
        <x:v>alle Branchen</x:v>
      </x:c>
      <x:c r="H47" s="45" t="str">
        <x:v>alle – behinderungsbezogene Arbeitsplatzgestaltung</x:v>
      </x:c>
      <x:c r="I47" s="45" t="str">
        <x:v>Arbeitsplatzgestaltung; technische Arbeitshilfe; Förder-/Umsetzungsklärung</x:v>
      </x:c>
      <x:c r="J47" s="45" t="str">
        <x:v>Technische Beratung; Arbeitsplatzanalyse; Arbeitshilfe; Fahrzeug-/Wohnraumbezug; Förderberatung</x:v>
      </x:c>
      <x:c r="K47" s="45" t="str">
        <x:v>Ja</x:v>
      </x:c>
      <x:c r="L47" s="45" t="str">
        <x:v>teilweise</x:v>
      </x:c>
      <x:c r="M47" s="45" t="str">
        <x:v>nein</x:v>
      </x:c>
      <x:c r="N47" s="45" t="str">
        <x:v>nein</x:v>
      </x:c>
      <x:c r="O47" s="45" t="str">
        <x:v>teilweise</x:v>
      </x:c>
      <x:c r="P47" s="45" t="str">
        <x:v>öffentlicher Kostenträger-/Integrationsbezug</x:v>
      </x:c>
      <x:c r="Q47" s="45" t="str">
        <x:v>Als Beratungs-/Fachdienst führen, nicht als ausführenden Anbieter.</x:v>
      </x:c>
      <x:c r="R47" s="45" t="str">
        <x:v>Lindenspürstraße 39</x:v>
      </x:c>
      <x:c r="S47" s="45" t="str">
        <x:v>70176</x:v>
      </x:c>
      <x:c r="T47" s="45" t="str">
        <x:v>Stuttgart</x:v>
      </x:c>
      <x:c r="U47" s="45" t="str">
        <x:v>Baden-Württemberg</x:v>
      </x:c>
      <x:c r="V47" s="45" t="str">
        <x:v>Deutschland</x:v>
      </x:c>
      <x:c r="W47" s="45" t="str">
        <x:v>+49 711 6375-0</x:v>
      </x:c>
      <x:c r="X47" s="45" t="str"/>
      <x:c r="Y47" s="45" t="str">
        <x:v>https://www.kvjs.de/behinderung-und-beruf/technischer-beratungsdienst</x:v>
      </x:c>
      <x:c r="Z47" s="82"/>
      <x:c r="AA47" s="82"/>
      <x:c r="AB47" s="45" t="str">
        <x:v>Adresse/Kontakt geprüft; numerische Hauskoordinate noch nicht separat verifiziert</x:v>
      </x:c>
      <x:c r="AC47" s="45" t="str">
        <x:v>Kartenpunkt – verifizierter Teilstandort</x:v>
      </x:c>
      <x:c r="AD47" s="45" t="str">
        <x:v>Baden-Württemberg</x:v>
      </x:c>
      <x:c r="AE47" s="45" t="str">
        <x:v>https://www.kvjs.de/behinderung-und-beruf/technischer-beratungsdienst</x:v>
      </x:c>
      <x:c r="AF47" s="45" t="str"/>
      <x:c r="AG47" s="45" t="str">
        <x:v>KVJS-Standort Stuttgart.</x:v>
      </x:c>
      <x:c r="AH47" s="83" t="str">
        <x:v>2026-08-30</x:v>
      </x:c>
      <x:c r="AI47" s="45" t="str">
        <x:f>IF(R47="","",R47&amp;", "&amp;S47&amp;" "&amp;T47&amp;", Deutschland")</x:f>
        <x:v>Lindenspürstraße 39, 70176 Stuttgart, Deutschland</x:v>
      </x:c>
    </x:row>
    <x:row r="48">
      <x:c r="A48" s="45" t="str">
        <x:v>T-042</x:v>
      </x:c>
      <x:c r="B48" s="45" t="str">
        <x:v>T-042-FR</x:v>
      </x:c>
      <x:c r="C48" s="45" t="str">
        <x:v>KVJS – Technischer Beratungsdienst Integrationsamt</x:v>
      </x:c>
      <x:c r="D48" s="45" t="str">
        <x:v>Aufnehmen</x:v>
      </x:c>
      <x:c r="E48" s="45" t="str">
        <x:v>A+</x:v>
      </x:c>
      <x:c r="F48" s="45" t="str">
        <x:v>Öffentlicher Technischer Fachdienst</x:v>
      </x:c>
      <x:c r="G48" s="45" t="str">
        <x:v>alle Branchen</x:v>
      </x:c>
      <x:c r="H48" s="45" t="str">
        <x:v>alle – behinderungsbezogene Arbeitsplatzgestaltung</x:v>
      </x:c>
      <x:c r="I48" s="45" t="str">
        <x:v>Arbeitsplatzgestaltung; technische Arbeitshilfe; Förder-/Umsetzungsklärung</x:v>
      </x:c>
      <x:c r="J48" s="45" t="str">
        <x:v>Technische Beratung; Arbeitsplatzanalyse; Arbeitshilfe; Fahrzeug-/Wohnraumbezug; Förderberatung</x:v>
      </x:c>
      <x:c r="K48" s="45" t="str">
        <x:v>Ja</x:v>
      </x:c>
      <x:c r="L48" s="45" t="str">
        <x:v>teilweise</x:v>
      </x:c>
      <x:c r="M48" s="45" t="str">
        <x:v>nein</x:v>
      </x:c>
      <x:c r="N48" s="45" t="str">
        <x:v>nein</x:v>
      </x:c>
      <x:c r="O48" s="45" t="str">
        <x:v>teilweise</x:v>
      </x:c>
      <x:c r="P48" s="45" t="str">
        <x:v>öffentlicher Kostenträger-/Integrationsbezug</x:v>
      </x:c>
      <x:c r="Q48" s="45" t="str">
        <x:v>Als Beratungs-/Fachdienst führen, nicht als ausführenden Anbieter.</x:v>
      </x:c>
      <x:c r="R48" s="45" t="str">
        <x:v>Kaiser-Joseph-Straße 170</x:v>
      </x:c>
      <x:c r="S48" s="45" t="str">
        <x:v>79098</x:v>
      </x:c>
      <x:c r="T48" s="45" t="str">
        <x:v>Freiburg im Breisgau</x:v>
      </x:c>
      <x:c r="U48" s="45" t="str">
        <x:v>Baden-Württemberg</x:v>
      </x:c>
      <x:c r="V48" s="45" t="str">
        <x:v>Deutschland</x:v>
      </x:c>
      <x:c r="W48" s="45" t="str">
        <x:v>+49 761 2719-0</x:v>
      </x:c>
      <x:c r="X48" s="45" t="str"/>
      <x:c r="Y48" s="45" t="str">
        <x:v>https://www.kvjs.de/behinderung-und-beruf/technischer-beratungsdienst</x:v>
      </x:c>
      <x:c r="Z48" s="82"/>
      <x:c r="AA48" s="82"/>
      <x:c r="AB48" s="45" t="str">
        <x:v>Adresse/Kontakt geprüft; numerische Hauskoordinate noch nicht separat verifiziert</x:v>
      </x:c>
      <x:c r="AC48" s="45" t="str">
        <x:v>Kartenpunkt – verifizierter Teilstandort</x:v>
      </x:c>
      <x:c r="AD48" s="45" t="str">
        <x:v>Baden-Württemberg</x:v>
      </x:c>
      <x:c r="AE48" s="45" t="str">
        <x:v>https://www.kvjs.de/behinderung-und-beruf/technischer-beratungsdienst</x:v>
      </x:c>
      <x:c r="AF48" s="45" t="str"/>
      <x:c r="AG48" s="45" t="str">
        <x:v>KVJS-Standort Freiburg.</x:v>
      </x:c>
      <x:c r="AH48" s="83" t="str">
        <x:v>2026-08-30</x:v>
      </x:c>
      <x:c r="AI48" s="45" t="str">
        <x:f>IF(R48="","",R48&amp;", "&amp;S48&amp;" "&amp;T48&amp;", Deutschland")</x:f>
        <x:v>Kaiser-Joseph-Straße 170, 79098 Freiburg im Breisgau, Deutschland</x:v>
      </x:c>
    </x:row>
    <x:row r="49">
      <x:c r="A49" s="45" t="str">
        <x:v>T-043</x:v>
      </x:c>
      <x:c r="B49" s="45" t="str">
        <x:v>T-043</x:v>
      </x:c>
      <x:c r="C49" s="45" t="str">
        <x:v>LSJV Rheinland-Pfalz – Technischer Beratungsdienst Integrationsamt</x:v>
      </x:c>
      <x:c r="D49" s="45" t="str">
        <x:v>Aufnehmen</x:v>
      </x:c>
      <x:c r="E49" s="45" t="str">
        <x:v>A+</x:v>
      </x:c>
      <x:c r="F49" s="45" t="str">
        <x:v>Öffentlicher Technischer Fachdienst</x:v>
      </x:c>
      <x:c r="G49" s="45" t="str">
        <x:v>alle Branchen</x:v>
      </x:c>
      <x:c r="H49" s="45" t="str">
        <x:v>alle – behinderungsbezogene Arbeitsplatzgestaltung</x:v>
      </x:c>
      <x:c r="I49" s="45" t="str">
        <x:v>Arbeitsplatzgestaltung; technische Arbeitshilfe; Förder-/Umsetzungsklärung</x:v>
      </x:c>
      <x:c r="J49" s="45" t="str">
        <x:v>Technische Beratung; Arbeitsplatzanalyse; technische Arbeitshilfe; Förderberatung</x:v>
      </x:c>
      <x:c r="K49" s="45" t="str">
        <x:v>Ja</x:v>
      </x:c>
      <x:c r="L49" s="45" t="str">
        <x:v>teilweise</x:v>
      </x:c>
      <x:c r="M49" s="45" t="str">
        <x:v>nein</x:v>
      </x:c>
      <x:c r="N49" s="45" t="str">
        <x:v>nein</x:v>
      </x:c>
      <x:c r="O49" s="45" t="str">
        <x:v>teilweise</x:v>
      </x:c>
      <x:c r="P49" s="45" t="str">
        <x:v>öffentlicher Kostenträger-/Integrationsbezug</x:v>
      </x:c>
      <x:c r="Q49" s="45" t="str">
        <x:v>Als Beratungs-/Fachdienst führen, nicht als ausführenden Anbieter.</x:v>
      </x:c>
      <x:c r="R49" s="45" t="str">
        <x:v>Rheinallee 97-101</x:v>
      </x:c>
      <x:c r="S49" s="45" t="str">
        <x:v>55118</x:v>
      </x:c>
      <x:c r="T49" s="45" t="str">
        <x:v>Mainz</x:v>
      </x:c>
      <x:c r="U49" s="45" t="str">
        <x:v>Rheinland-Pfalz</x:v>
      </x:c>
      <x:c r="V49" s="45" t="str">
        <x:v>Deutschland</x:v>
      </x:c>
      <x:c r="W49" s="45" t="str">
        <x:v>+49 6131 967-0</x:v>
      </x:c>
      <x:c r="X49" s="45" t="str">
        <x:v>integrationsamt@lsjv.rlp.de</x:v>
      </x:c>
      <x:c r="Y49" s="45" t="str">
        <x:v>https://lsjv.rlp.de/themen/inklusion/inklusion-und-beruf/begleitende-hilfen-im-arbeitsleben</x:v>
      </x:c>
      <x:c r="Z49" s="82"/>
      <x:c r="AA49" s="82"/>
      <x:c r="AB49" s="45" t="str">
        <x:v>Adresse/Kontakt geprüft; numerische Hauskoordinate noch nicht separat verifiziert</x:v>
      </x:c>
      <x:c r="AC49" s="45" t="str">
        <x:v>Kartenpunkt – Adresse geprüft</x:v>
      </x:c>
      <x:c r="AD49" s="45" t="str">
        <x:v>Rheinland-Pfalz</x:v>
      </x:c>
      <x:c r="AE49" s="45" t="str">
        <x:v>https://lsjv.rlp.de/themen/inklusion/inklusion-und-beruf/technischer-beratungsdienst</x:v>
      </x:c>
      <x:c r="AF49" s="45" t="str"/>
      <x:c r="AG49" s="45" t="str">
        <x:v>Integrationsamt/Technischer Beratungsdienst Mainz als Kartenpunkt.</x:v>
      </x:c>
      <x:c r="AH49" s="83" t="str">
        <x:v>2026-08-30</x:v>
      </x:c>
      <x:c r="AI49" s="45" t="str">
        <x:f>IF(R49="","",R49&amp;", "&amp;S49&amp;" "&amp;T49&amp;", Deutschland")</x:f>
        <x:v>Rheinallee 97-101, 55118 Mainz, Deutschland</x:v>
      </x:c>
    </x:row>
    <x:row r="50">
      <x:c r="A50" s="45" t="str">
        <x:v>T-044</x:v>
      </x:c>
      <x:c r="B50" s="45" t="str">
        <x:v>T-044</x:v>
      </x:c>
      <x:c r="C50" s="45" t="str">
        <x:v>Bundesagentur für Arbeit – Technischer Beratungsdienst</x:v>
      </x:c>
      <x:c r="D50" s="45" t="str">
        <x:v>Aufnehmen</x:v>
      </x:c>
      <x:c r="E50" s="45" t="str">
        <x:v>A+</x:v>
      </x:c>
      <x:c r="F50" s="45" t="str">
        <x:v>Öffentlicher Technischer Fachdienst</x:v>
      </x:c>
      <x:c r="G50" s="45" t="str">
        <x:v>alle Branchen</x:v>
      </x:c>
      <x:c r="H50" s="45" t="str">
        <x:v>alle – arbeitsplatzbezogene technische Einschränkungen</x:v>
      </x:c>
      <x:c r="I50" s="45" t="str">
        <x:v>Arbeitsplatzanalyse; technische Arbeitshilfe; bauliche/ergonomische Anpassung</x:v>
      </x:c>
      <x:c r="J50" s="45" t="str">
        <x:v>Technisches Gutachten; Arbeitsplatzanalyse; Hilfsmittel-/Fahrzeug-/Umbauempfehlung</x:v>
      </x:c>
      <x:c r="K50" s="45" t="str">
        <x:v>Ja</x:v>
      </x:c>
      <x:c r="L50" s="45" t="str">
        <x:v>teilweise</x:v>
      </x:c>
      <x:c r="M50" s="45" t="str">
        <x:v>nein</x:v>
      </x:c>
      <x:c r="N50" s="45" t="str">
        <x:v>nein</x:v>
      </x:c>
      <x:c r="O50" s="45" t="str">
        <x:v>teilweise</x:v>
      </x:c>
      <x:c r="P50" s="45" t="str">
        <x:v>öffentlicher Kostenträgerbezug</x:v>
      </x:c>
      <x:c r="Q50" s="45" t="str">
        <x:v>Als funktionalen Beratungsweg hinterlegen; nicht als einzelner Kartenpunkt.</x:v>
      </x:c>
      <x:c r="R50" s="45" t="str"/>
      <x:c r="S50" s="45" t="str"/>
      <x:c r="T50" s="45" t="str"/>
      <x:c r="U50" s="45" t="str"/>
      <x:c r="V50" s="45" t="str">
        <x:v>Deutschland</x:v>
      </x:c>
      <x:c r="W50" s="45" t="str">
        <x:v>+49 800 4555500</x:v>
      </x:c>
      <x:c r="X50" s="45" t="str"/>
      <x:c r="Y50" s="45" t="str">
        <x:v>https://www.arbeitsagentur.de/ueber-uns/technischer-beratungsdienst</x:v>
      </x:c>
      <x:c r="Z50" s="82"/>
      <x:c r="AA50" s="82"/>
      <x:c r="AB50" s="45" t="str">
        <x:v>Kein Einzelpunkt erforderlich</x:v>
      </x:c>
      <x:c r="AC50" s="45" t="str">
        <x:v>Kein Einzelpunkt – bundesweiter Fachdienst</x:v>
      </x:c>
      <x:c r="AD50" s="45" t="str">
        <x:v>bundesweit</x:v>
      </x:c>
      <x:c r="AE50" s="45" t="str">
        <x:v>https://www.arbeitsagentur.de/unternehmen/arbeitskraefte/technischer-beratungsdienst</x:v>
      </x:c>
      <x:c r="AF50" s="45" t="str"/>
      <x:c r="AG50" s="45" t="str">
        <x:v>Bundesweiter Fachdienst; kein einzelner Kartenpunkt. Zugang über regionale Agentur für Arbeit/Jobcenter.</x:v>
      </x:c>
      <x:c r="AH50" s="83" t="str">
        <x:v>2026-08-30</x:v>
      </x:c>
      <x:c r="AI50" s="45" t="str">
        <x:f>IF(R50="","",R50&amp;", "&amp;S50&amp;" "&amp;T50&amp;", Deutschland")</x:f>
      </x:c>
    </x:row>
    <x:row r="51">
      <x:c r="A51" s="45" t="str">
        <x:v>T-045</x:v>
      </x:c>
      <x:c r="B51" s="45" t="str">
        <x:v>T-045</x:v>
      </x:c>
      <x:c r="C51" s="45" t="str">
        <x:v>Fachdienste für Hörgeschädigte Rheinland-Pfalz</x:v>
      </x:c>
      <x:c r="D51" s="45" t="str">
        <x:v>Aufnehmen</x:v>
      </x:c>
      <x:c r="E51" s="45" t="str">
        <x:v>A</x:v>
      </x:c>
      <x:c r="F51" s="45" t="str">
        <x:v>Spezialisierter Integrationsfachdienst</x:v>
      </x:c>
      <x:c r="G51" s="45" t="str">
        <x:v>alle Branchen</x:v>
      </x:c>
      <x:c r="H51" s="45" t="str">
        <x:v>Hören/Kommunikation</x:v>
      </x:c>
      <x:c r="I51" s="45" t="str">
        <x:v>Kommunikation am Arbeitsplatz; Warn-/Signalwahrnehmung; Arbeitsplatzsicherung</x:v>
      </x:c>
      <x:c r="J51" s="45" t="str">
        <x:v>Arbeitsplatzberatung; technische Hör-/Kommunikationshilfe; Arbeitsassistenz; Förderberatung</x:v>
      </x:c>
      <x:c r="K51" s="45" t="str">
        <x:v>Ja</x:v>
      </x:c>
      <x:c r="L51" s="45" t="str">
        <x:v>nein</x:v>
      </x:c>
      <x:c r="M51" s="45" t="str">
        <x:v>nein</x:v>
      </x:c>
      <x:c r="N51" s="45" t="str">
        <x:v>nein</x:v>
      </x:c>
      <x:c r="O51" s="45" t="str">
        <x:v>nein</x:v>
      </x:c>
      <x:c r="P51" s="45" t="str">
        <x:v>Integrationsamt-/Kostenträgerbezug</x:v>
      </x:c>
      <x:c r="Q51" s="45" t="str">
        <x:v>Mit Humantechnik/WERMA und technischen Umsetzern verknüpfen.</x:v>
      </x:c>
      <x:c r="R51" s="45" t="str">
        <x:v>Carl-Spitzweg-Straße 30</x:v>
      </x:c>
      <x:c r="S51" s="45" t="str">
        <x:v>67227</x:v>
      </x:c>
      <x:c r="T51" s="45" t="str">
        <x:v>Frankenthal (Pfalz)</x:v>
      </x:c>
      <x:c r="U51" s="45" t="str">
        <x:v>Rheinland-Pfalz</x:v>
      </x:c>
      <x:c r="V51" s="45" t="str">
        <x:v>Deutschland</x:v>
      </x:c>
      <x:c r="W51" s="45" t="str">
        <x:v>+49 6233 3458-0</x:v>
      </x:c>
      <x:c r="X51" s="45" t="str">
        <x:v>kontakt@gehoerlose-rlp.de</x:v>
      </x:c>
      <x:c r="Y51" s="45" t="str">
        <x:v>https://www.fd-gehoerlose-rlp.de/</x:v>
      </x:c>
      <x:c r="Z51" s="82"/>
      <x:c r="AA51" s="82"/>
      <x:c r="AB51" s="45" t="str">
        <x:v>Adresse/Kontakt geprüft; numerische Hauskoordinate noch nicht separat verifiziert</x:v>
      </x:c>
      <x:c r="AC51" s="45" t="str">
        <x:v>Kartenpunkt – Adresse geprüft</x:v>
      </x:c>
      <x:c r="AD51" s="45" t="str">
        <x:v>Rheinland-Pfalz</x:v>
      </x:c>
      <x:c r="AE51" s="45" t="str">
        <x:v>https://www.fd-gehoerlose-rlp.de/</x:v>
      </x:c>
      <x:c r="AF51" s="45" t="str"/>
      <x:c r="AG51" s="45" t="str">
        <x:v>Standort Frankenthal verifiziert.</x:v>
      </x:c>
      <x:c r="AH51" s="83" t="str">
        <x:v>2026-08-30</x:v>
      </x:c>
      <x:c r="AI51" s="45" t="str">
        <x:f>IF(R51="","",R51&amp;", "&amp;S51&amp;" "&amp;T51&amp;", Deutschland")</x:f>
        <x:v>Carl-Spitzweg-Straße 30, 67227 Frankenthal (Pfalz), Deutschland</x:v>
      </x:c>
    </x:row>
  </x:sheetData>
  <x:mergeCells>
    <x:mergeCell ref="A1:AI1"/>
    <x:mergeCell ref="A2:AI2"/>
  </x:mergeCells>
  <x:conditionalFormatting sqref="D5:D51">
    <x:cfRule type="expression" dxfId="3" priority="1">
      <x:formula>D5="Aufnehmen"</x:formula>
    </x:cfRule>
  </x:conditionalFormatting>
  <x:conditionalFormatting sqref="AC5:AC51">
    <x:cfRule type="expression" dxfId="4" priority="2">
      <x:formula>ISNUMBER(SEARCH("Warnung",AC5))</x:formula>
    </x:cfRule>
  </x:conditionalFormatting>
  <x:conditionalFormatting sqref="AB5:AB51">
    <x:cfRule type="expression" dxfId="5" priority="3">
      <x:formula>ISNUMBER(SEARCH("Koordinate geprüft",AB5))</x:formula>
    </x:cfRule>
  </x:conditionalFormatting>
  <x:pageMargins left="0.7" right="0.7" top="0.75" bottom="0.75" header="0.3" footer="0.3"/>
  <x:tableParts count="1">
    <x:tablePart xmlns:r="http://schemas.openxmlformats.org/officeDocument/2006/relationships" r:id="R2d0ed849870544a4"/>
  </x:tableParts>
</x:worksheet>
</file>

<file path=xl/worksheets/sheet16.xml><?xml version="1.0" encoding="utf-8"?>
<x:worksheet xmlns:x="http://schemas.openxmlformats.org/spreadsheetml/2006/main">
  <x:sheetFormatPr defaultRowHeight="15"/>
  <x:cols>
    <x:col min="1" max="1" width="11" hidden="0" customWidth="1"/>
    <x:col min="2" max="2" width="32" hidden="0" customWidth="1"/>
    <x:col min="3" max="3" width="34" hidden="0" customWidth="1"/>
    <x:col min="4" max="4" width="11" hidden="0" customWidth="1"/>
    <x:col min="5" max="5" width="54" hidden="0" customWidth="1"/>
    <x:col min="6" max="6" width="24" hidden="0" customWidth="1"/>
    <x:col min="7" max="7" width="9" hidden="0" customWidth="1"/>
    <x:col min="8" max="8" width="22" hidden="0" customWidth="1"/>
    <x:col min="9" max="9" width="22" hidden="0" customWidth="1"/>
    <x:col min="10" max="10" width="25" hidden="0" customWidth="1"/>
    <x:col min="11" max="11" width="25" hidden="0" customWidth="1"/>
    <x:col min="12" max="12" width="42" hidden="0" customWidth="1"/>
    <x:col min="13" max="13" width="42" hidden="0" customWidth="1"/>
    <x:col min="14" max="14" width="16" hidden="0" customWidth="1"/>
    <x:col min="15" max="15" width="58" hidden="0" customWidth="1"/>
    <x:col min="16" max="16" width="58" hidden="0" customWidth="1"/>
    <x:col min="17" max="17" width="12" hidden="0" customWidth="1"/>
    <x:col min="18" max="18" width="48" hidden="0" customWidth="1"/>
  </x:cols>
  <x:sheetData>
    <x:row r="1" ht="28" customHeight="1">
      <x:c r="A1" s="70" t="str">
        <x:v>BG‑RehaManager Südwest – Prüfkandidaten Technik: Entscheidung &amp; Geodaten</x:v>
      </x:c>
      <x:c r="B1" s="70"/>
      <x:c r="C1" s="70"/>
      <x:c r="D1" s="70"/>
      <x:c r="E1" s="70"/>
      <x:c r="F1" s="70"/>
      <x:c r="G1" s="70"/>
      <x:c r="H1" s="70"/>
      <x:c r="I1" s="70"/>
      <x:c r="J1" s="70"/>
      <x:c r="K1" s="70"/>
      <x:c r="L1" s="70"/>
      <x:c r="M1" s="70"/>
      <x:c r="N1" s="70"/>
      <x:c r="O1" s="70"/>
      <x:c r="P1" s="70"/>
      <x:c r="Q1" s="70"/>
      <x:c r="R1" s="70"/>
    </x:row>
    <x:row r="2">
      <x:c r="A2" s="73" t="str">
        <x:v>Stand 30.08.2026: fünf Kandidaten fachlich zur Aufnahme empfohlen; Kevekordes nicht mehr als aktiver Neuanbieter.</x:v>
      </x:c>
      <x:c r="B2" s="73"/>
      <x:c r="C2" s="73"/>
      <x:c r="D2" s="73"/>
      <x:c r="E2" s="73"/>
      <x:c r="F2" s="73"/>
      <x:c r="G2" s="73"/>
      <x:c r="H2" s="73"/>
      <x:c r="I2" s="73"/>
      <x:c r="J2" s="73"/>
      <x:c r="K2" s="73"/>
      <x:c r="L2" s="73"/>
      <x:c r="M2" s="73"/>
      <x:c r="N2" s="73"/>
      <x:c r="O2" s="73"/>
      <x:c r="P2" s="73"/>
      <x:c r="Q2" s="73"/>
      <x:c r="R2" s="73"/>
    </x:row>
    <x:row r="4">
      <x:c r="A4" s="78" t="str">
        <x:v>ID</x:v>
      </x:c>
      <x:c r="B4" s="78" t="str">
        <x:v>Anbieter</x:v>
      </x:c>
      <x:c r="C4" s="78" t="str">
        <x:v>Rolle</x:v>
      </x:c>
      <x:c r="D4" s="78" t="str">
        <x:v>Priorität</x:v>
      </x:c>
      <x:c r="E4" s="78" t="str">
        <x:v>Fachprofil</x:v>
      </x:c>
      <x:c r="F4" s="78" t="str">
        <x:v>Straße</x:v>
      </x:c>
      <x:c r="G4" s="78" t="str">
        <x:v>PLZ</x:v>
      </x:c>
      <x:c r="H4" s="78" t="str">
        <x:v>Ort</x:v>
      </x:c>
      <x:c r="I4" s="78" t="str">
        <x:v>Bundesland</x:v>
      </x:c>
      <x:c r="J4" s="78" t="str">
        <x:v>Telefon</x:v>
      </x:c>
      <x:c r="K4" s="78" t="str">
        <x:v>E-Mail</x:v>
      </x:c>
      <x:c r="L4" s="78" t="str">
        <x:v>Website</x:v>
      </x:c>
      <x:c r="M4" s="78" t="str">
        <x:v>Quellen-URL</x:v>
      </x:c>
      <x:c r="N4" s="78" t="str">
        <x:v>Entscheidung</x:v>
      </x:c>
      <x:c r="O4" s="78" t="str">
        <x:v>Begründung / Status</x:v>
      </x:c>
      <x:c r="P4" s="78" t="str">
        <x:v>Geo-Status</x:v>
      </x:c>
      <x:c r="Q4" s="78" t="str">
        <x:v>Prüfdatum</x:v>
      </x:c>
      <x:c r="R4" s="78" t="str">
        <x:v>Geocode-Query</x:v>
      </x:c>
    </x:row>
    <x:row r="5">
      <x:c r="A5" s="30" t="str">
        <x:v>P-001</x:v>
      </x:c>
      <x:c r="B5" s="30" t="str">
        <x:v>Kevekordes Ergonomie</x:v>
      </x:c>
      <x:c r="C5" s="30" t="str">
        <x:v>Privater Arbeitsplatzberater / Ergonomie</x:v>
      </x:c>
      <x:c r="D5" s="30" t="str">
        <x:v>A</x:v>
      </x:c>
      <x:c r="E5" s="30" t="str">
        <x:v>Arbeitsplatz-Checks; ergonomische/behinderungsgerechte Ausstattung; Kostenträgerabrechnung möglich</x:v>
      </x:c>
      <x:c r="F5" s="30" t="str">
        <x:v>Am Sonnenhof 16</x:v>
      </x:c>
      <x:c r="G5" s="30" t="str">
        <x:v>97076</x:v>
      </x:c>
      <x:c r="H5" s="30" t="str">
        <x:v>Würzburg</x:v>
      </x:c>
      <x:c r="I5" s="30" t="str">
        <x:v>Bayern</x:v>
      </x:c>
      <x:c r="J5" s="30" t="str">
        <x:v>+49 931 2876196</x:v>
      </x:c>
      <x:c r="K5" s="30" t="str">
        <x:v>info@kevekordes-ergonomie.de</x:v>
      </x:c>
      <x:c r="L5" s="30" t="str">
        <x:v>https://www.kevekordes-ergonomie.de/</x:v>
      </x:c>
      <x:c r="M5" s="30" t="str">
        <x:v>https://www.kevekordes-ergonomie.de/</x:v>
      </x:c>
      <x:c r="N5" s="30" t="str">
        <x:v>Nicht aufnehmen</x:v>
      </x:c>
      <x:c r="O5" s="30" t="str">
        <x:v>Inhaber Theodor Kevekordes am 26.04.2024 verstorben; Website verweist neue Anfragen an Kollegen. Nicht als aktiven Neuanbieter importieren.</x:v>
      </x:c>
      <x:c r="P5" s="30" t="str">
        <x:v>Adresse/Kontakt geprüft; kein Kartenimport</x:v>
      </x:c>
      <x:c r="Q5" s="80" t="str">
        <x:v>2026-08-30</x:v>
      </x:c>
      <x:c r="R5" s="30" t="str">
        <x:f>F5&amp;", "&amp;G5&amp;" "&amp;H5&amp;", Deutschland"</x:f>
        <x:v>Am Sonnenhof 16, 97076 Würzburg, Deutschland</x:v>
      </x:c>
    </x:row>
    <x:row r="6">
      <x:c r="A6" s="30" t="str">
        <x:v>P-002</x:v>
      </x:c>
      <x:c r="B6" s="30" t="str">
        <x:v>Feinwerktechnik Ritzenthaler GmbH</x:v>
      </x:c>
      <x:c r="C6" s="30" t="str">
        <x:v>Technischer Umsetzer / Arbeitsplatzsysteme &amp; Vorrichtungen</x:v>
      </x:c>
      <x:c r="D6" s="30" t="str">
        <x:v>A+</x:v>
      </x:c>
      <x:c r="E6" s="30" t="str">
        <x:v>Vor-Ort-Analyse; Greifwegoptimierung; Materialbereitstellung; ergonomische Montage-/Arbeitsplätze; Konstruktion; eigene Fertigung; Umbau/Retrofit; Montage/Inbetriebnahme</x:v>
      </x:c>
      <x:c r="F6" s="30" t="str">
        <x:v>Staufener Straße 4</x:v>
      </x:c>
      <x:c r="G6" s="30" t="str">
        <x:v>79427</x:v>
      </x:c>
      <x:c r="H6" s="30" t="str">
        <x:v>Eschbach</x:v>
      </x:c>
      <x:c r="I6" s="30" t="str">
        <x:v>Baden-Württemberg</x:v>
      </x:c>
      <x:c r="J6" s="30" t="str">
        <x:v>+49 7634 5071428</x:v>
      </x:c>
      <x:c r="K6" s="30" t="str">
        <x:v>kontakt@fwtr.de</x:v>
      </x:c>
      <x:c r="L6" s="30" t="str">
        <x:v>https://fwtr.de/</x:v>
      </x:c>
      <x:c r="M6" s="30" t="str">
        <x:v>https://fwtr.de/leistungen/</x:v>
      </x:c>
      <x:c r="N6" s="30" t="str">
        <x:v>Aufnehmen</x:v>
      </x:c>
      <x:c r="O6" s="30" t="str">
        <x:v>Sehr guter Fit: Analyse, Entwicklung, Fertigung, Vor-Ort-Montage und Retrofit aus einer Hand.</x:v>
      </x:c>
      <x:c r="P6" s="30" t="str">
        <x:v>Adresse/Kontakt geprüft; numerische Hauskoordinate offen</x:v>
      </x:c>
      <x:c r="Q6" s="80" t="str">
        <x:v>2026-08-30</x:v>
      </x:c>
      <x:c r="R6" s="30" t="str">
        <x:f>F6&amp;", "&amp;G6&amp;" "&amp;H6&amp;", Deutschland"</x:f>
        <x:v>Staufener Straße 4, 79427 Eschbach, Deutschland</x:v>
      </x:c>
    </x:row>
    <x:row r="7">
      <x:c r="A7" s="30" t="str">
        <x:v>P-003</x:v>
      </x:c>
      <x:c r="B7" s="30" t="str">
        <x:v>Grabert Aluformguss GmbH</x:v>
      </x:c>
      <x:c r="C7" s="30" t="str">
        <x:v>Technischer Umsetzer / Sondermaschinen &amp; Vorrichtungen</x:v>
      </x:c>
      <x:c r="D7" s="30" t="str">
        <x:v>B</x:v>
      </x:c>
      <x:c r="E7" s="30" t="str">
        <x:v>Engineering; Modell-/Prototypenbau; Vorrichtungsbau; Maschinenbau; Montage; Handarbeitsplätze/Handlingsysteme projektbezogen</x:v>
      </x:c>
      <x:c r="F7" s="30" t="str">
        <x:v>Salzstraße 153</x:v>
      </x:c>
      <x:c r="G7" s="30" t="str">
        <x:v>74076</x:v>
      </x:c>
      <x:c r="H7" s="30" t="str">
        <x:v>Heilbronn</x:v>
      </x:c>
      <x:c r="I7" s="30" t="str">
        <x:v>Baden-Württemberg</x:v>
      </x:c>
      <x:c r="J7" s="30" t="str">
        <x:v>+49 7131 9568-0</x:v>
      </x:c>
      <x:c r="K7" s="30" t="str">
        <x:v>info@grabert-aluformguss.de</x:v>
      </x:c>
      <x:c r="L7" s="30" t="str">
        <x:v>https://www.grabert-aluformguss.de/</x:v>
      </x:c>
      <x:c r="M7" s="30" t="str">
        <x:v>https://www.grabert-aluformguss.de/</x:v>
      </x:c>
      <x:c r="N7" s="30" t="str">
        <x:v>Aufnehmen</x:v>
      </x:c>
      <x:c r="O7" s="30" t="str">
        <x:v>Als projektbezogener technischer Umsetzer aufnehmen; Reha-Einzelfallbezug nicht ausdrücklich beworben.</x:v>
      </x:c>
      <x:c r="P7" s="30" t="str">
        <x:v>Adresse/Kontakt geprüft; numerische Hauskoordinate offen</x:v>
      </x:c>
      <x:c r="Q7" s="80" t="str">
        <x:v>2026-08-30</x:v>
      </x:c>
      <x:c r="R7" s="30" t="str">
        <x:f>F7&amp;", "&amp;G7&amp;" "&amp;H7&amp;", Deutschland"</x:f>
        <x:v>Salzstraße 153, 74076 Heilbronn, Deutschland</x:v>
      </x:c>
    </x:row>
    <x:row r="8">
      <x:c r="A8" s="30" t="str">
        <x:v>P-004</x:v>
      </x:c>
      <x:c r="B8" s="30" t="str">
        <x:v>Log &amp; Consult GmbH</x:v>
      </x:c>
      <x:c r="C8" s="30" t="str">
        <x:v>Technischer Umsetzer / Arbeitsplatz &amp; Materialfluss</x:v>
      </x:c>
      <x:c r="D8" s="30" t="str">
        <x:v>A</x:v>
      </x:c>
      <x:c r="E8" s="30" t="str">
        <x:v>Individuelle Arbeitsplatzsysteme; Materialbereitstellung; Ergonomie; Entwicklung vom Entwurf/Prototyp bis Serie</x:v>
      </x:c>
      <x:c r="F8" s="30" t="str">
        <x:v>Amsterdamerstraße 9</x:v>
      </x:c>
      <x:c r="G8" s="30" t="str">
        <x:v>74081</x:v>
      </x:c>
      <x:c r="H8" s="30" t="str">
        <x:v>Heilbronn</x:v>
      </x:c>
      <x:c r="I8" s="30" t="str">
        <x:v>Baden-Württemberg</x:v>
      </x:c>
      <x:c r="J8" s="30" t="str">
        <x:v>+49 7131 8993460</x:v>
      </x:c>
      <x:c r="K8" s="30" t="str">
        <x:v>info@log-consult.com</x:v>
      </x:c>
      <x:c r="L8" s="30" t="str">
        <x:v>https://www.log-consult.com/</x:v>
      </x:c>
      <x:c r="M8" s="30" t="str">
        <x:v>https://www.log-consult.com/</x:v>
      </x:c>
      <x:c r="N8" s="30" t="str">
        <x:v>Aufnehmen</x:v>
      </x:c>
      <x:c r="O8" s="30" t="str">
        <x:v>Klarer Fit für individuelle ergonomische Arbeitsplatz- und Materialflusslösungen.</x:v>
      </x:c>
      <x:c r="P8" s="30" t="str">
        <x:v>Adresse/Kontakt geprüft; numerische Hauskoordinate offen</x:v>
      </x:c>
      <x:c r="Q8" s="80" t="str">
        <x:v>2026-08-30</x:v>
      </x:c>
      <x:c r="R8" s="30" t="str">
        <x:f>F8&amp;", "&amp;G8&amp;" "&amp;H8&amp;", Deutschland"</x:f>
        <x:v>Amsterdamerstraße 9, 74081 Heilbronn, Deutschland</x:v>
      </x:c>
    </x:row>
    <x:row r="9">
      <x:c r="A9" s="30" t="str">
        <x:v>P-005</x:v>
      </x:c>
      <x:c r="B9" s="30" t="str">
        <x:v>AGIL Rehabilitationstechnik</x:v>
      </x:c>
      <x:c r="C9" s="30" t="str">
        <x:v>Technischer Ergänzungspartner / komplexe Rehatechnik</x:v>
      </x:c>
      <x:c r="D9" s="30" t="str">
        <x:v>B</x:v>
      </x:c>
      <x:c r="E9" s="30" t="str">
        <x:v>Elektrorollstühle; Sondersteuerungen; individuelle Sonderanfertigungen; technischer Außendienst und Werkstatt</x:v>
      </x:c>
      <x:c r="F9" s="30" t="str">
        <x:v>Am Taubenfeld 14/1</x:v>
      </x:c>
      <x:c r="G9" s="30" t="str">
        <x:v>69123</x:v>
      </x:c>
      <x:c r="H9" s="30" t="str">
        <x:v>Heidelberg</x:v>
      </x:c>
      <x:c r="I9" s="30" t="str">
        <x:v>Baden-Württemberg</x:v>
      </x:c>
      <x:c r="J9" s="30" t="str">
        <x:v>+49 6221 82240</x:v>
      </x:c>
      <x:c r="K9" s="30" t="str">
        <x:v>reha@agil-info.de</x:v>
      </x:c>
      <x:c r="L9" s="30" t="str">
        <x:v>https://www.agil-info.de/</x:v>
      </x:c>
      <x:c r="M9" s="30" t="str">
        <x:v>https://www.agil-info.de/</x:v>
      </x:c>
      <x:c r="N9" s="30" t="str">
        <x:v>Aufnehmen</x:v>
      </x:c>
      <x:c r="O9" s="30" t="str">
        <x:v>Nicht als primären Industrie-Arbeitsplatzberater führen; als Ergänzungspartner bei komplexer Mobilitäts-/Steuerungstechnik.</x:v>
      </x:c>
      <x:c r="P9" s="30" t="str">
        <x:v>Adresse/Kontakt geprüft; numerische Hauskoordinate offen</x:v>
      </x:c>
      <x:c r="Q9" s="80" t="str">
        <x:v>2026-08-30</x:v>
      </x:c>
      <x:c r="R9" s="30" t="str">
        <x:f>F9&amp;", "&amp;G9&amp;" "&amp;H9&amp;", Deutschland"</x:f>
        <x:v>Am Taubenfeld 14/1, 69123 Heidelberg, Deutschland</x:v>
      </x:c>
    </x:row>
    <x:row r="10">
      <x:c r="A10" s="30" t="str">
        <x:v>P-006</x:v>
      </x:c>
      <x:c r="B10" s="30" t="str">
        <x:v>PETec GmbH</x:v>
      </x:c>
      <x:c r="C10" s="30" t="str">
        <x:v>Technischer Umsetzer / Schwerlast- &amp; Schweißtische</x:v>
      </x:c>
      <x:c r="D10" s="30" t="str">
        <x:v>A</x:v>
      </x:c>
      <x:c r="E10" s="30" t="str">
        <x:v>Höhenverstellbare Montage-/Schweiß-/Schwerlasttische; Hub-/Dreh-/Kippfunktionen; Sonderanfertigungen</x:v>
      </x:c>
      <x:c r="F10" s="30" t="str">
        <x:v>Zum Osterfeld 6</x:v>
      </x:c>
      <x:c r="G10" s="30" t="str">
        <x:v>59872</x:v>
      </x:c>
      <x:c r="H10" s="30" t="str">
        <x:v>Meschede</x:v>
      </x:c>
      <x:c r="I10" s="30" t="str">
        <x:v>Nordrhein-Westfalen</x:v>
      </x:c>
      <x:c r="J10" s="30" t="str">
        <x:v>+49 291 95277807</x:v>
      </x:c>
      <x:c r="K10" s="30" t="str">
        <x:v>info@petec-gmbh.de</x:v>
      </x:c>
      <x:c r="L10" s="30" t="str">
        <x:v>https://www.petec-gmbh.de/</x:v>
      </x:c>
      <x:c r="M10" s="30" t="str">
        <x:v>https://www.petec-gmbh.de/</x:v>
      </x:c>
      <x:c r="N10" s="30" t="str">
        <x:v>Aufnehmen</x:v>
      </x:c>
      <x:c r="O10" s="30" t="str">
        <x:v>Spezialanbieter für Schwerlast-/Schweißfälle; überregional und fallbezogen priorisieren.</x:v>
      </x:c>
      <x:c r="P10" s="30" t="str">
        <x:v>Adresse/Kontakt geprüft; numerische Hauskoordinate offen</x:v>
      </x:c>
      <x:c r="Q10" s="80" t="str">
        <x:v>2026-08-30</x:v>
      </x:c>
      <x:c r="R10" s="30" t="str">
        <x:f>F10&amp;", "&amp;G10&amp;" "&amp;H10&amp;", Deutschland"</x:f>
        <x:v>Zum Osterfeld 6, 59872 Meschede, Deutschland</x:v>
      </x:c>
    </x:row>
  </x:sheetData>
  <x:mergeCells>
    <x:mergeCell ref="A1:R1"/>
    <x:mergeCell ref="A2:R2"/>
  </x:mergeCells>
  <x:conditionalFormatting sqref="N5:N10">
    <x:cfRule type="expression" dxfId="9" priority="1">
      <x:formula>N5="Aufnehmen"</x:formula>
    </x:cfRule>
    <x:cfRule type="expression" dxfId="10" priority="2">
      <x:formula>N5="Nicht aufnehmen"</x:formula>
    </x:cfRule>
  </x:conditionalFormatting>
  <x:pageMargins left="0.7" right="0.7" top="0.75" bottom="0.75" header="0.3" footer="0.3"/>
  <x:tableParts count="1">
    <x:tablePart xmlns:r="http://schemas.openxmlformats.org/officeDocument/2006/relationships" r:id="R418bfa449a25419a"/>
  </x:tableParts>
</x:worksheet>
</file>

<file path=xl/worksheets/sheet17.xml><?xml version="1.0" encoding="utf-8"?>
<x:worksheet xmlns:x="http://schemas.openxmlformats.org/spreadsheetml/2006/main">
  <x:sheetFormatPr defaultRowHeight="15"/>
  <x:cols>
    <x:col min="1" max="1" width="11" hidden="0" customWidth="1"/>
    <x:col min="2" max="2" width="11" hidden="0" customWidth="1"/>
    <x:col min="3" max="3" width="31" hidden="0" customWidth="1"/>
    <x:col min="4" max="4" width="13" hidden="0" customWidth="1"/>
    <x:col min="5" max="5" width="13" hidden="0" customWidth="1"/>
    <x:col min="6" max="6" width="29" hidden="0" customWidth="1"/>
    <x:col min="7" max="7" width="35" hidden="0" customWidth="1"/>
    <x:col min="8" max="8" width="35" hidden="0" customWidth="1"/>
    <x:col min="9" max="9" width="35" hidden="0" customWidth="1"/>
    <x:col min="10" max="10" width="3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42" hidden="0" customWidth="1"/>
    <x:col min="18" max="18" width="24" hidden="0" customWidth="1"/>
    <x:col min="19" max="19" width="9" hidden="0" customWidth="1"/>
    <x:col min="20" max="20" width="22" hidden="0" customWidth="1"/>
    <x:col min="21" max="21" width="18" hidden="0" customWidth="1"/>
    <x:col min="22" max="22" width="18" hidden="0" customWidth="1"/>
    <x:col min="23" max="23" width="24" hidden="0" customWidth="1"/>
    <x:col min="24" max="24" width="24" hidden="0" customWidth="1"/>
    <x:col min="25" max="25" width="42" hidden="0" customWidth="1"/>
    <x:col min="26" max="26" width="13" hidden="0" customWidth="1"/>
    <x:col min="27" max="27" width="13" hidden="0" customWidth="1"/>
    <x:col min="28" max="28" width="31" hidden="0" customWidth="1"/>
    <x:col min="29" max="29" width="31" hidden="0" customWidth="1"/>
    <x:col min="30" max="30" width="28" hidden="0" customWidth="1"/>
    <x:col min="31" max="31" width="43" hidden="0" customWidth="1"/>
    <x:col min="32" max="32" width="43" hidden="0" customWidth="1"/>
    <x:col min="33" max="33" width="48" hidden="0" customWidth="1"/>
    <x:col min="34" max="34" width="12" hidden="0" customWidth="1"/>
    <x:col min="35" max="35" width="48" hidden="0" customWidth="1"/>
  </x:cols>
  <x:sheetData>
    <x:row r="1" ht="28" customHeight="1">
      <x:c r="A1" s="70" t="str">
        <x:v>BG‑RehaManager Südwest – erweiterte Kartenimportliste Technik</x:v>
      </x:c>
      <x:c r="B1" s="70"/>
      <x:c r="C1" s="70"/>
      <x:c r="D1" s="70"/>
      <x:c r="E1" s="70"/>
      <x:c r="F1" s="70"/>
      <x:c r="G1" s="70"/>
      <x:c r="H1" s="70"/>
      <x:c r="I1" s="70"/>
      <x:c r="J1" s="70"/>
      <x:c r="K1" s="70"/>
      <x:c r="L1" s="70"/>
      <x:c r="M1" s="70"/>
      <x:c r="N1" s="70"/>
      <x:c r="O1" s="70"/>
      <x:c r="P1" s="70"/>
      <x:c r="Q1" s="70"/>
      <x:c r="R1" s="70"/>
      <x:c r="S1" s="70"/>
      <x:c r="T1" s="70"/>
      <x:c r="U1" s="70"/>
      <x:c r="V1" s="70"/>
      <x:c r="W1" s="70"/>
      <x:c r="X1" s="70"/>
      <x:c r="Y1" s="70"/>
      <x:c r="Z1" s="70"/>
      <x:c r="AA1" s="70"/>
      <x:c r="AB1" s="70"/>
      <x:c r="AC1" s="70"/>
      <x:c r="AD1" s="70"/>
      <x:c r="AE1" s="70"/>
      <x:c r="AF1" s="70"/>
      <x:c r="AG1" s="70"/>
      <x:c r="AH1" s="70"/>
      <x:c r="AI1" s="70"/>
    </x:row>
    <x:row r="2" ht="34" customHeight="1">
      <x:c r="A2" s="73" t="str">
        <x:v>47 Standort-/Funktionszeilen aus dem bestehenden Bestand plus fünf fachlich bestätigte Prüfkandidaten. P‑IDs bleiben bis zur formalen Übernahme bewusst erhalten.</x:v>
      </x:c>
      <x:c r="B2" s="73"/>
      <x:c r="C2" s="73"/>
      <x:c r="D2" s="73"/>
      <x:c r="E2" s="73"/>
      <x:c r="F2" s="73"/>
      <x:c r="G2" s="73"/>
      <x:c r="H2" s="73"/>
      <x:c r="I2" s="73"/>
      <x:c r="J2" s="73"/>
      <x:c r="K2" s="73"/>
      <x:c r="L2" s="73"/>
      <x:c r="M2" s="73"/>
      <x:c r="N2" s="73"/>
      <x:c r="O2" s="73"/>
      <x:c r="P2" s="73"/>
      <x:c r="Q2" s="73"/>
      <x:c r="R2" s="73"/>
      <x:c r="S2" s="73"/>
      <x:c r="T2" s="73"/>
      <x:c r="U2" s="73"/>
      <x:c r="V2" s="73"/>
      <x:c r="W2" s="73"/>
      <x:c r="X2" s="73"/>
      <x:c r="Y2" s="73"/>
      <x:c r="Z2" s="73"/>
      <x:c r="AA2" s="73"/>
      <x:c r="AB2" s="73"/>
      <x:c r="AC2" s="73"/>
      <x:c r="AD2" s="73"/>
      <x:c r="AE2" s="73"/>
      <x:c r="AF2" s="73"/>
      <x:c r="AG2" s="73"/>
      <x:c r="AH2" s="73"/>
      <x:c r="AI2" s="73"/>
    </x:row>
    <x:row r="4" ht="40" customHeight="1">
      <x:c r="A4" s="81" t="str">
        <x:v>Parent-ID</x:v>
      </x:c>
      <x:c r="B4" s="81" t="str">
        <x:v>Karten-ID</x:v>
      </x:c>
      <x:c r="C4" s="81" t="str">
        <x:v>Anbieter</x:v>
      </x:c>
      <x:c r="D4" s="81" t="str">
        <x:v>Importentscheidung</x:v>
      </x:c>
      <x:c r="E4" s="81" t="str">
        <x:v>Priorität</x:v>
      </x:c>
      <x:c r="F4" s="81" t="str">
        <x:v>Rolle</x:v>
      </x:c>
      <x:c r="G4" s="81" t="str">
        <x:v>Branchen</x:v>
      </x:c>
      <x:c r="H4" s="81" t="str">
        <x:v>Funktionelle Einschränkung</x:v>
      </x:c>
      <x:c r="I4" s="81" t="str">
        <x:v>Arbeitsplatzproblem / Tätigkeit</x:v>
      </x:c>
      <x:c r="J4" s="81" t="str">
        <x:v>Lösungstypen</x:v>
      </x:c>
      <x:c r="K4" s="81" t="str">
        <x:v>Analyse / Beratung</x:v>
      </x:c>
      <x:c r="L4" s="81" t="str">
        <x:v>Konstruktion / Planung</x:v>
      </x:c>
      <x:c r="M4" s="81" t="str">
        <x:v>Umbau / Nachrüstung</x:v>
      </x:c>
      <x:c r="N4" s="81" t="str">
        <x:v>Montage / Inbetriebnahme</x:v>
      </x:c>
      <x:c r="O4" s="81" t="str">
        <x:v>Safety / CE</x:v>
      </x:c>
      <x:c r="P4" s="81" t="str">
        <x:v>BG-/Kostenträgerbezug</x:v>
      </x:c>
      <x:c r="Q4" s="81" t="str">
        <x:v>Einsatzhinweis</x:v>
      </x:c>
      <x:c r="R4" s="81" t="str">
        <x:v>Straße</x:v>
      </x:c>
      <x:c r="S4" s="81" t="str">
        <x:v>PLZ</x:v>
      </x:c>
      <x:c r="T4" s="81" t="str">
        <x:v>Ort</x:v>
      </x:c>
      <x:c r="U4" s="81" t="str">
        <x:v>Bundesland</x:v>
      </x:c>
      <x:c r="V4" s="81" t="str">
        <x:v>Land</x:v>
      </x:c>
      <x:c r="W4" s="81" t="str">
        <x:v>Telefon</x:v>
      </x:c>
      <x:c r="X4" s="81" t="str">
        <x:v>E-Mail</x:v>
      </x:c>
      <x:c r="Y4" s="81" t="str">
        <x:v>Website</x:v>
      </x:c>
      <x:c r="Z4" s="81" t="str">
        <x:v>Breitengrad</x:v>
      </x:c>
      <x:c r="AA4" s="81" t="str">
        <x:v>Längengrad</x:v>
      </x:c>
      <x:c r="AB4" s="81" t="str">
        <x:v>Geo-Status</x:v>
      </x:c>
      <x:c r="AC4" s="81" t="str">
        <x:v>Kartenstatus</x:v>
      </x:c>
      <x:c r="AD4" s="81" t="str">
        <x:v>Servicegebiet</x:v>
      </x:c>
      <x:c r="AE4" s="81" t="str">
        <x:v>Adress-/Kontaktquelle</x:v>
      </x:c>
      <x:c r="AF4" s="81" t="str">
        <x:v>Geoquelle</x:v>
      </x:c>
      <x:c r="AG4" s="81" t="str">
        <x:v>Prüfhinweis / Aktualität</x:v>
      </x:c>
      <x:c r="AH4" s="81" t="str">
        <x:v>Prüfdatum</x:v>
      </x:c>
      <x:c r="AI4" s="81" t="str">
        <x:v>Geocode-Query</x:v>
      </x:c>
    </x:row>
    <x:row r="5">
      <x:c r="A5" s="45" t="str">
        <x:v>T-001</x:v>
      </x:c>
      <x:c r="B5" s="45" t="str">
        <x:v>T-001</x:v>
      </x:c>
      <x:c r="C5" s="45" t="str">
        <x:v>MiniTec GmbH</x:v>
      </x:c>
      <x:c r="D5" s="45" t="str">
        <x:v>Aufnehmen</x:v>
      </x:c>
      <x:c r="E5" s="45" t="str">
        <x:v>A+</x:v>
      </x:c>
      <x:c r="F5" s="45" t="str">
        <x:v>Technischer Umsetzer / Sonderlösung</x:v>
      </x:c>
      <x:c r="G5" s="45" t="str">
        <x:v>Metall; Automotive; Maschinenbau; Holz; Montage/Produktion</x:v>
      </x:c>
      <x:c r="H5" s="45" t="str">
        <x:v>Arm/Hand; Schulter; Rücken/Wirbelsäule; Bein/Stehen; reduzierte Kraft; Rollstuhl/Mobilität</x:v>
      </x:c>
      <x:c r="I5" s="45" t="str">
        <x:v>Montagehöhe; lange Greifwege; Materialbereitstellung; dauerhaftes Stehen; körperliche Belastung</x:v>
      </x:c>
      <x:c r="J5" s="45" t="str">
        <x:v>Höhenverstellbarer Arbeitsplatz; Materialbereitstellung; Hubsäulen/Lifter; Sondervorrichtung; Assistenzsystem</x:v>
      </x:c>
      <x:c r="K5" s="45" t="str">
        <x:v>Ja</x:v>
      </x:c>
      <x:c r="L5" s="45" t="str">
        <x:v>Ja</x:v>
      </x:c>
      <x:c r="M5" s="45" t="str">
        <x:v>Ja</x:v>
      </x:c>
      <x:c r="N5" s="45" t="str">
        <x:v>Ja</x:v>
      </x:c>
      <x:c r="O5" s="45" t="str">
        <x:v>teilweise/projektbezogen</x:v>
      </x:c>
      <x:c r="P5" s="45" t="str">
        <x:v>nicht spezifisch belegt</x:v>
      </x:c>
      <x:c r="Q5" s="45" t="str">
        <x:v>Sehr hoher Reha-Nutzen bei individuell anpassbaren Industriearbeitsplätzen; behindertengerechte Arbeitsplätze ausdrücklich ausgewiesen.</x:v>
      </x:c>
      <x:c r="R5" s="45" t="str">
        <x:v>MiniTec-Allee 1</x:v>
      </x:c>
      <x:c r="S5" s="45" t="str">
        <x:v>66901</x:v>
      </x:c>
      <x:c r="T5" s="45" t="str">
        <x:v>Schönenberg-Kübelberg</x:v>
      </x:c>
      <x:c r="U5" s="45" t="str">
        <x:v>Rheinland-Pfalz</x:v>
      </x:c>
      <x:c r="V5" s="45" t="str">
        <x:v>Deutschland</x:v>
      </x:c>
      <x:c r="W5" s="45" t="str">
        <x:v>+49 6373 8127-0</x:v>
      </x:c>
      <x:c r="X5" s="45" t="str">
        <x:v>info@minitec.de</x:v>
      </x:c>
      <x:c r="Y5" s="45" t="str">
        <x:v>https://www.minitec.de/produkte/arbeitsplatzsystem/behindertengerechter-arbeitsplatz</x:v>
      </x:c>
      <x:c r="Z5" s="82" t="n">
        <x:v>49.40292</x:v>
      </x:c>
      <x:c r="AA5" s="82" t="n">
        <x:v>7.35003</x:v>
      </x:c>
      <x:c r="AB5" s="45" t="str">
        <x:v>Adresse und numerische Standortkoordinate geprüft</x:v>
      </x:c>
      <x:c r="AC5" s="45" t="str">
        <x:v>Kartenpunkt – Koordinate geprüft</x:v>
      </x:c>
      <x:c r="AD5" s="45" t="str">
        <x:v>regional + projektbezogen überregional</x:v>
      </x:c>
      <x:c r="AE5" s="45" t="str">
        <x:v>https://www.minitec.de/unternehmen/standorte-weltweit</x:v>
      </x:c>
      <x:c r="AF5" s="45" t="str">
        <x:v>Mapcarta / Adressabgleich 2026-08-30</x:v>
      </x:c>
      <x:c r="AG5" s="45" t="str">
        <x:v>Hauptstandort verifiziert.</x:v>
      </x:c>
      <x:c r="AH5" s="83" t="str">
        <x:v>2026-08-30</x:v>
      </x:c>
      <x:c r="AI5" s="45" t="str">
        <x:f>IF(R5="","",R5&amp;", "&amp;S5&amp;" "&amp;T5&amp;", Deutschland")</x:f>
        <x:v>MiniTec-Allee 1, 66901 Schönenberg-Kübelberg, Deutschland</x:v>
      </x:c>
    </x:row>
    <x:row r="6">
      <x:c r="A6" s="45" t="str">
        <x:v>T-002</x:v>
      </x:c>
      <x:c r="B6" s="45" t="str">
        <x:v>T-002</x:v>
      </x:c>
      <x:c r="C6" s="45" t="str">
        <x:v>Ruck GmbH &amp; Co. KG / RUCK AluConnect</x:v>
      </x:c>
      <x:c r="D6" s="45" t="str">
        <x:v>Aufnehmen</x:v>
      </x:c>
      <x:c r="E6" s="45" t="str">
        <x:v>A+</x:v>
      </x:c>
      <x:c r="F6" s="45" t="str">
        <x:v>Technischer Umsetzer / Arbeitsplatzsystem</x:v>
      </x:c>
      <x:c r="G6" s="45" t="str">
        <x:v>Metall; Automotive; Maschinenbau; Montage/Produktion; Logistik</x:v>
      </x:c>
      <x:c r="H6" s="45" t="str">
        <x:v>Arm/Hand; Schulter; Rücken/Wirbelsäule; Bein/Stehen; reduzierte Kraft</x:v>
      </x:c>
      <x:c r="I6" s="45" t="str">
        <x:v>Montagehöhe; Materialbereitstellung; lange Greifwege; Verpacken; Verkettung</x:v>
      </x:c>
      <x:c r="J6" s="45" t="str">
        <x:v>Höhenverstellbarer Arbeitsplatz; Durchlaufregal; Materialbereitstellung; Bereitstellungswagen; Förder-/Verkettungstechnik</x:v>
      </x:c>
      <x:c r="K6" s="45" t="str">
        <x:v>Ja</x:v>
      </x:c>
      <x:c r="L6" s="45" t="str">
        <x:v>Ja</x:v>
      </x:c>
      <x:c r="M6" s="45" t="str">
        <x:v>Ja</x:v>
      </x:c>
      <x:c r="N6" s="45" t="str">
        <x:v>Ja</x:v>
      </x:c>
      <x:c r="O6" s="45" t="str">
        <x:v>teilweise/projektbezogen</x:v>
      </x:c>
      <x:c r="P6" s="45" t="str">
        <x:v>nicht spezifisch belegt</x:v>
      </x:c>
      <x:c r="Q6" s="45" t="str">
        <x:v>Bestehende Konstruktionen können um- und weitergebaut werden; sehr gut für individualisierte Montageplätze.</x:v>
      </x:c>
      <x:c r="R6" s="45" t="str">
        <x:v>Kelterstraße 43</x:v>
      </x:c>
      <x:c r="S6" s="45" t="str">
        <x:v>72669</x:v>
      </x:c>
      <x:c r="T6" s="45" t="str">
        <x:v>Unterensingen</x:v>
      </x:c>
      <x:c r="U6" s="45" t="str">
        <x:v>Baden-Württemberg</x:v>
      </x:c>
      <x:c r="V6" s="45" t="str">
        <x:v>Deutschland</x:v>
      </x:c>
      <x:c r="W6" s="45" t="str">
        <x:v>+49 7022 67618</x:v>
      </x:c>
      <x:c r="X6" s="45" t="str">
        <x:v>info@ruck.de</x:v>
      </x:c>
      <x:c r="Y6" s="45" t="str">
        <x:v>https://alu-connect.de/index.php/produkte/arbeitsplatzsysteme/montagearbeitsplaetze</x:v>
      </x:c>
      <x:c r="Z6" s="82"/>
      <x:c r="AA6" s="82"/>
      <x:c r="AB6" s="45" t="str">
        <x:v>Adresse/Kontakt geprüft; numerische Hauskoordinate noch nicht separat verifiziert</x:v>
      </x:c>
      <x:c r="AC6" s="45" t="str">
        <x:v>Kartenpunkt – Adresse geprüft</x:v>
      </x:c>
      <x:c r="AD6" s="45" t="str">
        <x:v>regional + projektbezogen überregional</x:v>
      </x:c>
      <x:c r="AE6" s="45" t="str">
        <x:v>https://alu-connect.de/</x:v>
      </x:c>
      <x:c r="AF6" s="45" t="str"/>
      <x:c r="AG6" s="45" t="str">
        <x:v>Standort/Kontakt verifiziert.</x:v>
      </x:c>
      <x:c r="AH6" s="83" t="str">
        <x:v>2026-08-30</x:v>
      </x:c>
      <x:c r="AI6" s="45" t="str">
        <x:f>IF(R6="","",R6&amp;", "&amp;S6&amp;" "&amp;T6&amp;", Deutschland")</x:f>
        <x:v>Kelterstraße 43, 72669 Unterensingen, Deutschland</x:v>
      </x:c>
    </x:row>
    <x:row r="7">
      <x:c r="A7" s="45" t="str">
        <x:v>T-003</x:v>
      </x:c>
      <x:c r="B7" s="45" t="str">
        <x:v>T-003</x:v>
      </x:c>
      <x:c r="C7" s="45" t="str">
        <x:v>J. Schmalz GmbH</x:v>
      </x:c>
      <x:c r="D7" s="45" t="str">
        <x:v>Aufnehmen</x:v>
      </x:c>
      <x:c r="E7" s="45" t="str">
        <x:v>A+</x:v>
      </x:c>
      <x:c r="F7" s="45" t="str">
        <x:v>Technischer Umsetzer / Handhabungstechnik</x:v>
      </x:c>
      <x:c r="G7" s="45" t="str">
        <x:v>Holz; Metall; Automotive; Maschinenbau; Logistik; Montage/Produktion</x:v>
      </x:c>
      <x:c r="H7" s="45" t="str">
        <x:v>Arm/Hand; Schulter; Rücken/Wirbelsäule; reduzierte Kraft; Greifdefizit</x:v>
      </x:c>
      <x:c r="I7" s="45" t="str">
        <x:v>Heben/Tragen; Wenden/Positionieren; Maschinenbeschickung; Plattenhandling; schwere Werkstücke</x:v>
      </x:c>
      <x:c r="J7" s="45" t="str">
        <x:v>Vakuumheber; Kran-/Hebetechnik; Greiftechnik; Maschinenbeschickung; Nachrüstung CNC/Arbeitsplatz</x:v>
      </x:c>
      <x:c r="K7" s="45" t="str">
        <x:v>Ja</x:v>
      </x:c>
      <x:c r="L7" s="45" t="str">
        <x:v>Ja</x:v>
      </x:c>
      <x:c r="M7" s="45" t="str">
        <x:v>Ja</x:v>
      </x:c>
      <x:c r="N7" s="45" t="str">
        <x:v>Ja</x:v>
      </x:c>
      <x:c r="O7" s="45" t="str">
        <x:v>teilweise/projektbezogen</x:v>
      </x:c>
      <x:c r="P7" s="45" t="str">
        <x:v>nicht spezifisch belegt</x:v>
      </x:c>
      <x:c r="Q7" s="45" t="str">
        <x:v>A+ für Holz/Schreinerei und Metall; besonders CNC-/Plattenhandling, Heben und Wenden.</x:v>
      </x:c>
      <x:c r="R7" s="45" t="str">
        <x:v>Aacher Straße 29</x:v>
      </x:c>
      <x:c r="S7" s="45" t="str">
        <x:v>72293</x:v>
      </x:c>
      <x:c r="T7" s="45" t="str">
        <x:v>Glatten</x:v>
      </x:c>
      <x:c r="U7" s="45" t="str">
        <x:v>Baden-Württemberg</x:v>
      </x:c>
      <x:c r="V7" s="45" t="str">
        <x:v>Deutschland</x:v>
      </x:c>
      <x:c r="W7" s="45" t="str">
        <x:v>+49 7443 2403-0</x:v>
      </x:c>
      <x:c r="X7" s="45" t="str">
        <x:v>schmalz@schmalz.de</x:v>
      </x:c>
      <x:c r="Y7" s="45" t="str">
        <x:v>https://www.schmalz.com/de-de/loesungen/branchen-und-anwendungen/holz</x:v>
      </x:c>
      <x:c r="Z7" s="82"/>
      <x:c r="AA7" s="82"/>
      <x:c r="AB7" s="45" t="str">
        <x:v>Adresse/Kontakt geprüft; numerische Hauskoordinate noch nicht separat verifiziert</x:v>
      </x:c>
      <x:c r="AC7" s="45" t="str">
        <x:v>Kartenpunkt – Adresse geprüft</x:v>
      </x:c>
      <x:c r="AD7" s="45" t="str">
        <x:v>regional + projektbezogen überregional</x:v>
      </x:c>
      <x:c r="AE7" s="45" t="str">
        <x:v>https://www.schmalz.com/de-de/unternehmen/kontakt</x:v>
      </x:c>
      <x:c r="AF7" s="45" t="str"/>
      <x:c r="AG7" s="45" t="str">
        <x:v>Für Navigation nennt Schmalz Aacher Straße 29; Firmensitz Johannes-Schmalz-Straße 1.</x:v>
      </x:c>
      <x:c r="AH7" s="83" t="str">
        <x:v>2026-08-30</x:v>
      </x:c>
      <x:c r="AI7" s="45" t="str">
        <x:f>IF(R7="","",R7&amp;", "&amp;S7&amp;" "&amp;T7&amp;", Deutschland")</x:f>
        <x:v>Aacher Straße 29, 72293 Glatten, Deutschland</x:v>
      </x:c>
    </x:row>
    <x:row r="8">
      <x:c r="A8" s="45" t="str">
        <x:v>T-004</x:v>
      </x:c>
      <x:c r="B8" s="45" t="str">
        <x:v>T-004</x:v>
      </x:c>
      <x:c r="C8" s="45" t="str">
        <x:v>Albert Fezer Maschinenfabrik GmbH</x:v>
      </x:c>
      <x:c r="D8" s="45" t="str">
        <x:v>Aufnehmen</x:v>
      </x:c>
      <x:c r="E8" s="45" t="str">
        <x:v>A+</x:v>
      </x:c>
      <x:c r="F8" s="45" t="str">
        <x:v>Technischer Umsetzer / Handhabungstechnik</x:v>
      </x:c>
      <x:c r="G8" s="45" t="str">
        <x:v>Metall; Holz; Automotive; Maschinenbau; Montage/Produktion</x:v>
      </x:c>
      <x:c r="H8" s="45" t="str">
        <x:v>Arm/Hand; Schulter; Rücken/Wirbelsäule; reduzierte Kraft; Greifdefizit</x:v>
      </x:c>
      <x:c r="I8" s="45" t="str">
        <x:v>Heben/Tragen; Wenden/Positionieren; Maschinenbeschickung; schwere/sperrige Werkstücke</x:v>
      </x:c>
      <x:c r="J8" s="45" t="str">
        <x:v>Vakuumheber; Schlauchheber; Krananlage; individuelle Greifer; Handhabungssystem</x:v>
      </x:c>
      <x:c r="K8" s="45" t="str">
        <x:v>Ja</x:v>
      </x:c>
      <x:c r="L8" s="45" t="str">
        <x:v>Ja</x:v>
      </x:c>
      <x:c r="M8" s="45" t="str">
        <x:v>Ja</x:v>
      </x:c>
      <x:c r="N8" s="45" t="str">
        <x:v>Ja</x:v>
      </x:c>
      <x:c r="O8" s="45" t="str">
        <x:v>teilweise/projektbezogen</x:v>
      </x:c>
      <x:c r="P8" s="45" t="str">
        <x:v>nicht spezifisch belegt</x:v>
      </x:c>
      <x:c r="Q8" s="45" t="str">
        <x:v>Vor-Ort-Beratung und kundenspezifische Lösungen; gut für Blech, Holz, Rohre, Behälter und CNC-Beschickung.</x:v>
      </x:c>
      <x:c r="R8" s="45" t="str">
        <x:v>In den Weiden 26</x:v>
      </x:c>
      <x:c r="S8" s="45" t="str">
        <x:v>73776</x:v>
      </x:c>
      <x:c r="T8" s="45" t="str">
        <x:v>Altbach</x:v>
      </x:c>
      <x:c r="U8" s="45" t="str">
        <x:v>Baden-Württemberg</x:v>
      </x:c>
      <x:c r="V8" s="45" t="str">
        <x:v>Deutschland</x:v>
      </x:c>
      <x:c r="W8" s="45" t="str">
        <x:v>+49 7153 61316-0</x:v>
      </x:c>
      <x:c r="X8" s="45" t="str">
        <x:v>kontakt@fezer.com</x:v>
      </x:c>
      <x:c r="Y8" s="45" t="str">
        <x:v>https://www.fezer.com/de/home</x:v>
      </x:c>
      <x:c r="Z8" s="82" t="n">
        <x:v>48.722629</x:v>
      </x:c>
      <x:c r="AA8" s="82" t="n">
        <x:v>9.374738</x:v>
      </x:c>
      <x:c r="AB8" s="45" t="str">
        <x:v>Adresse und numerische Standortkoordinate geprüft</x:v>
      </x:c>
      <x:c r="AC8" s="45" t="str">
        <x:v>Kartenpunkt – Koordinate geprüft</x:v>
      </x:c>
      <x:c r="AD8" s="45" t="str">
        <x:v>regional + projektbezogen überregional</x:v>
      </x:c>
      <x:c r="AE8" s="45" t="str">
        <x:v>https://www.fezer.com/de/home</x:v>
      </x:c>
      <x:c r="AF8" s="45" t="str">
        <x:v>Adressbezogene Web-Geoprüfung 2026-08-30</x:v>
      </x:c>
      <x:c r="AG8" s="45" t="str">
        <x:v>Standort verifiziert.</x:v>
      </x:c>
      <x:c r="AH8" s="83" t="str">
        <x:v>2026-08-30</x:v>
      </x:c>
      <x:c r="AI8" s="45" t="str">
        <x:f>IF(R8="","",R8&amp;", "&amp;S8&amp;" "&amp;T8&amp;", Deutschland")</x:f>
        <x:v>In den Weiden 26, 73776 Altbach, Deutschland</x:v>
      </x:c>
    </x:row>
    <x:row r="9">
      <x:c r="A9" s="45" t="str">
        <x:v>T-005</x:v>
      </x:c>
      <x:c r="B9" s="45" t="str">
        <x:v>T-005</x:v>
      </x:c>
      <x:c r="C9" s="45" t="str">
        <x:v>AERO-LIFT Vakuumtechnik GmbH</x:v>
      </x:c>
      <x:c r="D9" s="45" t="str">
        <x:v>Aufnehmen</x:v>
      </x:c>
      <x:c r="E9" s="45" t="str">
        <x:v>A+</x:v>
      </x:c>
      <x:c r="F9" s="45" t="str">
        <x:v>Technischer Umsetzer / Vakuumhandling</x:v>
      </x:c>
      <x:c r="G9" s="45" t="str">
        <x:v>Holz; Metall; Montage/Produktion; Logistik</x:v>
      </x:c>
      <x:c r="H9" s="45" t="str">
        <x:v>Arm/Hand; Schulter; Rücken/Wirbelsäule; reduzierte Kraft; Greifdefizit</x:v>
      </x:c>
      <x:c r="I9" s="45" t="str">
        <x:v>Heben/Tragen; Plattenhandling; Wenden/Schwenken; Maschinenbeschickung</x:v>
      </x:c>
      <x:c r="J9" s="45" t="str">
        <x:v>Vakuumheber; Schlauchheber; Greiftechnik; Wenden/Schwenken; Sonderlösung</x:v>
      </x:c>
      <x:c r="K9" s="45" t="str">
        <x:v>Ja</x:v>
      </x:c>
      <x:c r="L9" s="45" t="str">
        <x:v>Ja</x:v>
      </x:c>
      <x:c r="M9" s="45" t="str">
        <x:v>Ja</x:v>
      </x:c>
      <x:c r="N9" s="45" t="str">
        <x:v>Ja</x:v>
      </x:c>
      <x:c r="O9" s="45" t="str">
        <x:v>teilweise/projektbezogen</x:v>
      </x:c>
      <x:c r="P9" s="45" t="str">
        <x:v>nicht spezifisch belegt</x:v>
      </x:c>
      <x:c r="Q9" s="45" t="str">
        <x:v>Sehr relevant für Schreinerei/Holzverarbeitung und Metallplatten; kundenspezifische Systeme.</x:v>
      </x:c>
      <x:c r="R9" s="45" t="str">
        <x:v>Turmstraße 1</x:v>
      </x:c>
      <x:c r="S9" s="45" t="str">
        <x:v>72351</x:v>
      </x:c>
      <x:c r="T9" s="45" t="str">
        <x:v>Geislingen-Binsdorf</x:v>
      </x:c>
      <x:c r="U9" s="45" t="str">
        <x:v>Baden-Württemberg</x:v>
      </x:c>
      <x:c r="V9" s="45" t="str">
        <x:v>Deutschland</x:v>
      </x:c>
      <x:c r="W9" s="45" t="str">
        <x:v>+49 7428 94514-0</x:v>
      </x:c>
      <x:c r="X9" s="45" t="str">
        <x:v>info@aero-lift.de</x:v>
      </x:c>
      <x:c r="Y9" s="45" t="str">
        <x:v>https://www.aero-lift.de/produkte/</x:v>
      </x:c>
      <x:c r="Z9" s="82"/>
      <x:c r="AA9" s="82"/>
      <x:c r="AB9" s="45" t="str">
        <x:v>Adresse/Kontakt geprüft; numerische Hauskoordinate noch nicht separat verifiziert</x:v>
      </x:c>
      <x:c r="AC9" s="45" t="str">
        <x:v>Kartenpunkt – Adresse geprüft</x:v>
      </x:c>
      <x:c r="AD9" s="45" t="str">
        <x:v>regional + projektbezogen überregional</x:v>
      </x:c>
      <x:c r="AE9" s="45" t="str">
        <x:v>https://www.aero-lift.de/</x:v>
      </x:c>
      <x:c r="AF9" s="45" t="str"/>
      <x:c r="AG9" s="45" t="str">
        <x:v>Standort und Zentrale verifiziert.</x:v>
      </x:c>
      <x:c r="AH9" s="83" t="str">
        <x:v>2026-08-30</x:v>
      </x:c>
      <x:c r="AI9" s="45" t="str">
        <x:f>IF(R9="","",R9&amp;", "&amp;S9&amp;" "&amp;T9&amp;", Deutschland")</x:f>
        <x:v>Turmstraße 1, 72351 Geislingen-Binsdorf, Deutschland</x:v>
      </x:c>
    </x:row>
    <x:row r="10">
      <x:c r="A10" s="45" t="str">
        <x:v>T-006</x:v>
      </x:c>
      <x:c r="B10" s="45" t="str">
        <x:v>T-006</x:v>
      </x:c>
      <x:c r="C10" s="45" t="str">
        <x:v>ims Handhabungstechnik GmbH</x:v>
      </x:c>
      <x:c r="D10" s="45" t="str">
        <x:v>Aufnehmen</x:v>
      </x:c>
      <x:c r="E10" s="45" t="str">
        <x:v>A+</x:v>
      </x:c>
      <x:c r="F10" s="45" t="str">
        <x:v>Technischer Umsetzer / Arbeitsplatz- &amp; Hebetechnik</x:v>
      </x:c>
      <x:c r="G10" s="45" t="str">
        <x:v>Metall; Automotive; Maschinenbau; Montage/Produktion</x:v>
      </x:c>
      <x:c r="H10" s="45" t="str">
        <x:v>Arm/Hand; Schulter; Rücken/Wirbelsäule; Bein/Stehen; reduzierte Kraft</x:v>
      </x:c>
      <x:c r="I10" s="45" t="str">
        <x:v>Montagehöhe; Heben/Senken; Wenden/Positionieren; körperliche Belastung</x:v>
      </x:c>
      <x:c r="J10" s="45" t="str">
        <x:v>Höhenverstellbarer Montagetisch; Scherenhubtisch; Handhabungstechnik; Sonderkonstruktion</x:v>
      </x:c>
      <x:c r="K10" s="45" t="str">
        <x:v>Ja</x:v>
      </x:c>
      <x:c r="L10" s="45" t="str">
        <x:v>Ja</x:v>
      </x:c>
      <x:c r="M10" s="45" t="str">
        <x:v>Ja</x:v>
      </x:c>
      <x:c r="N10" s="45" t="str">
        <x:v>Ja</x:v>
      </x:c>
      <x:c r="O10" s="45" t="str">
        <x:v>teilweise/projektbezogen</x:v>
      </x:c>
      <x:c r="P10" s="45" t="str">
        <x:v>nicht spezifisch belegt</x:v>
      </x:c>
      <x:c r="Q10" s="45" t="str">
        <x:v>Regional sehr guter Kandidat für individuelle Arbeits-/Montagetische und Hubtechnik.</x:v>
      </x:c>
      <x:c r="R10" s="45" t="str">
        <x:v>Langenmorgen 2/1</x:v>
      </x:c>
      <x:c r="S10" s="45" t="str">
        <x:v>75015</x:v>
      </x:c>
      <x:c r="T10" s="45" t="str">
        <x:v>Bretten</x:v>
      </x:c>
      <x:c r="U10" s="45" t="str">
        <x:v>Baden-Württemberg</x:v>
      </x:c>
      <x:c r="V10" s="45" t="str">
        <x:v>Deutschland</x:v>
      </x:c>
      <x:c r="W10" s="45" t="str">
        <x:v>+49 7252 96661-0</x:v>
      </x:c>
      <x:c r="X10" s="45" t="str">
        <x:v>info@ims-tec.de</x:v>
      </x:c>
      <x:c r="Y10" s="45" t="str">
        <x:v>https://ims-tec.de/</x:v>
      </x:c>
      <x:c r="Z10" s="82"/>
      <x:c r="AA10" s="82"/>
      <x:c r="AB10" s="45" t="str">
        <x:v>Adresse/Kontakt geprüft; numerische Hauskoordinate noch nicht separat verifiziert</x:v>
      </x:c>
      <x:c r="AC10" s="45" t="str">
        <x:v>Kartenpunkt – Adresse geprüft</x:v>
      </x:c>
      <x:c r="AD10" s="45" t="str">
        <x:v>regional + projektbezogen überregional</x:v>
      </x:c>
      <x:c r="AE10" s="45" t="str">
        <x:v>https://ims-tec.de/</x:v>
      </x:c>
      <x:c r="AF10" s="45" t="str"/>
      <x:c r="AG10" s="45" t="str">
        <x:v>Aktuelle Firmenadresse. Alte Verzeichnisadresse Pforzheimer Str. 46 ausdrücklich verworfen.</x:v>
      </x:c>
      <x:c r="AH10" s="83" t="str">
        <x:v>2026-08-30</x:v>
      </x:c>
      <x:c r="AI10" s="45" t="str">
        <x:f>IF(R10="","",R10&amp;", "&amp;S10&amp;" "&amp;T10&amp;", Deutschland")</x:f>
        <x:v>Langenmorgen 2/1, 75015 Bretten, Deutschland</x:v>
      </x:c>
    </x:row>
    <x:row r="11">
      <x:c r="A11" s="45" t="str">
        <x:v>T-007</x:v>
      </x:c>
      <x:c r="B11" s="45" t="str">
        <x:v>T-007</x:v>
      </x:c>
      <x:c r="C11" s="45" t="str">
        <x:v>sachs products GmbH</x:v>
      </x:c>
      <x:c r="D11" s="45" t="str">
        <x:v>Aufnehmen</x:v>
      </x:c>
      <x:c r="E11" s="45" t="str">
        <x:v>A+</x:v>
      </x:c>
      <x:c r="F11" s="45" t="str">
        <x:v>Technischer Umsetzer / Manipulatoren</x:v>
      </x:c>
      <x:c r="G11" s="45" t="str">
        <x:v>Automotive; Metall; Maschinenbau; Montage/Produktion; Logistik</x:v>
      </x:c>
      <x:c r="H11" s="45" t="str">
        <x:v>Arm/Hand; Schulter; Rücken/Wirbelsäule; reduzierte Kraft; Greifdefizit</x:v>
      </x:c>
      <x:c r="I11" s="45" t="str">
        <x:v>Heben/Tragen; Wenden/Positionieren; Maschinenbeschickung; schwere Werkstücke</x:v>
      </x:c>
      <x:c r="J11" s="45" t="str">
        <x:v>Manipulator; Balancer; Greifer; Maschinenbeschickung; Positionierhilfe</x:v>
      </x:c>
      <x:c r="K11" s="45" t="str">
        <x:v>Ja</x:v>
      </x:c>
      <x:c r="L11" s="45" t="str">
        <x:v>Ja</x:v>
      </x:c>
      <x:c r="M11" s="45" t="str">
        <x:v>Ja</x:v>
      </x:c>
      <x:c r="N11" s="45" t="str">
        <x:v>Ja</x:v>
      </x:c>
      <x:c r="O11" s="45" t="str">
        <x:v>teilweise/projektbezogen</x:v>
      </x:c>
      <x:c r="P11" s="45" t="str">
        <x:v>nicht spezifisch belegt</x:v>
      </x:c>
      <x:c r="Q11" s="45" t="str">
        <x:v>Handgeführte Manipulatoren für Logistik, Montage und Produktion; sehr geeignet bei Kraft-/Schulter-/Rückenproblemen.</x:v>
      </x:c>
      <x:c r="R11" s="45" t="str">
        <x:v>Robert-Bosch-Straße 1</x:v>
      </x:c>
      <x:c r="S11" s="45" t="str">
        <x:v>78234</x:v>
      </x:c>
      <x:c r="T11" s="45" t="str">
        <x:v>Engen</x:v>
      </x:c>
      <x:c r="U11" s="45" t="str">
        <x:v>Baden-Württemberg</x:v>
      </x:c>
      <x:c r="V11" s="45" t="str">
        <x:v>Deutschland</x:v>
      </x:c>
      <x:c r="W11" s="45" t="str">
        <x:v>+49 7733 50399-10</x:v>
      </x:c>
      <x:c r="X11" s="45" t="str">
        <x:v>vertrieb@sachs-handling.de</x:v>
      </x:c>
      <x:c r="Y11" s="45" t="str">
        <x:v>https://www.sachs-products.de/</x:v>
      </x:c>
      <x:c r="Z11" s="82"/>
      <x:c r="AA11" s="82"/>
      <x:c r="AB11" s="45" t="str">
        <x:v>Adresse/Kontakt geprüft; numerische Hauskoordinate noch nicht separat verifiziert</x:v>
      </x:c>
      <x:c r="AC11" s="45" t="str">
        <x:v>Kartenpunkt – Adresse geprüft</x:v>
      </x:c>
      <x:c r="AD11" s="45" t="str">
        <x:v>regional + projektbezogen überregional</x:v>
      </x:c>
      <x:c r="AE11" s="45" t="str">
        <x:v>https://www.sachs-products.de/</x:v>
      </x:c>
      <x:c r="AF11" s="45" t="str"/>
      <x:c r="AG11" s="45" t="str">
        <x:v>Standort verifiziert; Handling-Vertrieb als Fachkontakt.</x:v>
      </x:c>
      <x:c r="AH11" s="83" t="str">
        <x:v>2026-08-30</x:v>
      </x:c>
      <x:c r="AI11" s="45" t="str">
        <x:f>IF(R11="","",R11&amp;", "&amp;S11&amp;" "&amp;T11&amp;", Deutschland")</x:f>
        <x:v>Robert-Bosch-Straße 1, 78234 Engen, Deutschland</x:v>
      </x:c>
    </x:row>
    <x:row r="12">
      <x:c r="A12" s="45" t="str">
        <x:v>T-008</x:v>
      </x:c>
      <x:c r="B12" s="45" t="str">
        <x:v>T-008</x:v>
      </x:c>
      <x:c r="C12" s="45" t="str">
        <x:v>Scaglia INDEVA GmbH</x:v>
      </x:c>
      <x:c r="D12" s="45" t="str">
        <x:v>Aufnehmen</x:v>
      </x:c>
      <x:c r="E12" s="45" t="str">
        <x:v>A+</x:v>
      </x:c>
      <x:c r="F12" s="45" t="str">
        <x:v>Technischer Umsetzer / Manipulatoren</x:v>
      </x:c>
      <x:c r="G12" s="45" t="str">
        <x:v>Automotive; Metall; Maschinenbau; Holz; Montage/Produktion</x:v>
      </x:c>
      <x:c r="H12" s="45" t="str">
        <x:v>Arm/Hand; Schulter; Rücken/Wirbelsäule; reduzierte Kraft</x:v>
      </x:c>
      <x:c r="I12" s="45" t="str">
        <x:v>Heben/Tragen; Wenden/Kippen; Positionieren; Maschinen-/Montagebeschickung</x:v>
      </x:c>
      <x:c r="J12" s="45" t="str">
        <x:v>Manipulator; Greifer; Balancer; Positionierhilfe; Holzplattenhandling</x:v>
      </x:c>
      <x:c r="K12" s="45" t="str">
        <x:v>Ja</x:v>
      </x:c>
      <x:c r="L12" s="45" t="str">
        <x:v>Ja</x:v>
      </x:c>
      <x:c r="M12" s="45" t="str">
        <x:v>Ja</x:v>
      </x:c>
      <x:c r="N12" s="45" t="str">
        <x:v>Ja</x:v>
      </x:c>
      <x:c r="O12" s="45" t="str">
        <x:v>teilweise/projektbezogen</x:v>
      </x:c>
      <x:c r="P12" s="45" t="str">
        <x:v>nicht spezifisch belegt</x:v>
      </x:c>
      <x:c r="Q12" s="45" t="str">
        <x:v>Deutscher Standort mit Beratung, Installation, Wartung und Showroom; sehr passend für Automotive und Montage.</x:v>
      </x:c>
      <x:c r="R12" s="45" t="str">
        <x:v>Esslinger Straße 26</x:v>
      </x:c>
      <x:c r="S12" s="45" t="str">
        <x:v>73249</x:v>
      </x:c>
      <x:c r="T12" s="45" t="str">
        <x:v>Wernau (Neckar)</x:v>
      </x:c>
      <x:c r="U12" s="45" t="str">
        <x:v>Baden-Württemberg</x:v>
      </x:c>
      <x:c r="V12" s="45" t="str">
        <x:v>Deutschland</x:v>
      </x:c>
      <x:c r="W12" s="45" t="str">
        <x:v>+49 7153 55049-0</x:v>
      </x:c>
      <x:c r="X12" s="45" t="str">
        <x:v>info@de.indevagroup.com</x:v>
      </x:c>
      <x:c r="Y12" s="45" t="str">
        <x:v>https://www.indevagroup.de/indeva-in-deutschland/</x:v>
      </x:c>
      <x:c r="Z12" s="82" t="n">
        <x:v>48.70036</x:v>
      </x:c>
      <x:c r="AA12" s="82" t="n">
        <x:v>9.41589</x:v>
      </x:c>
      <x:c r="AB12" s="45" t="str">
        <x:v>Adresse und numerische Standortkoordinate geprüft</x:v>
      </x:c>
      <x:c r="AC12" s="45" t="str">
        <x:v>Kartenpunkt – Koordinate geprüft</x:v>
      </x:c>
      <x:c r="AD12" s="45" t="str">
        <x:v>regional + projektbezogen überregional</x:v>
      </x:c>
      <x:c r="AE12" s="45" t="str">
        <x:v>https://www.indevagroup.de/indeva-in-deutschland/</x:v>
      </x:c>
      <x:c r="AF12" s="45" t="str">
        <x:v>Mapcarta / Adressabgleich 2026-08-30</x:v>
      </x:c>
      <x:c r="AG12" s="45" t="str">
        <x:v>Standort verifiziert.</x:v>
      </x:c>
      <x:c r="AH12" s="83" t="str">
        <x:v>2026-08-30</x:v>
      </x:c>
      <x:c r="AI12" s="45" t="str">
        <x:f>IF(R12="","",R12&amp;", "&amp;S12&amp;" "&amp;T12&amp;", Deutschland")</x:f>
        <x:v>Esslinger Straße 26, 73249 Wernau (Neckar), Deutschland</x:v>
      </x:c>
    </x:row>
    <x:row r="13">
      <x:c r="A13" s="45" t="str">
        <x:v>T-009</x:v>
      </x:c>
      <x:c r="B13" s="45" t="str">
        <x:v>T-009</x:v>
      </x:c>
      <x:c r="C13" s="45" t="str">
        <x:v>ZASCHE handling GmbH</x:v>
      </x:c>
      <x:c r="D13" s="45" t="str">
        <x:v>Aufnehmen</x:v>
      </x:c>
      <x:c r="E13" s="45" t="str">
        <x:v>A+</x:v>
      </x:c>
      <x:c r="F13" s="45" t="str">
        <x:v>Technischer Umsetzer / Manipulatoren</x:v>
      </x:c>
      <x:c r="G13" s="45" t="str">
        <x:v>Automotive; Metall; Maschinenbau; Holz/Möbel; Montage/Produktion</x:v>
      </x:c>
      <x:c r="H13" s="45" t="str">
        <x:v>Arm/Hand; Schulter; Rücken/Wirbelsäule; reduzierte Kraft</x:v>
      </x:c>
      <x:c r="I13" s="45" t="str">
        <x:v>Heben/Tragen; schwere/sperrige Werkstücke; Be-/Entladen Bearbeitungszentrum; Positionieren</x:v>
      </x:c>
      <x:c r="J13" s="45" t="str">
        <x:v>Manipulator; Seilbalancer; Parallelogrammgerät; E-Balancer; Sondergreifer</x:v>
      </x:c>
      <x:c r="K13" s="45" t="str">
        <x:v>Ja</x:v>
      </x:c>
      <x:c r="L13" s="45" t="str">
        <x:v>Ja</x:v>
      </x:c>
      <x:c r="M13" s="45" t="str">
        <x:v>Ja</x:v>
      </x:c>
      <x:c r="N13" s="45" t="str">
        <x:v>Ja</x:v>
      </x:c>
      <x:c r="O13" s="45" t="str">
        <x:v>teilweise/projektbezogen</x:v>
      </x:c>
      <x:c r="P13" s="45" t="str">
        <x:v>nicht spezifisch belegt</x:v>
      </x:c>
      <x:c r="Q13" s="45" t="str">
        <x:v>Ergonomische Unterstützung für Industrie ausdrücklich ausgewiesen; sehr breites Branchenspektrum.</x:v>
      </x:c>
      <x:c r="R13" s="45" t="str">
        <x:v>Markham Straße 13</x:v>
      </x:c>
      <x:c r="S13" s="45" t="str">
        <x:v>86720</x:v>
      </x:c>
      <x:c r="T13" s="45" t="str">
        <x:v>Nördlingen</x:v>
      </x:c>
      <x:c r="U13" s="45" t="str">
        <x:v>Bayern</x:v>
      </x:c>
      <x:c r="V13" s="45" t="str">
        <x:v>Deutschland</x:v>
      </x:c>
      <x:c r="W13" s="45" t="str">
        <x:v>+49 9081 8017-0</x:v>
      </x:c>
      <x:c r="X13" s="45" t="str">
        <x:v>info@zasche.de</x:v>
      </x:c>
      <x:c r="Y13" s="45" t="str">
        <x:v>https://www.zasche.de/smart-handling</x:v>
      </x:c>
      <x:c r="Z13" s="82"/>
      <x:c r="AA13" s="82"/>
      <x:c r="AB13" s="45" t="str">
        <x:v>Adresse/Kontakt geprüft; numerische Hauskoordinate noch nicht separat verifiziert</x:v>
      </x:c>
      <x:c r="AC13" s="45" t="str">
        <x:v>Kartenpunkt – Adresse geprüft</x:v>
      </x:c>
      <x:c r="AD13" s="45" t="str">
        <x:v>regional + projektbezogen überregional</x:v>
      </x:c>
      <x:c r="AE13" s="45" t="str">
        <x:v>https://www.zasche.de/</x:v>
      </x:c>
      <x:c r="AF13" s="45" t="str"/>
      <x:c r="AG13" s="45" t="str">
        <x:v>Aktuelle Adresse verifiziert; frühere Gewerbestraße nicht verwenden.</x:v>
      </x:c>
      <x:c r="AH13" s="83" t="str">
        <x:v>2026-08-30</x:v>
      </x:c>
      <x:c r="AI13" s="45" t="str">
        <x:f>IF(R13="","",R13&amp;", "&amp;S13&amp;" "&amp;T13&amp;", Deutschland")</x:f>
        <x:v>Markham Straße 13, 86720 Nördlingen, Deutschland</x:v>
      </x:c>
    </x:row>
    <x:row r="14">
      <x:c r="A14" s="45" t="str">
        <x:v>T-010</x:v>
      </x:c>
      <x:c r="B14" s="45" t="str">
        <x:v>T-010</x:v>
      </x:c>
      <x:c r="C14" s="45" t="str">
        <x:v>EXPRESSO Deutschland GmbH &amp; Co. KG</x:v>
      </x:c>
      <x:c r="D14" s="45" t="str">
        <x:v>Aufnehmen</x:v>
      </x:c>
      <x:c r="E14" s="45" t="str">
        <x:v>A+</x:v>
      </x:c>
      <x:c r="F14" s="45" t="str">
        <x:v>Technischer Umsetzer / Balancer &amp; Greifer</x:v>
      </x:c>
      <x:c r="G14" s="45" t="str">
        <x:v>Automotive; Metall; Maschinenbau; Montage/Produktion; Logistik</x:v>
      </x:c>
      <x:c r="H14" s="45" t="str">
        <x:v>Arm/Hand; Schulter; Rücken/Wirbelsäule; reduzierte Kraft; Greifdefizit</x:v>
      </x:c>
      <x:c r="I14" s="45" t="str">
        <x:v>Heben/Tragen; Wenden/Positionieren; schwere Bauteile; Materialhandling</x:v>
      </x:c>
      <x:c r="J14" s="45" t="str">
        <x:v>Balancer; Hebehilfe; mechanischer/vakuum/pneumatischer Greifer; Sonderlösung</x:v>
      </x:c>
      <x:c r="K14" s="45" t="str">
        <x:v>Ja</x:v>
      </x:c>
      <x:c r="L14" s="45" t="str">
        <x:v>Ja</x:v>
      </x:c>
      <x:c r="M14" s="45" t="str">
        <x:v>Ja</x:v>
      </x:c>
      <x:c r="N14" s="45" t="str">
        <x:v>Ja</x:v>
      </x:c>
      <x:c r="O14" s="45" t="str">
        <x:v>teilweise/projektbezogen</x:v>
      </x:c>
      <x:c r="P14" s="45" t="str">
        <x:v>nicht spezifisch belegt</x:v>
      </x:c>
      <x:c r="Q14" s="45" t="str">
        <x:v>Vor-Ort-Hantierungsanalyse und kundenspezifische Greifer/Balancer; überregional relevant.</x:v>
      </x:c>
      <x:c r="R14" s="45" t="str">
        <x:v>Antonius-Raab-Straße 19</x:v>
      </x:c>
      <x:c r="S14" s="45" t="str">
        <x:v>34123</x:v>
      </x:c>
      <x:c r="T14" s="45" t="str">
        <x:v>Kassel</x:v>
      </x:c>
      <x:c r="U14" s="45" t="str">
        <x:v>Hessen</x:v>
      </x:c>
      <x:c r="V14" s="45" t="str">
        <x:v>Deutschland</x:v>
      </x:c>
      <x:c r="W14" s="45" t="str">
        <x:v>+49 561 9591-0</x:v>
      </x:c>
      <x:c r="X14" s="45" t="str">
        <x:v>info@expresso.de</x:v>
      </x:c>
      <x:c r="Y14" s="45" t="str">
        <x:v>https://www.expresso.de/</x:v>
      </x:c>
      <x:c r="Z14" s="82"/>
      <x:c r="AA14" s="82"/>
      <x:c r="AB14" s="45" t="str">
        <x:v>Adresse/Kontakt geprüft; numerische Hauskoordinate noch nicht separat verifiziert</x:v>
      </x:c>
      <x:c r="AC14" s="45" t="str">
        <x:v>Kartenpunkt – Adresse geprüft</x:v>
      </x:c>
      <x:c r="AD14" s="45" t="str">
        <x:v>regional + projektbezogen überregional</x:v>
      </x:c>
      <x:c r="AE14" s="45" t="str">
        <x:v>https://www.expresso.de/</x:v>
      </x:c>
      <x:c r="AF14" s="45" t="str"/>
      <x:c r="AG14" s="45" t="str">
        <x:v>Standort verifiziert.</x:v>
      </x:c>
      <x:c r="AH14" s="83" t="str">
        <x:v>2026-08-30</x:v>
      </x:c>
      <x:c r="AI14" s="45" t="str">
        <x:f>IF(R14="","",R14&amp;", "&amp;S14&amp;" "&amp;T14&amp;", Deutschland")</x:f>
        <x:v>Antonius-Raab-Straße 19, 34123 Kassel, Deutschland</x:v>
      </x:c>
    </x:row>
    <x:row r="15">
      <x:c r="A15" s="45" t="str">
        <x:v>T-011</x:v>
      </x:c>
      <x:c r="B15" s="45" t="str">
        <x:v>T-011</x:v>
      </x:c>
      <x:c r="C15" s="45" t="str">
        <x:v>PRONOMIC GmbH</x:v>
      </x:c>
      <x:c r="D15" s="45" t="str">
        <x:v>Aufnehmen</x:v>
      </x:c>
      <x:c r="E15" s="45" t="str">
        <x:v>A+</x:v>
      </x:c>
      <x:c r="F15" s="45" t="str">
        <x:v>Technischer Umsetzer / Hebe- &amp; Sonderlösungen</x:v>
      </x:c>
      <x:c r="G15" s="45" t="str">
        <x:v>Metall; Automotive; Maschinenbau; Montage/Produktion; Logistik</x:v>
      </x:c>
      <x:c r="H15" s="45" t="str">
        <x:v>Arm/Hand; Schulter; Rücken/Wirbelsäule; reduzierte Kraft; Greifdefizit</x:v>
      </x:c>
      <x:c r="I15" s="45" t="str">
        <x:v>Heben/Tragen; Wenden/Positionieren; Materialhandling; ungünstige Bewegungsabläufe</x:v>
      </x:c>
      <x:c r="J15" s="45" t="str">
        <x:v>Hebelifter; Manipulator/Kran; Sonderaufnahme; Greifer; Positionierhilfe</x:v>
      </x:c>
      <x:c r="K15" s="45" t="str">
        <x:v>Ja</x:v>
      </x:c>
      <x:c r="L15" s="45" t="str">
        <x:v>Ja</x:v>
      </x:c>
      <x:c r="M15" s="45" t="str">
        <x:v>Ja</x:v>
      </x:c>
      <x:c r="N15" s="45" t="str">
        <x:v>Ja</x:v>
      </x:c>
      <x:c r="O15" s="45" t="str">
        <x:v>teilweise/projektbezogen</x:v>
      </x:c>
      <x:c r="P15" s="45" t="str">
        <x:v>nicht spezifisch belegt</x:v>
      </x:c>
      <x:c r="Q15" s="45" t="str">
        <x:v>Bewertet Bedienperson, Bewegungsablauf und Arbeitsplatz; vollständige Kette Beratung bis Test.</x:v>
      </x:c>
      <x:c r="R15" s="45" t="str">
        <x:v>Dennhäuser Straße 62</x:v>
      </x:c>
      <x:c r="S15" s="45" t="str">
        <x:v>34134</x:v>
      </x:c>
      <x:c r="T15" s="45" t="str">
        <x:v>Kassel</x:v>
      </x:c>
      <x:c r="U15" s="45" t="str">
        <x:v>Hessen</x:v>
      </x:c>
      <x:c r="V15" s="45" t="str">
        <x:v>Deutschland</x:v>
      </x:c>
      <x:c r="W15" s="45" t="str">
        <x:v>+49 561 5004000</x:v>
      </x:c>
      <x:c r="X15" s="45" t="str">
        <x:v>deutschland@pronomic.com</x:v>
      </x:c>
      <x:c r="Y15" s="45" t="str">
        <x:v>https://www.pronomic.com/de/</x:v>
      </x:c>
      <x:c r="Z15" s="82"/>
      <x:c r="AA15" s="82"/>
      <x:c r="AB15" s="45" t="str">
        <x:v>Adresse/Kontakt geprüft; numerische Hauskoordinate noch nicht separat verifiziert</x:v>
      </x:c>
      <x:c r="AC15" s="45" t="str">
        <x:v>Kartenpunkt – Adresse geprüft</x:v>
      </x:c>
      <x:c r="AD15" s="45" t="str">
        <x:v>regional + projektbezogen überregional</x:v>
      </x:c>
      <x:c r="AE15" s="45" t="str">
        <x:v>https://www.pronomic.com/de/</x:v>
      </x:c>
      <x:c r="AF15" s="45" t="str"/>
      <x:c r="AG15" s="45" t="str">
        <x:v>Neuer Hauptsitz/aktuelle Adresse verifiziert.</x:v>
      </x:c>
      <x:c r="AH15" s="83" t="str">
        <x:v>2026-08-30</x:v>
      </x:c>
      <x:c r="AI15" s="45" t="str">
        <x:f>IF(R15="","",R15&amp;", "&amp;S15&amp;" "&amp;T15&amp;", Deutschland")</x:f>
        <x:v>Dennhäuser Straße 62, 34134 Kassel, Deutschland</x:v>
      </x:c>
    </x:row>
    <x:row r="16">
      <x:c r="A16" s="45" t="str">
        <x:v>T-012</x:v>
      </x:c>
      <x:c r="B16" s="45" t="str">
        <x:v>T-012</x:v>
      </x:c>
      <x:c r="C16" s="45" t="str">
        <x:v>Reinhold Beck Maschinenbau GmbH</x:v>
      </x:c>
      <x:c r="D16" s="45" t="str">
        <x:v>Aufnehmen</x:v>
      </x:c>
      <x:c r="E16" s="45" t="str">
        <x:v>A+</x:v>
      </x:c>
      <x:c r="F16" s="45" t="str">
        <x:v>Technischer Umsetzer / Holz &amp; Montage</x:v>
      </x:c>
      <x:c r="G16" s="45" t="str">
        <x:v>Holz/Schreinerei; Metall; Maschinenbau; Montage/Produktion; Kfz-Werkstatt</x:v>
      </x:c>
      <x:c r="H16" s="45" t="str">
        <x:v>Schulter; Rücken/Wirbelsäule; Bein/Stehen; reduzierte Kraft; Arm/Hand</x:v>
      </x:c>
      <x:c r="I16" s="45" t="str">
        <x:v>Arbeitshöhe; Heben/Senken; Drehen/Kippen; dauerhaftes Stehen; schwere Werkstücke</x:v>
      </x:c>
      <x:c r="J16" s="45" t="str">
        <x:v>Höhenverstellbarer Arbeits-/Montagetisch; Hubtisch; Dreh-/Kipphilfe; Sonderbau</x:v>
      </x:c>
      <x:c r="K16" s="45" t="str">
        <x:v>Ja</x:v>
      </x:c>
      <x:c r="L16" s="45" t="str">
        <x:v>Ja</x:v>
      </x:c>
      <x:c r="M16" s="45" t="str">
        <x:v>Ja</x:v>
      </x:c>
      <x:c r="N16" s="45" t="str">
        <x:v>Ja</x:v>
      </x:c>
      <x:c r="O16" s="45" t="str">
        <x:v>teilweise/projektbezogen</x:v>
      </x:c>
      <x:c r="P16" s="45" t="str">
        <x:v>nicht spezifisch belegt</x:v>
      </x:c>
      <x:c r="Q16" s="45" t="str">
        <x:v>A+ für Holz/Schreinerei; eigene Konstruktion/Produktion und ergonomische Hub-/Arbeitstische.</x:v>
      </x:c>
      <x:c r="R16" s="45" t="str">
        <x:v>Im Grund 23</x:v>
      </x:c>
      <x:c r="S16" s="45" t="str">
        <x:v>72505</x:v>
      </x:c>
      <x:c r="T16" s="45" t="str">
        <x:v>Krauchenwies-Bittelschieß</x:v>
      </x:c>
      <x:c r="U16" s="45" t="str">
        <x:v>Baden-Württemberg</x:v>
      </x:c>
      <x:c r="V16" s="45" t="str">
        <x:v>Deutschland</x:v>
      </x:c>
      <x:c r="W16" s="45" t="str">
        <x:v>+49 7576 962978-0</x:v>
      </x:c>
      <x:c r="X16" s="45" t="str">
        <x:v>info@beck-maschinenbau.de</x:v>
      </x:c>
      <x:c r="Y16" s="45" t="str">
        <x:v>https://beck-maschinenbau.com/produkte/arbeitstische/</x:v>
      </x:c>
      <x:c r="Z16" s="82"/>
      <x:c r="AA16" s="82"/>
      <x:c r="AB16" s="45" t="str">
        <x:v>Adresse/Kontakt geprüft; numerische Hauskoordinate noch nicht separat verifiziert</x:v>
      </x:c>
      <x:c r="AC16" s="45" t="str">
        <x:v>Kartenpunkt – Adresse geprüft</x:v>
      </x:c>
      <x:c r="AD16" s="45" t="str">
        <x:v>regional + projektbezogen überregional</x:v>
      </x:c>
      <x:c r="AE16" s="45" t="str">
        <x:v>https://beck-maschinenbau.com/</x:v>
      </x:c>
      <x:c r="AF16" s="45" t="str"/>
      <x:c r="AG16" s="45" t="str">
        <x:v>Standort verifiziert.</x:v>
      </x:c>
      <x:c r="AH16" s="83" t="str">
        <x:v>2026-08-30</x:v>
      </x:c>
      <x:c r="AI16" s="45" t="str">
        <x:f>IF(R16="","",R16&amp;", "&amp;S16&amp;" "&amp;T16&amp;", Deutschland")</x:f>
        <x:v>Im Grund 23, 72505 Krauchenwies-Bittelschieß, Deutschland</x:v>
      </x:c>
    </x:row>
    <x:row r="17">
      <x:c r="A17" s="45" t="str">
        <x:v>T-013</x:v>
      </x:c>
      <x:c r="B17" s="45" t="str">
        <x:v>T-013</x:v>
      </x:c>
      <x:c r="C17" s="45" t="str">
        <x:v>BARTH GmbH</x:v>
      </x:c>
      <x:c r="D17" s="45" t="str">
        <x:v>Aufnehmen</x:v>
      </x:c>
      <x:c r="E17" s="45" t="str">
        <x:v>A+</x:v>
      </x:c>
      <x:c r="F17" s="45" t="str">
        <x:v>Technischer Umsetzer / Holz-Handwerk</x:v>
      </x:c>
      <x:c r="G17" s="45" t="str">
        <x:v>Holz/Schreinerei; Fenster-/Türenbau; Möbelbau; Montage</x:v>
      </x:c>
      <x:c r="H17" s="45" t="str">
        <x:v>Schulter; Rücken/Wirbelsäule; Arm/Hand; reduzierte Kraft</x:v>
      </x:c>
      <x:c r="I17" s="45" t="str">
        <x:v>Heben/Tragen; Wenden/Kippen; Korpusmontage; schwere Rahmen/Werkstücke</x:v>
      </x:c>
      <x:c r="J17" s="45" t="str">
        <x:v>Hubtisch; Kipp-/Wendetisch; Montagetisch; Sonderlösung</x:v>
      </x:c>
      <x:c r="K17" s="45" t="str">
        <x:v>Ja</x:v>
      </x:c>
      <x:c r="L17" s="45" t="str">
        <x:v>Ja</x:v>
      </x:c>
      <x:c r="M17" s="45" t="str">
        <x:v>Ja</x:v>
      </x:c>
      <x:c r="N17" s="45" t="str">
        <x:v>Ja</x:v>
      </x:c>
      <x:c r="O17" s="45" t="str">
        <x:v>teilweise/projektbezogen</x:v>
      </x:c>
      <x:c r="P17" s="45" t="str">
        <x:v>nicht spezifisch belegt</x:v>
      </x:c>
      <x:c r="Q17" s="45" t="str">
        <x:v>Sehr konkrete Lösungen für Korpusse, Fenster-/Türrahmen, Schleif- und Montagearbeiten.</x:v>
      </x:c>
      <x:c r="R17" s="45" t="str">
        <x:v>Gerhard-Meister-Straße 5</x:v>
      </x:c>
      <x:c r="S17" s="45" t="str">
        <x:v>83342</x:v>
      </x:c>
      <x:c r="T17" s="45" t="str">
        <x:v>Tacherting</x:v>
      </x:c>
      <x:c r="U17" s="45" t="str">
        <x:v>Bayern</x:v>
      </x:c>
      <x:c r="V17" s="45" t="str">
        <x:v>Deutschland</x:v>
      </x:c>
      <x:c r="W17" s="45" t="str">
        <x:v>+49 8621 5050-600</x:v>
      </x:c>
      <x:c r="X17" s="45" t="str">
        <x:v>info@barth-maschinenbau.de</x:v>
      </x:c>
      <x:c r="Y17" s="45" t="str">
        <x:v>https://www.barth-maschinenbau.de/</x:v>
      </x:c>
      <x:c r="Z17" s="82"/>
      <x:c r="AA17" s="82"/>
      <x:c r="AB17" s="45" t="str">
        <x:v>Adresse/Kontakt geprüft; numerische Hauskoordinate noch nicht separat verifiziert</x:v>
      </x:c>
      <x:c r="AC17" s="45" t="str">
        <x:v>Kartenpunkt – Adresse geprüft</x:v>
      </x:c>
      <x:c r="AD17" s="45" t="str">
        <x:v>regional + projektbezogen überregional</x:v>
      </x:c>
      <x:c r="AE17" s="45" t="str">
        <x:v>https://www.barth-maschinenbau.de/</x:v>
      </x:c>
      <x:c r="AF17" s="45" t="str"/>
      <x:c r="AG17" s="45" t="str">
        <x:v>Standort verifiziert.</x:v>
      </x:c>
      <x:c r="AH17" s="83" t="str">
        <x:v>2026-08-30</x:v>
      </x:c>
      <x:c r="AI17" s="45" t="str">
        <x:f>IF(R17="","",R17&amp;", "&amp;S17&amp;" "&amp;T17&amp;", Deutschland")</x:f>
        <x:v>Gerhard-Meister-Straße 5, 83342 Tacherting, Deutschland</x:v>
      </x:c>
    </x:row>
    <x:row r="18">
      <x:c r="A18" s="45" t="str">
        <x:v>T-014</x:v>
      </x:c>
      <x:c r="B18" s="45" t="str">
        <x:v>T-014</x:v>
      </x:c>
      <x:c r="C18" s="45" t="str">
        <x:v>BeeWaTec AG</x:v>
      </x:c>
      <x:c r="D18" s="45" t="str">
        <x:v>Aufnehmen</x:v>
      </x:c>
      <x:c r="E18" s="45" t="str">
        <x:v>A</x:v>
      </x:c>
      <x:c r="F18" s="45" t="str">
        <x:v>Technischer Umsetzer / Arbeitsplatzsysteme</x:v>
      </x:c>
      <x:c r="G18" s="45" t="str">
        <x:v>Automotive; Metall; Maschinenbau; Montage/Produktion; Logistik</x:v>
      </x:c>
      <x:c r="H18" s="45" t="str">
        <x:v>Arm/Hand; Schulter; Rücken/Wirbelsäule; Bein/Stehen; reduzierte Kraft</x:v>
      </x:c>
      <x:c r="I18" s="45" t="str">
        <x:v>Montagehöhe; Greifwege; Materialbereitstellung; Verpackung/Prüfung</x:v>
      </x:c>
      <x:c r="J18" s="45" t="str">
        <x:v>Montagearbeitsplatz; Hubsystem; Materialbereitstellung; Durchlaufregal; ESD; Schwenkarm</x:v>
      </x:c>
      <x:c r="K18" s="45" t="str">
        <x:v>Ja</x:v>
      </x:c>
      <x:c r="L18" s="45" t="str">
        <x:v>Ja</x:v>
      </x:c>
      <x:c r="M18" s="45" t="str">
        <x:v>Ja</x:v>
      </x:c>
      <x:c r="N18" s="45" t="str">
        <x:v>Ja</x:v>
      </x:c>
      <x:c r="O18" s="45" t="str">
        <x:v>nein/unklar</x:v>
      </x:c>
      <x:c r="P18" s="45" t="str">
        <x:v>nicht spezifisch belegt</x:v>
      </x:c>
      <x:c r="Q18" s="45" t="str">
        <x:v>Individuelle ergonomische Montage-, Pack- und Kontrollarbeitsplätze mit modularer Materialbereitstellung.</x:v>
      </x:c>
      <x:c r="R18" s="45" t="str">
        <x:v>Kunstmühlestraße 16</x:v>
      </x:c>
      <x:c r="S18" s="45" t="str">
        <x:v>72793</x:v>
      </x:c>
      <x:c r="T18" s="45" t="str">
        <x:v>Pfullingen</x:v>
      </x:c>
      <x:c r="U18" s="45" t="str">
        <x:v>Baden-Württemberg</x:v>
      </x:c>
      <x:c r="V18" s="45" t="str">
        <x:v>Deutschland</x:v>
      </x:c>
      <x:c r="W18" s="45" t="str">
        <x:v>+49 7121 628716-0</x:v>
      </x:c>
      <x:c r="X18" s="45" t="str">
        <x:v>info@beewatec.de</x:v>
      </x:c>
      <x:c r="Y18" s="45" t="str">
        <x:v>https://www.beewatec.com/de/lean-loesungen/arbeitsplatzsysteme/</x:v>
      </x:c>
      <x:c r="Z18" s="82"/>
      <x:c r="AA18" s="82"/>
      <x:c r="AB18" s="45" t="str">
        <x:v>Adresse/Kontakt geprüft; numerische Hauskoordinate noch nicht separat verifiziert</x:v>
      </x:c>
      <x:c r="AC18" s="45" t="str">
        <x:v>Kartenpunkt – Adresse geprüft</x:v>
      </x:c>
      <x:c r="AD18" s="45" t="str">
        <x:v>regional + projektbezogen überregional</x:v>
      </x:c>
      <x:c r="AE18" s="45" t="str">
        <x:v>https://www.beewatec.com/de/</x:v>
      </x:c>
      <x:c r="AF18" s="45" t="str"/>
      <x:c r="AG18" s="45" t="str">
        <x:v>Standort verifiziert.</x:v>
      </x:c>
      <x:c r="AH18" s="83" t="str">
        <x:v>2026-08-30</x:v>
      </x:c>
      <x:c r="AI18" s="45" t="str">
        <x:f>IF(R18="","",R18&amp;", "&amp;S18&amp;" "&amp;T18&amp;", Deutschland")</x:f>
        <x:v>Kunstmühlestraße 16, 72793 Pfullingen, Deutschland</x:v>
      </x:c>
    </x:row>
    <x:row r="19">
      <x:c r="A19" s="45" t="str">
        <x:v>T-015</x:v>
      </x:c>
      <x:c r="B19" s="45" t="str">
        <x:v>T-015</x:v>
      </x:c>
      <x:c r="C19" s="45" t="str">
        <x:v>bott GmbH &amp; Co. KG</x:v>
      </x:c>
      <x:c r="D19" s="45" t="str">
        <x:v>Aufnehmen</x:v>
      </x:c>
      <x:c r="E19" s="45" t="str">
        <x:v>A</x:v>
      </x:c>
      <x:c r="F19" s="45" t="str">
        <x:v>Technischer Umsetzer / Arbeitsplatzsysteme</x:v>
      </x:c>
      <x:c r="G19" s="45" t="str">
        <x:v>Metall; Automotive; Maschinenbau; Werkstatt; Montage/Produktion</x:v>
      </x:c>
      <x:c r="H19" s="45" t="str">
        <x:v>Arm/Hand; Schulter; Rücken/Wirbelsäule; Bein/Stehen; reduzierte Kraft</x:v>
      </x:c>
      <x:c r="I19" s="45" t="str">
        <x:v>Montagehöhe; Werkzeugbereitstellung; Greifwege; Werkstattorganisation</x:v>
      </x:c>
      <x:c r="J19" s="45" t="str">
        <x:v>Montage-/Prüfarbeitsplatz; Werkstatteinrichtung; Material-/Werkzeugbereitstellung</x:v>
      </x:c>
      <x:c r="K19" s="45" t="str">
        <x:v>Ja</x:v>
      </x:c>
      <x:c r="L19" s="45" t="str">
        <x:v>Ja</x:v>
      </x:c>
      <x:c r="M19" s="45" t="str">
        <x:v>teilweise</x:v>
      </x:c>
      <x:c r="N19" s="45" t="str">
        <x:v>Ja</x:v>
      </x:c>
      <x:c r="O19" s="45" t="str">
        <x:v>nein/unklar</x:v>
      </x:c>
      <x:c r="P19" s="45" t="str">
        <x:v>nicht spezifisch belegt</x:v>
      </x:c>
      <x:c r="Q19" s="45" t="str">
        <x:v>Als industrieller Umsetzer führen, nicht als unabhängigen Reha-Gutachter.</x:v>
      </x:c>
      <x:c r="R19" s="45" t="str">
        <x:v>Bahnstraße 17</x:v>
      </x:c>
      <x:c r="S19" s="45" t="str">
        <x:v>74405</x:v>
      </x:c>
      <x:c r="T19" s="45" t="str">
        <x:v>Gaildorf</x:v>
      </x:c>
      <x:c r="U19" s="45" t="str">
        <x:v>Baden-Württemberg</x:v>
      </x:c>
      <x:c r="V19" s="45" t="str">
        <x:v>Deutschland</x:v>
      </x:c>
      <x:c r="W19" s="45" t="str">
        <x:v>+49 7971 251-0</x:v>
      </x:c>
      <x:c r="X19" s="45" t="str">
        <x:v>info@bott.de</x:v>
      </x:c>
      <x:c r="Y19" s="45" t="str">
        <x:v>https://www.bott.de/</x:v>
      </x:c>
      <x:c r="Z19" s="82"/>
      <x:c r="AA19" s="82"/>
      <x:c r="AB19" s="45" t="str">
        <x:v>Adresse/Kontakt geprüft; numerische Hauskoordinate noch nicht separat verifiziert</x:v>
      </x:c>
      <x:c r="AC19" s="45" t="str">
        <x:v>Kartenpunkt – Adresse geprüft</x:v>
      </x:c>
      <x:c r="AD19" s="45" t="str">
        <x:v>regional + projektbezogen überregional</x:v>
      </x:c>
      <x:c r="AE19" s="45" t="str">
        <x:v>https://www.bott.de/</x:v>
      </x:c>
      <x:c r="AF19" s="45" t="str"/>
      <x:c r="AG19" s="45" t="str">
        <x:v>Standort verifiziert.</x:v>
      </x:c>
      <x:c r="AH19" s="83" t="str">
        <x:v>2026-08-30</x:v>
      </x:c>
      <x:c r="AI19" s="45" t="str">
        <x:f>IF(R19="","",R19&amp;", "&amp;S19&amp;" "&amp;T19&amp;", Deutschland")</x:f>
        <x:v>Bahnstraße 17, 74405 Gaildorf, Deutschland</x:v>
      </x:c>
    </x:row>
    <x:row r="20">
      <x:c r="A20" s="45" t="str">
        <x:v>T-016</x:v>
      </x:c>
      <x:c r="B20" s="45" t="str">
        <x:v>T-016</x:v>
      </x:c>
      <x:c r="C20" s="45" t="str">
        <x:v>Blickle Räder+Rollen GmbH u. Co. KG / ErgoMove</x:v>
      </x:c>
      <x:c r="D20" s="45" t="str">
        <x:v>Aufnehmen</x:v>
      </x:c>
      <x:c r="E20" s="45" t="str">
        <x:v>A</x:v>
      </x:c>
      <x:c r="F20" s="45" t="str">
        <x:v>Technischer Umsetzer / Materialtransport</x:v>
      </x:c>
      <x:c r="G20" s="45" t="str">
        <x:v>Automotive; Metall; Maschinenbau; Holz; Logistik; Montage/Produktion</x:v>
      </x:c>
      <x:c r="H20" s="45" t="str">
        <x:v>Arm/Hand; Schulter; Rücken/Wirbelsäule; reduzierte Kraft</x:v>
      </x:c>
      <x:c r="I20" s="45" t="str">
        <x:v>Schieben/Ziehen; innerbetrieblicher Transport; schwere Wagen/Lasten</x:v>
      </x:c>
      <x:c r="J20" s="45" t="str">
        <x:v>Elektrische Transporthilfe; Nachrüstung Transportwagen; Fahr-/Lenkhilfe</x:v>
      </x:c>
      <x:c r="K20" s="45" t="str">
        <x:v>Ja</x:v>
      </x:c>
      <x:c r="L20" s="45" t="str">
        <x:v>Ja</x:v>
      </x:c>
      <x:c r="M20" s="45" t="str">
        <x:v>Ja</x:v>
      </x:c>
      <x:c r="N20" s="45" t="str">
        <x:v>Ja</x:v>
      </x:c>
      <x:c r="O20" s="45" t="str">
        <x:v>nein/unklar</x:v>
      </x:c>
      <x:c r="P20" s="45" t="str">
        <x:v>nicht spezifisch belegt</x:v>
      </x:c>
      <x:c r="Q20" s="45" t="str">
        <x:v>Sehr interessant bei reduzierter Schiebe-/Zugkraft; vorhandene Wagen können elektrisch unterstützt werden.</x:v>
      </x:c>
      <x:c r="R20" s="45" t="str">
        <x:v>Heinrich-Blickle-Straße 1</x:v>
      </x:c>
      <x:c r="S20" s="45" t="str">
        <x:v>72348</x:v>
      </x:c>
      <x:c r="T20" s="45" t="str">
        <x:v>Rosenfeld</x:v>
      </x:c>
      <x:c r="U20" s="45" t="str">
        <x:v>Baden-Württemberg</x:v>
      </x:c>
      <x:c r="V20" s="45" t="str">
        <x:v>Deutschland</x:v>
      </x:c>
      <x:c r="W20" s="45" t="str">
        <x:v>+49 7428 932-8000</x:v>
      </x:c>
      <x:c r="X20" s="45" t="str">
        <x:v>ergomove@blickle.com</x:v>
      </x:c>
      <x:c r="Y20" s="45" t="str">
        <x:v>https://www.blickle.com/ergomove</x:v>
      </x:c>
      <x:c r="Z20" s="82"/>
      <x:c r="AA20" s="82"/>
      <x:c r="AB20" s="45" t="str">
        <x:v>Adresse/Kontakt geprüft; numerische Hauskoordinate noch nicht separat verifiziert</x:v>
      </x:c>
      <x:c r="AC20" s="45" t="str">
        <x:v>Kartenpunkt – Adresse geprüft</x:v>
      </x:c>
      <x:c r="AD20" s="45" t="str">
        <x:v>regional + projektbezogen überregional</x:v>
      </x:c>
      <x:c r="AE20" s="45" t="str">
        <x:v>https://www.blickle.com/ergomove</x:v>
      </x:c>
      <x:c r="AF20" s="45" t="str"/>
      <x:c r="AG20" s="45" t="str">
        <x:v>ErgoMove-Fachkontakt verifiziert.</x:v>
      </x:c>
      <x:c r="AH20" s="83" t="str">
        <x:v>2026-08-30</x:v>
      </x:c>
      <x:c r="AI20" s="45" t="str">
        <x:f>IF(R20="","",R20&amp;", "&amp;S20&amp;" "&amp;T20&amp;", Deutschland")</x:f>
        <x:v>Heinrich-Blickle-Straße 1, 72348 Rosenfeld, Deutschland</x:v>
      </x:c>
    </x:row>
    <x:row r="21">
      <x:c r="A21" s="45" t="str">
        <x:v>T-017</x:v>
      </x:c>
      <x:c r="B21" s="45" t="str">
        <x:v>T-017</x:v>
      </x:c>
      <x:c r="C21" s="45" t="str">
        <x:v>Carl Stahl / Kromer</x:v>
      </x:c>
      <x:c r="D21" s="45" t="str">
        <x:v>Aufnehmen</x:v>
      </x:c>
      <x:c r="E21" s="45" t="str">
        <x:v>A</x:v>
      </x:c>
      <x:c r="F21" s="45" t="str">
        <x:v>Technischer Umsetzer / Werkzeugentlastung</x:v>
      </x:c>
      <x:c r="G21" s="45" t="str">
        <x:v>Automotive; Metall; Maschinenbau; Montage/Produktion; Werkstatt</x:v>
      </x:c>
      <x:c r="H21" s="45" t="str">
        <x:v>Arm/Hand; Schulter; Rücken/Wirbelsäule; reduzierte Kraft</x:v>
      </x:c>
      <x:c r="I21" s="45" t="str">
        <x:v>Schweres Werkzeug; wiederholtes Heben; Werkzeugführung</x:v>
      </x:c>
      <x:c r="J21" s="45" t="str">
        <x:v>Werkzeugbalancer; Federzug; Gewichtsausgleicher; Arbeitsplatzanalyse</x:v>
      </x:c>
      <x:c r="K21" s="45" t="str">
        <x:v>Ja</x:v>
      </x:c>
      <x:c r="L21" s="45" t="str">
        <x:v>teilweise</x:v>
      </x:c>
      <x:c r="M21" s="45" t="str">
        <x:v>teilweise</x:v>
      </x:c>
      <x:c r="N21" s="45" t="str">
        <x:v>Ja</x:v>
      </x:c>
      <x:c r="O21" s="45" t="str">
        <x:v>nein/unklar</x:v>
      </x:c>
      <x:c r="P21" s="45" t="str">
        <x:v>nicht spezifisch belegt</x:v>
      </x:c>
      <x:c r="Q21" s="45" t="str">
        <x:v>Besonders relevant für Winkelschleifer, Schrauber und andere schwere Handwerkzeuge.</x:v>
      </x:c>
      <x:c r="R21" s="45" t="str">
        <x:v>Tobelstraße 2</x:v>
      </x:c>
      <x:c r="S21" s="45" t="str">
        <x:v>73079</x:v>
      </x:c>
      <x:c r="T21" s="45" t="str">
        <x:v>Süßen</x:v>
      </x:c>
      <x:c r="U21" s="45" t="str">
        <x:v>Baden-Württemberg</x:v>
      </x:c>
      <x:c r="V21" s="45" t="str">
        <x:v>Deutschland</x:v>
      </x:c>
      <x:c r="W21" s="45" t="str">
        <x:v>+49 7162 4007-1000</x:v>
      </x:c>
      <x:c r="X21" s="45" t="str">
        <x:v>carlstahl@carlstahl.com</x:v>
      </x:c>
      <x:c r="Y21" s="45" t="str">
        <x:v>https://www.carlstahl.com/de/de/loesungen/federzuege-und-balancer-fuer-ergonomische-werkzeugfuehrung</x:v>
      </x:c>
      <x:c r="Z21" s="82"/>
      <x:c r="AA21" s="82"/>
      <x:c r="AB21" s="45" t="str">
        <x:v>Adresse/Kontakt geprüft; numerische Hauskoordinate noch nicht separat verifiziert</x:v>
      </x:c>
      <x:c r="AC21" s="45" t="str">
        <x:v>Kartenpunkt – Adresse geprüft</x:v>
      </x:c>
      <x:c r="AD21" s="45" t="str">
        <x:v>überregional / bundesweit projektbezogen</x:v>
      </x:c>
      <x:c r="AE21" s="45" t="str">
        <x:v>https://www.carlstahl.com/</x:v>
      </x:c>
      <x:c r="AF21" s="45" t="str"/>
      <x:c r="AG21" s="45" t="str">
        <x:v>Standort verifiziert; überregional einsetzbar.</x:v>
      </x:c>
      <x:c r="AH21" s="83" t="str">
        <x:v>2026-08-30</x:v>
      </x:c>
      <x:c r="AI21" s="45" t="str">
        <x:f>IF(R21="","",R21&amp;", "&amp;S21&amp;" "&amp;T21&amp;", Deutschland")</x:f>
        <x:v>Tobelstraße 2, 73079 Süßen, Deutschland</x:v>
      </x:c>
    </x:row>
    <x:row r="22">
      <x:c r="A22" s="45" t="str">
        <x:v>T-018</x:v>
      </x:c>
      <x:c r="B22" s="45" t="str">
        <x:v>T-018</x:v>
      </x:c>
      <x:c r="C22" s="45" t="str">
        <x:v>German Tools GmbH</x:v>
      </x:c>
      <x:c r="D22" s="45" t="str">
        <x:v>Aufnehmen</x:v>
      </x:c>
      <x:c r="E22" s="45" t="str">
        <x:v>A</x:v>
      </x:c>
      <x:c r="F22" s="45" t="str">
        <x:v>Technischer Umsetzer / Schraubarbeitsplätze</x:v>
      </x:c>
      <x:c r="G22" s="45" t="str">
        <x:v>Automotive; Metall; Maschinenbau; Montage/Produktion</x:v>
      </x:c>
      <x:c r="H22" s="45" t="str">
        <x:v>Arm/Hand; Schulter; reduzierte Kraft</x:v>
      </x:c>
      <x:c r="I22" s="45" t="str">
        <x:v>Hohes Drehmoment/Reaktionskraft; schweres Werkzeug; repetitive Schraubarbeit</x:v>
      </x:c>
      <x:c r="J22" s="45" t="str">
        <x:v>Drehmomentarm; Balancer; Positionsüberwachung; ergonomischer Schraubplatz</x:v>
      </x:c>
      <x:c r="K22" s="45" t="str">
        <x:v>Ja</x:v>
      </x:c>
      <x:c r="L22" s="45" t="str">
        <x:v>Ja</x:v>
      </x:c>
      <x:c r="M22" s="45" t="str">
        <x:v>teilweise</x:v>
      </x:c>
      <x:c r="N22" s="45" t="str">
        <x:v>Ja</x:v>
      </x:c>
      <x:c r="O22" s="45" t="str">
        <x:v>nein/unklar</x:v>
      </x:c>
      <x:c r="P22" s="45" t="str">
        <x:v>nicht spezifisch belegt</x:v>
      </x:c>
      <x:c r="Q22" s="45" t="str">
        <x:v>Spezialist für ergonomische Schraub- und Montageplätze; bundesweit einsetzbar.</x:v>
      </x:c>
      <x:c r="R22" s="45" t="str">
        <x:v>Boschstraße 3</x:v>
      </x:c>
      <x:c r="S22" s="45" t="str">
        <x:v>59609</x:v>
      </x:c>
      <x:c r="T22" s="45" t="str">
        <x:v>Anröchte</x:v>
      </x:c>
      <x:c r="U22" s="45" t="str">
        <x:v>Nordrhein-Westfalen</x:v>
      </x:c>
      <x:c r="V22" s="45" t="str">
        <x:v>Deutschland</x:v>
      </x:c>
      <x:c r="W22" s="45" t="str">
        <x:v>+49 2947 6569960</x:v>
      </x:c>
      <x:c r="X22" s="45" t="str">
        <x:v>info@germantools-gmbh.de</x:v>
      </x:c>
      <x:c r="Y22" s="45" t="str">
        <x:v>https://www.germantools-gmbh.de/</x:v>
      </x:c>
      <x:c r="Z22" s="82"/>
      <x:c r="AA22" s="82"/>
      <x:c r="AB22" s="45" t="str">
        <x:v>Adresse/Kontakt geprüft; numerische Hauskoordinate noch nicht separat verifiziert</x:v>
      </x:c>
      <x:c r="AC22" s="45" t="str">
        <x:v>Kartenpunkt – Adresse geprüft</x:v>
      </x:c>
      <x:c r="AD22" s="45" t="str">
        <x:v>überregional / bundesweit projektbezogen</x:v>
      </x:c>
      <x:c r="AE22" s="45" t="str">
        <x:v>https://www.germantools-gmbh.de/</x:v>
      </x:c>
      <x:c r="AF22" s="45" t="str"/>
      <x:c r="AG22" s="45" t="str">
        <x:v>Aktuelle Adresse; Umzug seit 2025 berücksichtigt.</x:v>
      </x:c>
      <x:c r="AH22" s="83" t="str">
        <x:v>2026-08-30</x:v>
      </x:c>
      <x:c r="AI22" s="45" t="str">
        <x:f>IF(R22="","",R22&amp;", "&amp;S22&amp;" "&amp;T22&amp;", Deutschland")</x:f>
        <x:v>Boschstraße 3, 59609 Anröchte, Deutschland</x:v>
      </x:c>
    </x:row>
    <x:row r="23">
      <x:c r="A23" s="45" t="str">
        <x:v>T-019</x:v>
      </x:c>
      <x:c r="B23" s="45" t="str">
        <x:v>T-019</x:v>
      </x:c>
      <x:c r="C23" s="45" t="str">
        <x:v>Atlas Copco Industrial Technique</x:v>
      </x:c>
      <x:c r="D23" s="45" t="str">
        <x:v>Aufnehmen</x:v>
      </x:c>
      <x:c r="E23" s="45" t="str">
        <x:v>A</x:v>
      </x:c>
      <x:c r="F23" s="45" t="str">
        <x:v>Technischer Umsetzer / Montagewerkzeuge</x:v>
      </x:c>
      <x:c r="G23" s="45" t="str">
        <x:v>Automotive; Metall; Maschinenbau; Montage/Produktion</x:v>
      </x:c>
      <x:c r="H23" s="45" t="str">
        <x:v>Arm/Hand; Schulter; reduzierte Kraft</x:v>
      </x:c>
      <x:c r="I23" s="45" t="str">
        <x:v>Hohes Drehmoment/Reaktionskraft; repetitive Schraubarbeit</x:v>
      </x:c>
      <x:c r="J23" s="45" t="str">
        <x:v>Drehmomentarm; Werkzeugführung; Schraubtechnik; Montageassistenz</x:v>
      </x:c>
      <x:c r="K23" s="45" t="str">
        <x:v>Ja</x:v>
      </x:c>
      <x:c r="L23" s="45" t="str">
        <x:v>Ja</x:v>
      </x:c>
      <x:c r="M23" s="45" t="str">
        <x:v>teilweise</x:v>
      </x:c>
      <x:c r="N23" s="45" t="str">
        <x:v>Ja</x:v>
      </x:c>
      <x:c r="O23" s="45" t="str">
        <x:v>nein/unklar</x:v>
      </x:c>
      <x:c r="P23" s="45" t="str">
        <x:v>nicht spezifisch belegt</x:v>
      </x:c>
      <x:c r="Q23" s="45" t="str">
        <x:v>Ergonomische Lösung für Reaktionskräfte von Schraubern; Standortbezogene Beratung bei Bedarf ergänzen.</x:v>
      </x:c>
      <x:c r="R23" s="45" t="str">
        <x:v>Wetterschacht 9</x:v>
      </x:c>
      <x:c r="S23" s="45" t="str">
        <x:v>45139</x:v>
      </x:c>
      <x:c r="T23" s="45" t="str">
        <x:v>Essen</x:v>
      </x:c>
      <x:c r="U23" s="45" t="str">
        <x:v>Nordrhein-Westfalen</x:v>
      </x:c>
      <x:c r="V23" s="45" t="str">
        <x:v>Deutschland</x:v>
      </x:c>
      <x:c r="W23" s="45" t="str">
        <x:v>+49 201 2177-0</x:v>
      </x:c>
      <x:c r="X23" s="45" t="str">
        <x:v>tools.de@atlascopco.com</x:v>
      </x:c>
      <x:c r="Y23" s="45" t="str">
        <x:v>https://www.atlascopco.com/de-de/itba</x:v>
      </x:c>
      <x:c r="Z23" s="82"/>
      <x:c r="AA23" s="82"/>
      <x:c r="AB23" s="45" t="str">
        <x:v>Adresse/Kontakt geprüft; numerische Hauskoordinate noch nicht separat verifiziert</x:v>
      </x:c>
      <x:c r="AC23" s="45" t="str">
        <x:v>Kartenpunkt – Adresse geprüft</x:v>
      </x:c>
      <x:c r="AD23" s="45" t="str">
        <x:v>überregional / bundesweit projektbezogen</x:v>
      </x:c>
      <x:c r="AE23" s="45" t="str">
        <x:v>https://www.atlascopco.com/de-de/itba</x:v>
      </x:c>
      <x:c r="AF23" s="45" t="str"/>
      <x:c r="AG23" s="45" t="str">
        <x:v>Deutscher Industrial-Technique-Standort; Leistungsgebiet überregional.</x:v>
      </x:c>
      <x:c r="AH23" s="83" t="str">
        <x:v>2026-08-30</x:v>
      </x:c>
      <x:c r="AI23" s="45" t="str">
        <x:f>IF(R23="","",R23&amp;", "&amp;S23&amp;" "&amp;T23&amp;", Deutschland")</x:f>
        <x:v>Wetterschacht 9, 45139 Essen, Deutschland</x:v>
      </x:c>
    </x:row>
    <x:row r="24">
      <x:c r="A24" s="45" t="str">
        <x:v>T-020</x:v>
      </x:c>
      <x:c r="B24" s="45" t="str">
        <x:v>T-020</x:v>
      </x:c>
      <x:c r="C24" s="45" t="str">
        <x:v>Bimos / Interstuhl Group</x:v>
      </x:c>
      <x:c r="D24" s="45" t="str">
        <x:v>Aufnehmen</x:v>
      </x:c>
      <x:c r="E24" s="45" t="str">
        <x:v>A</x:v>
      </x:c>
      <x:c r="F24" s="45" t="str">
        <x:v>Technischer Umsetzer / Industrie-Sitzlösungen</x:v>
      </x:c>
      <x:c r="G24" s="45" t="str">
        <x:v>Metall; Automotive; Maschinenbau; Montage/Produktion; Werkstatt; Labor</x:v>
      </x:c>
      <x:c r="H24" s="45" t="str">
        <x:v>Rücken/Wirbelsäule; Bein/Knie/Stehen; reduzierte Belastbarkeit</x:v>
      </x:c>
      <x:c r="I24" s="45" t="str">
        <x:v>Dauerhaftes Stehen; ungünstiges Sitzen; wechselnde Arbeitshöhen</x:v>
      </x:c>
      <x:c r="J24" s="45" t="str">
        <x:v>Industriesitz; Stehhilfe; Sitz-Steh-Lösung; ESD-Sitzlösung</x:v>
      </x:c>
      <x:c r="K24" s="45" t="str">
        <x:v>Ja</x:v>
      </x:c>
      <x:c r="L24" s="45" t="str">
        <x:v>nein</x:v>
      </x:c>
      <x:c r="M24" s="45" t="str">
        <x:v>nein</x:v>
      </x:c>
      <x:c r="N24" s="45" t="str">
        <x:v>teilweise</x:v>
      </x:c>
      <x:c r="O24" s="45" t="str">
        <x:v>nein</x:v>
      </x:c>
      <x:c r="P24" s="45" t="str">
        <x:v>nicht spezifisch belegt</x:v>
      </x:c>
      <x:c r="Q24" s="45" t="str">
        <x:v>Spezialisiert auf Produktion, Werkstatt und Montage; sinnvoll bei Rücken-/Bein-/Stehproblemen.</x:v>
      </x:c>
      <x:c r="R24" s="45" t="str">
        <x:v>Brühlstraße 21</x:v>
      </x:c>
      <x:c r="S24" s="45" t="str">
        <x:v>72469</x:v>
      </x:c>
      <x:c r="T24" s="45" t="str">
        <x:v>Meßstetten-Tieringen</x:v>
      </x:c>
      <x:c r="U24" s="45" t="str">
        <x:v>Baden-Württemberg</x:v>
      </x:c>
      <x:c r="V24" s="45" t="str">
        <x:v>Deutschland</x:v>
      </x:c>
      <x:c r="W24" s="45" t="str">
        <x:v>+49 7436 871-0</x:v>
      </x:c>
      <x:c r="X24" s="45" t="str">
        <x:v>info@bimos.de</x:v>
      </x:c>
      <x:c r="Y24" s="45" t="str">
        <x:v>https://www.bimos.com/de-de/produkte/industriestuehle</x:v>
      </x:c>
      <x:c r="Z24" s="82"/>
      <x:c r="AA24" s="82"/>
      <x:c r="AB24" s="45" t="str">
        <x:v>Adresse/Kontakt geprüft; numerische Hauskoordinate noch nicht separat verifiziert</x:v>
      </x:c>
      <x:c r="AC24" s="45" t="str">
        <x:v>Kartenpunkt – Adresse geprüft</x:v>
      </x:c>
      <x:c r="AD24" s="45" t="str">
        <x:v>überregional / bundesweit projektbezogen</x:v>
      </x:c>
      <x:c r="AE24" s="45" t="str">
        <x:v>https://www.bimos.com/de-de/</x:v>
      </x:c>
      <x:c r="AF24" s="45" t="str"/>
      <x:c r="AG24" s="45" t="str">
        <x:v>Bimos/Interstuhl-Standort verifiziert.</x:v>
      </x:c>
      <x:c r="AH24" s="83" t="str">
        <x:v>2026-08-30</x:v>
      </x:c>
      <x:c r="AI24" s="45" t="str">
        <x:f>IF(R24="","",R24&amp;", "&amp;S24&amp;" "&amp;T24&amp;", Deutschland")</x:f>
        <x:v>Brühlstraße 21, 72469 Meßstetten-Tieringen, Deutschland</x:v>
      </x:c>
    </x:row>
    <x:row r="25">
      <x:c r="A25" s="45" t="str">
        <x:v>T-021</x:v>
      </x:c>
      <x:c r="B25" s="45" t="str">
        <x:v>T-021</x:v>
      </x:c>
      <x:c r="C25" s="45" t="str">
        <x:v>HUNIC GmbH</x:v>
      </x:c>
      <x:c r="D25" s="45" t="str">
        <x:v>Aufnehmen</x:v>
      </x:c>
      <x:c r="E25" s="45" t="str">
        <x:v>A</x:v>
      </x:c>
      <x:c r="F25" s="45" t="str">
        <x:v>Technischer Umsetzer / Exoskelett</x:v>
      </x:c>
      <x:c r="G25" s="45" t="str">
        <x:v>Automotive; Metall; Maschinenbau; Logistik; Montage/Produktion</x:v>
      </x:c>
      <x:c r="H25" s="45" t="str">
        <x:v>Schulter; Rücken/Wirbelsäule; reduzierte Kraft/Belastbarkeit</x:v>
      </x:c>
      <x:c r="I25" s="45" t="str">
        <x:v>Überkopfarbeit; Heben/Tragen; Vorbeugehaltung; repetitive Belastung</x:v>
      </x:c>
      <x:c r="J25" s="45" t="str">
        <x:v>Exoskelett; körpergetragene Assistenz; Vor-Ort-Demo</x:v>
      </x:c>
      <x:c r="K25" s="45" t="str">
        <x:v>Ja</x:v>
      </x:c>
      <x:c r="L25" s="45" t="str">
        <x:v>nein</x:v>
      </x:c>
      <x:c r="M25" s="45" t="str">
        <x:v>nein</x:v>
      </x:c>
      <x:c r="N25" s="45" t="str">
        <x:v>teilweise</x:v>
      </x:c>
      <x:c r="O25" s="45" t="str">
        <x:v>nein</x:v>
      </x:c>
      <x:c r="P25" s="45" t="str">
        <x:v>nicht spezifisch belegt</x:v>
      </x:c>
      <x:c r="Q25" s="45" t="str">
        <x:v>Nur als individuell zu prüfende Sonderlösung führen; nicht pauschal als Reha-Hilfsmittel empfehlen.</x:v>
      </x:c>
      <x:c r="R25" s="45" t="str">
        <x:v>Bergerweg 51</x:v>
      </x:c>
      <x:c r="S25" s="45" t="str">
        <x:v>72270</x:v>
      </x:c>
      <x:c r="T25" s="45" t="str">
        <x:v>Baiersbronn</x:v>
      </x:c>
      <x:c r="U25" s="45" t="str">
        <x:v>Baden-Württemberg</x:v>
      </x:c>
      <x:c r="V25" s="45" t="str">
        <x:v>Deutschland</x:v>
      </x:c>
      <x:c r="W25" s="45" t="str">
        <x:v>+49 7442 608231</x:v>
      </x:c>
      <x:c r="X25" s="45" t="str">
        <x:v>info@hunic.de</x:v>
      </x:c>
      <x:c r="Y25" s="45" t="str">
        <x:v>https://www.hunic.com/</x:v>
      </x:c>
      <x:c r="Z25" s="82"/>
      <x:c r="AA25" s="82"/>
      <x:c r="AB25" s="45" t="str">
        <x:v>Adresse/Kontakt geprüft; numerische Hauskoordinate noch nicht separat verifiziert</x:v>
      </x:c>
      <x:c r="AC25" s="45" t="str">
        <x:v>Kartenpunkt – Adresse geprüft</x:v>
      </x:c>
      <x:c r="AD25" s="45" t="str">
        <x:v>regional + projektbezogen überregional</x:v>
      </x:c>
      <x:c r="AE25" s="45" t="str">
        <x:v>https://www.hunic.com/</x:v>
      </x:c>
      <x:c r="AF25" s="45" t="str"/>
      <x:c r="AG25" s="45" t="str">
        <x:v>Standort verifiziert.</x:v>
      </x:c>
      <x:c r="AH25" s="83" t="str">
        <x:v>2026-08-30</x:v>
      </x:c>
      <x:c r="AI25" s="45" t="str">
        <x:f>IF(R25="","",R25&amp;", "&amp;S25&amp;" "&amp;T25&amp;", Deutschland")</x:f>
        <x:v>Bergerweg 51, 72270 Baiersbronn, Deutschland</x:v>
      </x:c>
    </x:row>
    <x:row r="26">
      <x:c r="A26" s="45" t="str">
        <x:v>T-022</x:v>
      </x:c>
      <x:c r="B26" s="45" t="str">
        <x:v>T-022</x:v>
      </x:c>
      <x:c r="C26" s="45" t="str">
        <x:v>hTRIUS GmbH</x:v>
      </x:c>
      <x:c r="D26" s="45" t="str">
        <x:v>Aufnehmen</x:v>
      </x:c>
      <x:c r="E26" s="45" t="str">
        <x:v>A</x:v>
      </x:c>
      <x:c r="F26" s="45" t="str">
        <x:v>Technischer Umsetzer / Exoskelett</x:v>
      </x:c>
      <x:c r="G26" s="45" t="str">
        <x:v>Automotive; Metall; Maschinenbau; Logistik; Montage/Produktion</x:v>
      </x:c>
      <x:c r="H26" s="45" t="str">
        <x:v>Rücken/Wirbelsäule; reduzierte Kraft/Belastbarkeit</x:v>
      </x:c>
      <x:c r="I26" s="45" t="str">
        <x:v>Heben/Tragen; Vorbeugehaltung; körperlich belastende Montage</x:v>
      </x:c>
      <x:c r="J26" s="45" t="str">
        <x:v>Exoskelett; Rückenassistenz; Demo/Rollout</x:v>
      </x:c>
      <x:c r="K26" s="45" t="str">
        <x:v>Ja</x:v>
      </x:c>
      <x:c r="L26" s="45" t="str">
        <x:v>nein</x:v>
      </x:c>
      <x:c r="M26" s="45" t="str">
        <x:v>nein</x:v>
      </x:c>
      <x:c r="N26" s="45" t="str">
        <x:v>teilweise</x:v>
      </x:c>
      <x:c r="O26" s="45" t="str">
        <x:v>nein</x:v>
      </x:c>
      <x:c r="P26" s="45" t="str">
        <x:v>nicht spezifisch belegt</x:v>
      </x:c>
      <x:c r="Q26" s="45" t="str">
        <x:v>Eignung im Einzelfall prüfen; sinnvoll als Option bei belastenden Hebe-/Beugebewegungen.</x:v>
      </x:c>
      <x:c r="R26" s="45" t="str">
        <x:v>Junghansstraße 16</x:v>
      </x:c>
      <x:c r="S26" s="45" t="str">
        <x:v>72160</x:v>
      </x:c>
      <x:c r="T26" s="45" t="str">
        <x:v>Horb am Neckar</x:v>
      </x:c>
      <x:c r="U26" s="45" t="str">
        <x:v>Baden-Württemberg</x:v>
      </x:c>
      <x:c r="V26" s="45" t="str">
        <x:v>Deutschland</x:v>
      </x:c>
      <x:c r="W26" s="45" t="str">
        <x:v>+49 7451 5391551</x:v>
      </x:c>
      <x:c r="X26" s="45" t="str">
        <x:v>info@htrius.com</x:v>
      </x:c>
      <x:c r="Y26" s="45" t="str">
        <x:v>https://www.htrius.com/</x:v>
      </x:c>
      <x:c r="Z26" s="82"/>
      <x:c r="AA26" s="82"/>
      <x:c r="AB26" s="45" t="str">
        <x:v>Adresse/Kontakt geprüft; numerische Hauskoordinate noch nicht separat verifiziert</x:v>
      </x:c>
      <x:c r="AC26" s="45" t="str">
        <x:v>Kartenpunkt – Adresse geprüft</x:v>
      </x:c>
      <x:c r="AD26" s="45" t="str">
        <x:v>regional + projektbezogen überregional</x:v>
      </x:c>
      <x:c r="AE26" s="45" t="str">
        <x:v>https://www.htrius.com/</x:v>
      </x:c>
      <x:c r="AF26" s="45" t="str"/>
      <x:c r="AG26" s="45" t="str">
        <x:v>Aktuelle Adresse nach Adressänderung 2025 verifiziert.</x:v>
      </x:c>
      <x:c r="AH26" s="83" t="str">
        <x:v>2026-08-30</x:v>
      </x:c>
      <x:c r="AI26" s="45" t="str">
        <x:f>IF(R26="","",R26&amp;", "&amp;S26&amp;" "&amp;T26&amp;", Deutschland")</x:f>
        <x:v>Junghansstraße 16, 72160 Horb am Neckar, Deutschland</x:v>
      </x:c>
    </x:row>
    <x:row r="27">
      <x:c r="A27" s="45" t="str">
        <x:v>T-023</x:v>
      </x:c>
      <x:c r="B27" s="45" t="str">
        <x:v>T-023</x:v>
      </x:c>
      <x:c r="C27" s="45" t="str">
        <x:v>HDC Huttelmaier Retrofit</x:v>
      </x:c>
      <x:c r="D27" s="45" t="str">
        <x:v>Aufnehmen</x:v>
      </x:c>
      <x:c r="E27" s="45" t="str">
        <x:v>A</x:v>
      </x:c>
      <x:c r="F27" s="45" t="str">
        <x:v>Technischer Umsetzer / Maschinenretrofit</x:v>
      </x:c>
      <x:c r="G27" s="45" t="str">
        <x:v>Metall; Maschinenbau; Automotive</x:v>
      </x:c>
      <x:c r="H27" s="45" t="str">
        <x:v>Arm/Hand; Sehen; reduzierte Kraft; sonstige Bedienungseinschränkung</x:v>
      </x:c>
      <x:c r="I27" s="45" t="str">
        <x:v>Maschine nicht mehr bedienbar; Steuerungs-/Bedienproblem; Sicherheitsanpassung</x:v>
      </x:c>
      <x:c r="J27" s="45" t="str">
        <x:v>Maschinenretrofit; Steuerungsumbau; Bedienpult; Elektrik/Schaltschrank; Schutzeinrichtung</x:v>
      </x:c>
      <x:c r="K27" s="45" t="str">
        <x:v>Ja</x:v>
      </x:c>
      <x:c r="L27" s="45" t="str">
        <x:v>Ja</x:v>
      </x:c>
      <x:c r="M27" s="45" t="str">
        <x:v>Ja</x:v>
      </x:c>
      <x:c r="N27" s="45" t="str">
        <x:v>Ja</x:v>
      </x:c>
      <x:c r="O27" s="45" t="str">
        <x:v>Ja/projektbezogen</x:v>
      </x:c>
      <x:c r="P27" s="45" t="str">
        <x:v>nicht spezifisch belegt</x:v>
      </x:c>
      <x:c r="Q27" s="45" t="str">
        <x:v>Als Umsetzer für projektbezogene Bedienungsänderung führen; Reha-Spezialisierung vor Auftrag prüfen.</x:v>
      </x:c>
      <x:c r="R27" s="45" t="str">
        <x:v>Winterbacher Straße 66</x:v>
      </x:c>
      <x:c r="S27" s="45" t="str">
        <x:v>73614</x:v>
      </x:c>
      <x:c r="T27" s="45" t="str">
        <x:v>Schorndorf</x:v>
      </x:c>
      <x:c r="U27" s="45" t="str">
        <x:v>Baden-Württemberg</x:v>
      </x:c>
      <x:c r="V27" s="45" t="str">
        <x:v>Deutschland</x:v>
      </x:c>
      <x:c r="W27" s="45" t="str">
        <x:v>+49 7181 97868-0</x:v>
      </x:c>
      <x:c r="X27" s="45" t="str">
        <x:v>vertrieb@huttelmaier.de</x:v>
      </x:c>
      <x:c r="Y27" s="45" t="str">
        <x:v>https://retrofit.de/</x:v>
      </x:c>
      <x:c r="Z27" s="82"/>
      <x:c r="AA27" s="82"/>
      <x:c r="AB27" s="45" t="str">
        <x:v>Adresse/Kontakt geprüft; numerische Hauskoordinate noch nicht separat verifiziert</x:v>
      </x:c>
      <x:c r="AC27" s="45" t="str">
        <x:v>Kartenpunkt – Adresse geprüft</x:v>
      </x:c>
      <x:c r="AD27" s="45" t="str">
        <x:v>regional + projektbezogen überregional</x:v>
      </x:c>
      <x:c r="AE27" s="45" t="str">
        <x:v>https://retrofit.de/</x:v>
      </x:c>
      <x:c r="AF27" s="45" t="str"/>
      <x:c r="AG27" s="45" t="str">
        <x:v>Standort verifiziert.</x:v>
      </x:c>
      <x:c r="AH27" s="83" t="str">
        <x:v>2026-08-30</x:v>
      </x:c>
      <x:c r="AI27" s="45" t="str">
        <x:f>IF(R27="","",R27&amp;", "&amp;S27&amp;" "&amp;T27&amp;", Deutschland")</x:f>
        <x:v>Winterbacher Straße 66, 73614 Schorndorf, Deutschland</x:v>
      </x:c>
    </x:row>
    <x:row r="28">
      <x:c r="A28" s="45" t="str">
        <x:v>T-024</x:v>
      </x:c>
      <x:c r="B28" s="45" t="str">
        <x:v>T-024</x:v>
      </x:c>
      <x:c r="C28" s="45" t="str">
        <x:v>SPS Automation GmbH</x:v>
      </x:c>
      <x:c r="D28" s="45" t="str">
        <x:v>Aufnehmen</x:v>
      </x:c>
      <x:c r="E28" s="45" t="str">
        <x:v>A</x:v>
      </x:c>
      <x:c r="F28" s="45" t="str">
        <x:v>Technischer Umsetzer / Maschinenretrofit</x:v>
      </x:c>
      <x:c r="G28" s="45" t="str">
        <x:v>Metall; Maschinenbau; Automotive; Montage/Produktion</x:v>
      </x:c>
      <x:c r="H28" s="45" t="str">
        <x:v>Arm/Hand; Sehen; reduzierte Kraft; sonstige Bedienungseinschränkung</x:v>
      </x:c>
      <x:c r="I28" s="45" t="str">
        <x:v>Maschinenbedienung; Steuerungsproblem; Retrofit; Sicherheitsanpassung</x:v>
      </x:c>
      <x:c r="J28" s="45" t="str">
        <x:v>SPS-/Steuerungsumbau; Schaltschrank; Bedienung; Retrofit; Inbetriebnahme</x:v>
      </x:c>
      <x:c r="K28" s="45" t="str">
        <x:v>Ja</x:v>
      </x:c>
      <x:c r="L28" s="45" t="str">
        <x:v>Ja</x:v>
      </x:c>
      <x:c r="M28" s="45" t="str">
        <x:v>Ja</x:v>
      </x:c>
      <x:c r="N28" s="45" t="str">
        <x:v>Ja</x:v>
      </x:c>
      <x:c r="O28" s="45" t="str">
        <x:v>Ja/projektbezogen</x:v>
      </x:c>
      <x:c r="P28" s="45" t="str">
        <x:v>nicht spezifisch belegt</x:v>
      </x:c>
      <x:c r="Q28" s="45" t="str">
        <x:v>Regional sehr interessant: Ist-Analyse, Umbau, Montage vor Ort, Inbetriebnahme und Schulung.</x:v>
      </x:c>
      <x:c r="R28" s="45" t="str">
        <x:v>Langen-Morgenstraße 17</x:v>
      </x:c>
      <x:c r="S28" s="45" t="str">
        <x:v>69488</x:v>
      </x:c>
      <x:c r="T28" s="45" t="str">
        <x:v>Birkenau</x:v>
      </x:c>
      <x:c r="U28" s="45" t="str">
        <x:v>Hessen</x:v>
      </x:c>
      <x:c r="V28" s="45" t="str">
        <x:v>Deutschland</x:v>
      </x:c>
      <x:c r="W28" s="45" t="str">
        <x:v>+49 6209 725749</x:v>
      </x:c>
      <x:c r="X28" s="45" t="str">
        <x:v>info@sps-automation.de</x:v>
      </x:c>
      <x:c r="Y28" s="45" t="str">
        <x:v>https://sps-automation.de/dienstleistungen/retrofit.html</x:v>
      </x:c>
      <x:c r="Z28" s="82"/>
      <x:c r="AA28" s="82"/>
      <x:c r="AB28" s="45" t="str">
        <x:v>Adresse aktuell widersprüchlich; vor finaler Geocodierung manuell bestätigen</x:v>
      </x:c>
      <x:c r="AC28" s="45" t="str">
        <x:v>Kartenpunkt – Geo-Warnung</x:v>
      </x:c>
      <x:c r="AD28" s="45" t="str">
        <x:v>regional + projektbezogen überregional</x:v>
      </x:c>
      <x:c r="AE28" s="45" t="str">
        <x:v>https://sps-automation.de/</x:v>
      </x:c>
      <x:c r="AF28" s="45" t="str"/>
      <x:c r="AG28" s="45" t="str">
        <x:v>Website nennt operativ Nr. 17; Impressum enthält zugleich Nr. 19. Vor produktivem Geocode einmal manuell gegenprüfen.</x:v>
      </x:c>
      <x:c r="AH28" s="83" t="str">
        <x:v>2026-08-30</x:v>
      </x:c>
      <x:c r="AI28" s="45" t="str">
        <x:f>IF(R28="","",R28&amp;", "&amp;S28&amp;" "&amp;T28&amp;", Deutschland")</x:f>
        <x:v>Langen-Morgenstraße 17, 69488 Birkenau, Deutschland</x:v>
      </x:c>
    </x:row>
    <x:row r="29">
      <x:c r="A29" s="45" t="str">
        <x:v>T-025</x:v>
      </x:c>
      <x:c r="B29" s="45" t="str">
        <x:v>T-025</x:v>
      </x:c>
      <x:c r="C29" s="45" t="str">
        <x:v>NEFF-Pressen / Röcher GmbH &amp; Co. KG</x:v>
      </x:c>
      <x:c r="D29" s="45" t="str">
        <x:v>Aufnehmen</x:v>
      </x:c>
      <x:c r="E29" s="45" t="str">
        <x:v>A</x:v>
      </x:c>
      <x:c r="F29" s="45" t="str">
        <x:v>Technischer Umsetzer / Pressenretrofit</x:v>
      </x:c>
      <x:c r="G29" s="45" t="str">
        <x:v>Metall; Automotive; Maschinenbau</x:v>
      </x:c>
      <x:c r="H29" s="45" t="str">
        <x:v>Arm/Hand; Sehen; reduzierte Kraft; sonstige Bedienungseinschränkung</x:v>
      </x:c>
      <x:c r="I29" s="45" t="str">
        <x:v>Pressenbedienung; Bedienpult; Sicherheit; Zuführung/Entnahme</x:v>
      </x:c>
      <x:c r="J29" s="45" t="str">
        <x:v>Retrofit; Touch-/Bedienpult; Taster/Schalter; I/O; Sicherheit; Zuführ-/Robotiklösung</x:v>
      </x:c>
      <x:c r="K29" s="45" t="str">
        <x:v>Ja</x:v>
      </x:c>
      <x:c r="L29" s="45" t="str">
        <x:v>Ja</x:v>
      </x:c>
      <x:c r="M29" s="45" t="str">
        <x:v>Ja</x:v>
      </x:c>
      <x:c r="N29" s="45" t="str">
        <x:v>Ja</x:v>
      </x:c>
      <x:c r="O29" s="45" t="str">
        <x:v>Ja/projektbezogen</x:v>
      </x:c>
      <x:c r="P29" s="45" t="str">
        <x:v>nicht spezifisch belegt</x:v>
      </x:c>
      <x:c r="Q29" s="45" t="str">
        <x:v>Besonders für konkrete Pressen-/Metallfälle interessant.</x:v>
      </x:c>
      <x:c r="R29" s="45" t="str">
        <x:v>In den Kuhwiesen 4</x:v>
      </x:c>
      <x:c r="S29" s="45" t="str">
        <x:v>76149</x:v>
      </x:c>
      <x:c r="T29" s="45" t="str">
        <x:v>Karlsruhe</x:v>
      </x:c>
      <x:c r="U29" s="45" t="str">
        <x:v>Baden-Württemberg</x:v>
      </x:c>
      <x:c r="V29" s="45" t="str">
        <x:v>Deutschland</x:v>
      </x:c>
      <x:c r="W29" s="45" t="str">
        <x:v>+49 721 97828-0</x:v>
      </x:c>
      <x:c r="X29" s="45" t="str"/>
      <x:c r="Y29" s="45" t="str">
        <x:v>https://beflex.neff-pressen.de/retrofit.html</x:v>
      </x:c>
      <x:c r="Z29" s="82"/>
      <x:c r="AA29" s="82"/>
      <x:c r="AB29" s="45" t="str">
        <x:v>Adresse/Kontakt geprüft; numerische Hauskoordinate noch nicht separat verifiziert</x:v>
      </x:c>
      <x:c r="AC29" s="45" t="str">
        <x:v>Kartenpunkt – Adresse geprüft</x:v>
      </x:c>
      <x:c r="AD29" s="45" t="str">
        <x:v>regional + projektbezogen überregional</x:v>
      </x:c>
      <x:c r="AE29" s="45" t="str">
        <x:v>https://neff-pressen.de/</x:v>
      </x:c>
      <x:c r="AF29" s="45" t="str"/>
      <x:c r="AG29" s="45" t="str">
        <x:v>Standort Werk 2/NEFF verifiziert. Kein allgemeines Funktionspostfach belastbar verifiziert; Websitekontakt verwenden.</x:v>
      </x:c>
      <x:c r="AH29" s="83" t="str">
        <x:v>2026-08-30</x:v>
      </x:c>
      <x:c r="AI29" s="45" t="str">
        <x:f>IF(R29="","",R29&amp;", "&amp;S29&amp;" "&amp;T29&amp;", Deutschland")</x:f>
        <x:v>In den Kuhwiesen 4, 76149 Karlsruhe, Deutschland</x:v>
      </x:c>
    </x:row>
    <x:row r="30">
      <x:c r="A30" s="45" t="str">
        <x:v>T-026</x:v>
      </x:c>
      <x:c r="B30" s="45" t="str">
        <x:v>T-026</x:v>
      </x:c>
      <x:c r="C30" s="45" t="str">
        <x:v>ANKO GmbH &amp; Co. KG</x:v>
      </x:c>
      <x:c r="D30" s="45" t="str">
        <x:v>Aufnehmen</x:v>
      </x:c>
      <x:c r="E30" s="45" t="str">
        <x:v>A</x:v>
      </x:c>
      <x:c r="F30" s="45" t="str">
        <x:v>Technischer Umsetzer / Sondermaschinen &amp; Vorrichtungen</x:v>
      </x:c>
      <x:c r="G30" s="45" t="str">
        <x:v>Automotive; Metall; Maschinenbau; Montage/Produktion</x:v>
      </x:c>
      <x:c r="H30" s="45" t="str">
        <x:v>Arm/Hand; Schulter; reduzierte Kraft</x:v>
      </x:c>
      <x:c r="I30" s="45" t="str">
        <x:v>Positionieren; Zentrieren; Schrauben; Handling; Montagevorgang</x:v>
      </x:c>
      <x:c r="J30" s="45" t="str">
        <x:v>Sondervorrichtung; Handling; Positionier-/Zentriertechnik; Schraubapplikation</x:v>
      </x:c>
      <x:c r="K30" s="45" t="str">
        <x:v>Ja</x:v>
      </x:c>
      <x:c r="L30" s="45" t="str">
        <x:v>Ja</x:v>
      </x:c>
      <x:c r="M30" s="45" t="str">
        <x:v>Ja</x:v>
      </x:c>
      <x:c r="N30" s="45" t="str">
        <x:v>Ja</x:v>
      </x:c>
      <x:c r="O30" s="45" t="str">
        <x:v>teilweise/projektbezogen</x:v>
      </x:c>
      <x:c r="P30" s="45" t="str">
        <x:v>nicht spezifisch belegt</x:v>
      </x:c>
      <x:c r="Q30" s="45" t="str">
        <x:v>Als technischer Umsetzer führen, nicht als unabhängigen Reha-Berater.</x:v>
      </x:c>
      <x:c r="R30" s="45" t="str">
        <x:v>Litzenhardtstraße 26</x:v>
      </x:c>
      <x:c r="S30" s="45" t="str">
        <x:v>76135</x:v>
      </x:c>
      <x:c r="T30" s="45" t="str">
        <x:v>Karlsruhe</x:v>
      </x:c>
      <x:c r="U30" s="45" t="str">
        <x:v>Baden-Württemberg</x:v>
      </x:c>
      <x:c r="V30" s="45" t="str">
        <x:v>Deutschland</x:v>
      </x:c>
      <x:c r="W30" s="45" t="str">
        <x:v>+49 721 26306-54</x:v>
      </x:c>
      <x:c r="X30" s="45" t="str">
        <x:v>info@anko-karlsruhe.de</x:v>
      </x:c>
      <x:c r="Y30" s="45" t="str">
        <x:v>https://anko-karlsruhe.de/</x:v>
      </x:c>
      <x:c r="Z30" s="82"/>
      <x:c r="AA30" s="82"/>
      <x:c r="AB30" s="45" t="str">
        <x:v>Adresse/Kontakt geprüft; numerische Hauskoordinate noch nicht separat verifiziert</x:v>
      </x:c>
      <x:c r="AC30" s="45" t="str">
        <x:v>Kartenpunkt – Adresse geprüft</x:v>
      </x:c>
      <x:c r="AD30" s="45" t="str">
        <x:v>regional + projektbezogen überregional</x:v>
      </x:c>
      <x:c r="AE30" s="45" t="str">
        <x:v>https://anko-karlsruhe.de/kontakt/</x:v>
      </x:c>
      <x:c r="AF30" s="45" t="str"/>
      <x:c r="AG30" s="45" t="str">
        <x:v>Standort und aktuelle Kontaktdaten verifiziert.</x:v>
      </x:c>
      <x:c r="AH30" s="83" t="str">
        <x:v>2026-08-30</x:v>
      </x:c>
      <x:c r="AI30" s="45" t="str">
        <x:f>IF(R30="","",R30&amp;", "&amp;S30&amp;" "&amp;T30&amp;", Deutschland")</x:f>
        <x:v>Litzenhardtstraße 26, 76135 Karlsruhe, Deutschland</x:v>
      </x:c>
    </x:row>
    <x:row r="31">
      <x:c r="A31" s="45" t="str">
        <x:v>T-027</x:v>
      </x:c>
      <x:c r="B31" s="45" t="str">
        <x:v>T-027</x:v>
      </x:c>
      <x:c r="C31" s="45" t="str">
        <x:v>TINKA Handelsgesellschaft mbH</x:v>
      </x:c>
      <x:c r="D31" s="45" t="str">
        <x:v>Aufnehmen</x:v>
      </x:c>
      <x:c r="E31" s="45" t="str">
        <x:v>A</x:v>
      </x:c>
      <x:c r="F31" s="45" t="str">
        <x:v>Technischer Umsetzer / Hebe- &amp; Sondertechnik</x:v>
      </x:c>
      <x:c r="G31" s="45" t="str">
        <x:v>Metall; Maschinenbau; Montage/Produktion; Logistik</x:v>
      </x:c>
      <x:c r="H31" s="45" t="str">
        <x:v>Arm/Hand; Schulter; Rücken/Wirbelsäule; reduzierte Kraft</x:v>
      </x:c>
      <x:c r="I31" s="45" t="str">
        <x:v>Heben/Tragen; Wenden/Positionieren; innerbetriebliche Bewegung</x:v>
      </x:c>
      <x:c r="J31" s="45" t="str">
        <x:v>Hebetechnik; Handhabungstechnik; Sonderkonstruktion; Montage</x:v>
      </x:c>
      <x:c r="K31" s="45" t="str">
        <x:v>Ja</x:v>
      </x:c>
      <x:c r="L31" s="45" t="str">
        <x:v>Ja</x:v>
      </x:c>
      <x:c r="M31" s="45" t="str">
        <x:v>Ja</x:v>
      </x:c>
      <x:c r="N31" s="45" t="str">
        <x:v>Ja</x:v>
      </x:c>
      <x:c r="O31" s="45" t="str">
        <x:v>teilweise/projektbezogen</x:v>
      </x:c>
      <x:c r="P31" s="45" t="str">
        <x:v>nicht spezifisch belegt</x:v>
      </x:c>
      <x:c r="Q31" s="45" t="str">
        <x:v>Regionaler Umsetzungspartner; BG-/Reha-Spezialisierung projektbezogen prüfen.</x:v>
      </x:c>
      <x:c r="R31" s="45" t="str">
        <x:v>August-Mogler-Straße 1/3</x:v>
      </x:c>
      <x:c r="S31" s="45" t="str">
        <x:v>74080</x:v>
      </x:c>
      <x:c r="T31" s="45" t="str">
        <x:v>Heilbronn</x:v>
      </x:c>
      <x:c r="U31" s="45" t="str">
        <x:v>Baden-Württemberg</x:v>
      </x:c>
      <x:c r="V31" s="45" t="str">
        <x:v>Deutschland</x:v>
      </x:c>
      <x:c r="W31" s="45" t="str">
        <x:v>+49 7131 63530-50</x:v>
      </x:c>
      <x:c r="X31" s="45" t="str">
        <x:v>info@tinka-gmbh.de</x:v>
      </x:c>
      <x:c r="Y31" s="45" t="str">
        <x:v>https://www.tinka-gmbh.de/</x:v>
      </x:c>
      <x:c r="Z31" s="82"/>
      <x:c r="AA31" s="82"/>
      <x:c r="AB31" s="45" t="str">
        <x:v>Adresse/Kontakt geprüft; numerische Hauskoordinate noch nicht separat verifiziert</x:v>
      </x:c>
      <x:c r="AC31" s="45" t="str">
        <x:v>Kartenpunkt – Adresse geprüft</x:v>
      </x:c>
      <x:c r="AD31" s="45" t="str">
        <x:v>regional + projektbezogen überregional</x:v>
      </x:c>
      <x:c r="AE31" s="45" t="str">
        <x:v>https://www.tinka-gmbh.de/</x:v>
      </x:c>
      <x:c r="AF31" s="45" t="str"/>
      <x:c r="AG31" s="45" t="str">
        <x:v>Standort verifiziert.</x:v>
      </x:c>
      <x:c r="AH31" s="83" t="str">
        <x:v>2026-08-30</x:v>
      </x:c>
      <x:c r="AI31" s="45" t="str">
        <x:f>IF(R31="","",R31&amp;", "&amp;S31&amp;" "&amp;T31&amp;", Deutschland")</x:f>
        <x:v>August-Mogler-Straße 1/3, 74080 Heilbronn, Deutschland</x:v>
      </x:c>
    </x:row>
    <x:row r="32">
      <x:c r="A32" s="45" t="str">
        <x:v>T-028</x:v>
      </x:c>
      <x:c r="B32" s="45" t="str">
        <x:v>T-028</x:v>
      </x:c>
      <x:c r="C32" s="45" t="str">
        <x:v>Rauscher &amp; Reyhing GmbH</x:v>
      </x:c>
      <x:c r="D32" s="45" t="str">
        <x:v>Aufnehmen</x:v>
      </x:c>
      <x:c r="E32" s="45" t="str">
        <x:v>A</x:v>
      </x:c>
      <x:c r="F32" s="45" t="str">
        <x:v>Technischer Umsetzer / Holzmaschinen</x:v>
      </x:c>
      <x:c r="G32" s="45" t="str">
        <x:v>Holz/Schreinerei; Möbelbau; Montage</x:v>
      </x:c>
      <x:c r="H32" s="45" t="str">
        <x:v>Arm/Hand; Schulter; Rücken/Wirbelsäule; reduzierte Kraft</x:v>
      </x:c>
      <x:c r="I32" s="45" t="str">
        <x:v>Plattenhandling; Maschinenbeschickung; Heben/Tragen; Werkstattprozess</x:v>
      </x:c>
      <x:c r="J32" s="45" t="str">
        <x:v>Holzbearbeitungsmaschine; Vakuumheber; Plattenhandling; Service/Vor-Ort-Beratung</x:v>
      </x:c>
      <x:c r="K32" s="45" t="str">
        <x:v>Ja</x:v>
      </x:c>
      <x:c r="L32" s="45" t="str">
        <x:v>teilweise</x:v>
      </x:c>
      <x:c r="M32" s="45" t="str">
        <x:v>Ja</x:v>
      </x:c>
      <x:c r="N32" s="45" t="str">
        <x:v>Ja</x:v>
      </x:c>
      <x:c r="O32" s="45" t="str">
        <x:v>teilweise/projektbezogen</x:v>
      </x:c>
      <x:c r="P32" s="45" t="str">
        <x:v>nicht spezifisch belegt</x:v>
      </x:c>
      <x:c r="Q32" s="45" t="str">
        <x:v>Branchenspezifischer Partner für Schreinerei; als technischer Branchenumsetzer kennzeichnen.</x:v>
      </x:c>
      <x:c r="R32" s="45" t="str">
        <x:v>Meidelstetter Straße 13</x:v>
      </x:c>
      <x:c r="S32" s="45" t="str">
        <x:v>72531</x:v>
      </x:c>
      <x:c r="T32" s="45" t="str">
        <x:v>Hohenstein-Bernloch</x:v>
      </x:c>
      <x:c r="U32" s="45" t="str">
        <x:v>Baden-Württemberg</x:v>
      </x:c>
      <x:c r="V32" s="45" t="str">
        <x:v>Deutschland</x:v>
      </x:c>
      <x:c r="W32" s="45" t="str">
        <x:v>+49 7387 9884-0</x:v>
      </x:c>
      <x:c r="X32" s="45" t="str">
        <x:v>mail@rauscher-reyhing.de</x:v>
      </x:c>
      <x:c r="Y32" s="45" t="str">
        <x:v>https://www.rauscher-reyhing.de/</x:v>
      </x:c>
      <x:c r="Z32" s="82"/>
      <x:c r="AA32" s="82"/>
      <x:c r="AB32" s="45" t="str">
        <x:v>Adresse/Kontakt geprüft; numerische Hauskoordinate noch nicht separat verifiziert</x:v>
      </x:c>
      <x:c r="AC32" s="45" t="str">
        <x:v>Kartenpunkt – Adresse geprüft</x:v>
      </x:c>
      <x:c r="AD32" s="45" t="str">
        <x:v>regional + projektbezogen überregional</x:v>
      </x:c>
      <x:c r="AE32" s="45" t="str">
        <x:v>https://www.rauscher-reyhing.de/</x:v>
      </x:c>
      <x:c r="AF32" s="45" t="str"/>
      <x:c r="AG32" s="45" t="str">
        <x:v>Standort verifiziert.</x:v>
      </x:c>
      <x:c r="AH32" s="83" t="str">
        <x:v>2026-08-30</x:v>
      </x:c>
      <x:c r="AI32" s="45" t="str">
        <x:f>IF(R32="","",R32&amp;", "&amp;S32&amp;" "&amp;T32&amp;", Deutschland")</x:f>
        <x:v>Meidelstetter Straße 13, 72531 Hohenstein-Bernloch, Deutschland</x:v>
      </x:c>
    </x:row>
    <x:row r="33">
      <x:c r="A33" s="45" t="str">
        <x:v>T-029</x:v>
      </x:c>
      <x:c r="B33" s="45" t="str">
        <x:v>T-029</x:v>
      </x:c>
      <x:c r="C33" s="45" t="str">
        <x:v>Schmersal / tec.nicum</x:v>
      </x:c>
      <x:c r="D33" s="45" t="str">
        <x:v>Aufnehmen</x:v>
      </x:c>
      <x:c r="E33" s="45" t="str">
        <x:v>A+</x:v>
      </x:c>
      <x:c r="F33" s="45" t="str">
        <x:v>Technischer Berater &amp; Umsetzer / Bedienung &amp; Safety</x:v>
      </x:c>
      <x:c r="G33" s="45" t="str">
        <x:v>Metall; Automotive; Maschinenbau; Holz; Montage/Produktion</x:v>
      </x:c>
      <x:c r="H33" s="45" t="str">
        <x:v>Arm/Hand; reduzierte Kraft; Sehen/Hören; sonstige Bedienungseinschränkung</x:v>
      </x:c>
      <x:c r="I33" s="45" t="str">
        <x:v>Alternative Maschinenbedienung; geringe Betätigungskraft; Fuß-/Kniebedienung; Maschinensicherheit</x:v>
      </x:c>
      <x:c r="J33" s="45" t="str">
        <x:v>Fußschalter; Knieschalter; leichtgängige Bedienelemente; Bedienfeld; Handheld; Safety/Arbeitsplatzoptimierung</x:v>
      </x:c>
      <x:c r="K33" s="45" t="str">
        <x:v>Ja</x:v>
      </x:c>
      <x:c r="L33" s="45" t="str">
        <x:v>Ja</x:v>
      </x:c>
      <x:c r="M33" s="45" t="str">
        <x:v>Ja</x:v>
      </x:c>
      <x:c r="N33" s="45" t="str">
        <x:v>Ja</x:v>
      </x:c>
      <x:c r="O33" s="45" t="str">
        <x:v>Ja</x:v>
      </x:c>
      <x:c r="P33" s="45" t="str">
        <x:v>nicht spezifisch belegt</x:v>
      </x:c>
      <x:c r="Q33" s="45" t="str">
        <x:v>Sehr wertvoll bei Hand-/Finger-/Armdefiziten und alternativer Betätigung; Safety-Kompetenz verknüpfen.</x:v>
      </x:c>
      <x:c r="R33" s="45" t="str">
        <x:v>Möddinghofe 30</x:v>
      </x:c>
      <x:c r="S33" s="45" t="str">
        <x:v>42279</x:v>
      </x:c>
      <x:c r="T33" s="45" t="str">
        <x:v>Wuppertal</x:v>
      </x:c>
      <x:c r="U33" s="45" t="str">
        <x:v>Nordrhein-Westfalen</x:v>
      </x:c>
      <x:c r="V33" s="45" t="str">
        <x:v>Deutschland</x:v>
      </x:c>
      <x:c r="W33" s="45" t="str">
        <x:v>+49 202 6474-932</x:v>
      </x:c>
      <x:c r="X33" s="45" t="str">
        <x:v>info-de@tecnicum.com</x:v>
      </x:c>
      <x:c r="Y33" s="45" t="str">
        <x:v>https://www.schmersal.com/</x:v>
      </x:c>
      <x:c r="Z33" s="82"/>
      <x:c r="AA33" s="82"/>
      <x:c r="AB33" s="45" t="str">
        <x:v>Adresse/Kontakt geprüft; numerische Hauskoordinate noch nicht separat verifiziert</x:v>
      </x:c>
      <x:c r="AC33" s="45" t="str">
        <x:v>Kartenpunkt – Adresse geprüft</x:v>
      </x:c>
      <x:c r="AD33" s="45" t="str">
        <x:v>überregional / bundesweit projektbezogen</x:v>
      </x:c>
      <x:c r="AE33" s="45" t="str">
        <x:v>https://www.schmersal.com/</x:v>
      </x:c>
      <x:c r="AF33" s="45" t="str"/>
      <x:c r="AG33" s="45" t="str">
        <x:v>Schmersal/tec.nicum Wuppertal als Kartenstandort; Einsatz überregional.</x:v>
      </x:c>
      <x:c r="AH33" s="83" t="str">
        <x:v>2026-08-30</x:v>
      </x:c>
      <x:c r="AI33" s="45" t="str">
        <x:f>IF(R33="","",R33&amp;", "&amp;S33&amp;" "&amp;T33&amp;", Deutschland")</x:f>
        <x:v>Möddinghofe 30, 42279 Wuppertal, Deutschland</x:v>
      </x:c>
    </x:row>
    <x:row r="34">
      <x:c r="A34" s="45" t="str">
        <x:v>T-030</x:v>
      </x:c>
      <x:c r="B34" s="45" t="str">
        <x:v>T-030</x:v>
      </x:c>
      <x:c r="C34" s="45" t="str">
        <x:v>Faude Tec GmbH</x:v>
      </x:c>
      <x:c r="D34" s="45" t="str">
        <x:v>Aufnehmen</x:v>
      </x:c>
      <x:c r="E34" s="45" t="str">
        <x:v>A+</x:v>
      </x:c>
      <x:c r="F34" s="45" t="str">
        <x:v>Systemintegrator / Cobot &amp; Automation</x:v>
      </x:c>
      <x:c r="G34" s="45" t="str">
        <x:v>Automotive; Metall; Maschinenbau; Montage/Produktion</x:v>
      </x:c>
      <x:c r="H34" s="45" t="str">
        <x:v>Arm/Hand; Schulter; Rücken/Wirbelsäule; reduzierte Kraft/Belastbarkeit</x:v>
      </x:c>
      <x:c r="I34" s="45" t="str">
        <x:v>Repetitive Belastung; Heben/Positionieren; Maschinenbeschickung; ungünstige Körperhaltung</x:v>
      </x:c>
      <x:c r="J34" s="45" t="str">
        <x:v>Cobot; Robotik; SPS; Sonderautomation; Teilprozess-Automatisierung</x:v>
      </x:c>
      <x:c r="K34" s="45" t="str">
        <x:v>Ja</x:v>
      </x:c>
      <x:c r="L34" s="45" t="str">
        <x:v>Ja</x:v>
      </x:c>
      <x:c r="M34" s="45" t="str">
        <x:v>Ja</x:v>
      </x:c>
      <x:c r="N34" s="45" t="str">
        <x:v>Ja</x:v>
      </x:c>
      <x:c r="O34" s="45" t="str">
        <x:v>Ja</x:v>
      </x:c>
      <x:c r="P34" s="45" t="str">
        <x:v>nicht spezifisch belegt</x:v>
      </x:c>
      <x:c r="Q34" s="45" t="str">
        <x:v>Cobot nur als individuell zu prüfende Sonderlösung; starke Safety-/CE-Kette.</x:v>
      </x:c>
      <x:c r="R34" s="45" t="str">
        <x:v>Robert-Mayer-Straße 3</x:v>
      </x:c>
      <x:c r="S34" s="45" t="str">
        <x:v>73660</x:v>
      </x:c>
      <x:c r="T34" s="45" t="str">
        <x:v>Urbach</x:v>
      </x:c>
      <x:c r="U34" s="45" t="str">
        <x:v>Baden-Württemberg</x:v>
      </x:c>
      <x:c r="V34" s="45" t="str">
        <x:v>Deutschland</x:v>
      </x:c>
      <x:c r="W34" s="45" t="str">
        <x:v>+49 7161 9459839</x:v>
      </x:c>
      <x:c r="X34" s="45" t="str">
        <x:v>info@faudetec.de</x:v>
      </x:c>
      <x:c r="Y34" s="45" t="str">
        <x:v>https://www.faudetec.de/</x:v>
      </x:c>
      <x:c r="Z34" s="82"/>
      <x:c r="AA34" s="82"/>
      <x:c r="AB34" s="45" t="str">
        <x:v>Adresse/Kontakt geprüft; numerische Hauskoordinate noch nicht separat verifiziert</x:v>
      </x:c>
      <x:c r="AC34" s="45" t="str">
        <x:v>Kartenpunkt – Adresse geprüft</x:v>
      </x:c>
      <x:c r="AD34" s="45" t="str">
        <x:v>regional + projektbezogen überregional</x:v>
      </x:c>
      <x:c r="AE34" s="45" t="str">
        <x:v>https://www.faudetec.de/</x:v>
      </x:c>
      <x:c r="AF34" s="45" t="str"/>
      <x:c r="AG34" s="45" t="str">
        <x:v>Für Karte Besucheradresse Urbach verwenden; Börtlingen (Ödweilerhof 3) ist Rechnungsadresse.</x:v>
      </x:c>
      <x:c r="AH34" s="83" t="str">
        <x:v>2026-08-30</x:v>
      </x:c>
      <x:c r="AI34" s="45" t="str">
        <x:f>IF(R34="","",R34&amp;", "&amp;S34&amp;" "&amp;T34&amp;", Deutschland")</x:f>
        <x:v>Robert-Mayer-Straße 3, 73660 Urbach, Deutschland</x:v>
      </x:c>
    </x:row>
    <x:row r="35">
      <x:c r="A35" s="45" t="str">
        <x:v>T-031</x:v>
      </x:c>
      <x:c r="B35" s="45" t="str">
        <x:v>T-031</x:v>
      </x:c>
      <x:c r="C35" s="45" t="str">
        <x:v>HOLZ automation GmbH</x:v>
      </x:c>
      <x:c r="D35" s="45" t="str">
        <x:v>Aufnehmen</x:v>
      </x:c>
      <x:c r="E35" s="45" t="str">
        <x:v>A</x:v>
      </x:c>
      <x:c r="F35" s="45" t="str">
        <x:v>Systemintegrator / Robotik &amp; Retrofit</x:v>
      </x:c>
      <x:c r="G35" s="45" t="str">
        <x:v>Automotive; Metall; Maschinenbau; Montage/Produktion</x:v>
      </x:c>
      <x:c r="H35" s="45" t="str">
        <x:v>Arm/Hand; Schulter; Rücken/Wirbelsäule; reduzierte Kraft/Belastbarkeit</x:v>
      </x:c>
      <x:c r="I35" s="45" t="str">
        <x:v>Repetitive Belastung; Montageautomation; Maschinenbeschickung; Bedienungsproblem</x:v>
      </x:c>
      <x:c r="J35" s="45" t="str">
        <x:v>Robotik/Cobot; Montageautomation; Sondermaschinenbau; SPS; Retrofit</x:v>
      </x:c>
      <x:c r="K35" s="45" t="str">
        <x:v>Ja</x:v>
      </x:c>
      <x:c r="L35" s="45" t="str">
        <x:v>Ja</x:v>
      </x:c>
      <x:c r="M35" s="45" t="str">
        <x:v>Ja</x:v>
      </x:c>
      <x:c r="N35" s="45" t="str">
        <x:v>Ja</x:v>
      </x:c>
      <x:c r="O35" s="45" t="str">
        <x:v>Ja</x:v>
      </x:c>
      <x:c r="P35" s="45" t="str">
        <x:v>nicht spezifisch belegt</x:v>
      </x:c>
      <x:c r="Q35" s="45" t="str">
        <x:v>Für komplexe industrielle Teilprozesse; Reha-Einsatz projektbezogen bewerten.</x:v>
      </x:c>
      <x:c r="R35" s="45" t="str">
        <x:v>Donaustraße 23</x:v>
      </x:c>
      <x:c r="S35" s="45" t="str">
        <x:v>71522</x:v>
      </x:c>
      <x:c r="T35" s="45" t="str">
        <x:v>Backnang</x:v>
      </x:c>
      <x:c r="U35" s="45" t="str">
        <x:v>Baden-Württemberg</x:v>
      </x:c>
      <x:c r="V35" s="45" t="str">
        <x:v>Deutschland</x:v>
      </x:c>
      <x:c r="W35" s="45" t="str">
        <x:v>+49 7191 3432-0</x:v>
      </x:c>
      <x:c r="X35" s="45" t="str">
        <x:v>info@holz-automation.de</x:v>
      </x:c>
      <x:c r="Y35" s="45" t="str">
        <x:v>https://www.holz-automation.de/de/</x:v>
      </x:c>
      <x:c r="Z35" s="82"/>
      <x:c r="AA35" s="82"/>
      <x:c r="AB35" s="45" t="str">
        <x:v>Adresse/Kontakt geprüft; numerische Hauskoordinate noch nicht separat verifiziert</x:v>
      </x:c>
      <x:c r="AC35" s="45" t="str">
        <x:v>Kartenpunkt – Adresse geprüft</x:v>
      </x:c>
      <x:c r="AD35" s="45" t="str">
        <x:v>regional + projektbezogen überregional</x:v>
      </x:c>
      <x:c r="AE35" s="45" t="str">
        <x:v>https://www.holz-automation.de/de/</x:v>
      </x:c>
      <x:c r="AF35" s="45" t="str"/>
      <x:c r="AG35" s="45" t="str">
        <x:v>Standort Backnang-Waldrems verifiziert.</x:v>
      </x:c>
      <x:c r="AH35" s="83" t="str">
        <x:v>2026-08-30</x:v>
      </x:c>
      <x:c r="AI35" s="45" t="str">
        <x:f>IF(R35="","",R35&amp;", "&amp;S35&amp;" "&amp;T35&amp;", Deutschland")</x:f>
        <x:v>Donaustraße 23, 71522 Backnang, Deutschland</x:v>
      </x:c>
    </x:row>
    <x:row r="36">
      <x:c r="A36" s="45" t="str">
        <x:v>T-032</x:v>
      </x:c>
      <x:c r="B36" s="45" t="str">
        <x:v>T-032</x:v>
      </x:c>
      <x:c r="C36" s="45" t="str">
        <x:v>WERMA Signaltechnik GmbH + Co. KG</x:v>
      </x:c>
      <x:c r="D36" s="45" t="str">
        <x:v>Aufnehmen</x:v>
      </x:c>
      <x:c r="E36" s="45" t="str">
        <x:v>A</x:v>
      </x:c>
      <x:c r="F36" s="45" t="str">
        <x:v>Technischer Umsetzer / Signaltechnik</x:v>
      </x:c>
      <x:c r="G36" s="45" t="str">
        <x:v>Metall; Automotive; Maschinenbau; Holz; Montage/Produktion</x:v>
      </x:c>
      <x:c r="H36" s="45" t="str">
        <x:v>Hören/Kommunikation; Sehen</x:v>
      </x:c>
      <x:c r="I36" s="45" t="str">
        <x:v>Warnsignale werden nicht wahrgenommen; Maschinenstatus/Alarmierung</x:v>
      </x:c>
      <x:c r="J36" s="45" t="str">
        <x:v>Optische Signale; akustische Signale; optisch-akustische Kombination; Zwei-Sinne-Signalisierung</x:v>
      </x:c>
      <x:c r="K36" s="45" t="str">
        <x:v>Ja</x:v>
      </x:c>
      <x:c r="L36" s="45" t="str">
        <x:v>teilweise</x:v>
      </x:c>
      <x:c r="M36" s="45" t="str">
        <x:v>teilweise</x:v>
      </x:c>
      <x:c r="N36" s="45" t="str">
        <x:v>Ja</x:v>
      </x:c>
      <x:c r="O36" s="45" t="str">
        <x:v>nein</x:v>
      </x:c>
      <x:c r="P36" s="45" t="str">
        <x:v>nicht spezifisch belegt</x:v>
      </x:c>
      <x:c r="Q36" s="45" t="str">
        <x:v>Für sensorische Arbeitsplatzanpassung; individuelle Kombination mit IFD/Hörfachberatung sinnvoll.</x:v>
      </x:c>
      <x:c r="R36" s="45" t="str">
        <x:v>Erich-Marquardt-Straße 1</x:v>
      </x:c>
      <x:c r="S36" s="45" t="str">
        <x:v>78604</x:v>
      </x:c>
      <x:c r="T36" s="45" t="str">
        <x:v>Rietheim-Weilheim</x:v>
      </x:c>
      <x:c r="U36" s="45" t="str">
        <x:v>Baden-Württemberg</x:v>
      </x:c>
      <x:c r="V36" s="45" t="str">
        <x:v>Deutschland</x:v>
      </x:c>
      <x:c r="W36" s="45" t="str">
        <x:v>+49 7424 9557-0</x:v>
      </x:c>
      <x:c r="X36" s="45" t="str">
        <x:v>info@werma.com</x:v>
      </x:c>
      <x:c r="Y36" s="45" t="str">
        <x:v>https://www.werma.com/</x:v>
      </x:c>
      <x:c r="Z36" s="82"/>
      <x:c r="AA36" s="82"/>
      <x:c r="AB36" s="45" t="str">
        <x:v>Adresse/Kontakt geprüft; numerische Hauskoordinate noch nicht separat verifiziert</x:v>
      </x:c>
      <x:c r="AC36" s="45" t="str">
        <x:v>Kartenpunkt – Adresse geprüft</x:v>
      </x:c>
      <x:c r="AD36" s="45" t="str">
        <x:v>regional + projektbezogen überregional</x:v>
      </x:c>
      <x:c r="AE36" s="45" t="str">
        <x:v>https://www.werma.com/</x:v>
      </x:c>
      <x:c r="AF36" s="45" t="str"/>
      <x:c r="AG36" s="45" t="str">
        <x:v>Aktuelle öffentliche HQ-Adresse. Alte/abweichende Dürbheimer Str. 15 nicht als Kartenpunkt verwenden.</x:v>
      </x:c>
      <x:c r="AH36" s="83" t="str">
        <x:v>2026-08-30</x:v>
      </x:c>
      <x:c r="AI36" s="45" t="str">
        <x:f>IF(R36="","",R36&amp;", "&amp;S36&amp;" "&amp;T36&amp;", Deutschland")</x:f>
        <x:v>Erich-Marquardt-Straße 1, 78604 Rietheim-Weilheim, Deutschland</x:v>
      </x:c>
    </x:row>
    <x:row r="37">
      <x:c r="A37" s="45" t="str">
        <x:v>T-033</x:v>
      </x:c>
      <x:c r="B37" s="45" t="str">
        <x:v>T-033</x:v>
      </x:c>
      <x:c r="C37" s="45" t="str">
        <x:v>Pilz GmbH &amp; Co. KG</x:v>
      </x:c>
      <x:c r="D37" s="45" t="str">
        <x:v>Aufnehmen</x:v>
      </x:c>
      <x:c r="E37" s="45" t="str">
        <x:v>A+</x:v>
      </x:c>
      <x:c r="F37" s="45" t="str">
        <x:v>Maschinensicherheit / Engineering</x:v>
      </x:c>
      <x:c r="G37" s="45" t="str">
        <x:v>Metall; Automotive; Maschinenbau; Holz; Montage/Produktion</x:v>
      </x:c>
      <x:c r="H37" s="45" t="str">
        <x:v>alle – indirekt bei Maschinenumbau</x:v>
      </x:c>
      <x:c r="I37" s="45" t="str">
        <x:v>Maschinenumbau; wesentliche Veränderung; Sicherheits-/CE-Fragen</x:v>
      </x:c>
      <x:c r="J37" s="45" t="str">
        <x:v>Risikobeurteilung; Safety-Design; Systemintegration; Validierung; Retrofit; CE/Konformität</x:v>
      </x:c>
      <x:c r="K37" s="45" t="str">
        <x:v>Ja</x:v>
      </x:c>
      <x:c r="L37" s="45" t="str">
        <x:v>Ja</x:v>
      </x:c>
      <x:c r="M37" s="45" t="str">
        <x:v>teilweise</x:v>
      </x:c>
      <x:c r="N37" s="45" t="str">
        <x:v>Ja</x:v>
      </x:c>
      <x:c r="O37" s="45" t="str">
        <x:v>Ja</x:v>
      </x:c>
      <x:c r="P37" s="45" t="str">
        <x:v>nicht spezifisch belegt</x:v>
      </x:c>
      <x:c r="Q37" s="45" t="str">
        <x:v>Nicht als Reha-Berater, sondern als Safety-/Abnahmebaustein bei komplexen Maschinenumbauten.</x:v>
      </x:c>
      <x:c r="R37" s="45" t="str">
        <x:v>Felix-Wankel-Straße 2</x:v>
      </x:c>
      <x:c r="S37" s="45" t="str">
        <x:v>73760</x:v>
      </x:c>
      <x:c r="T37" s="45" t="str">
        <x:v>Ostfildern</x:v>
      </x:c>
      <x:c r="U37" s="45" t="str">
        <x:v>Baden-Württemberg</x:v>
      </x:c>
      <x:c r="V37" s="45" t="str">
        <x:v>Deutschland</x:v>
      </x:c>
      <x:c r="W37" s="45" t="str">
        <x:v>+49 711 3409-0</x:v>
      </x:c>
      <x:c r="X37" s="45" t="str">
        <x:v>info@pilz.de</x:v>
      </x:c>
      <x:c r="Y37" s="45" t="str">
        <x:v>https://www.pilz.com/de-DE/services/workplace-safety</x:v>
      </x:c>
      <x:c r="Z37" s="82"/>
      <x:c r="AA37" s="82"/>
      <x:c r="AB37" s="45" t="str">
        <x:v>Adresse/Kontakt geprüft; numerische Hauskoordinate noch nicht separat verifiziert</x:v>
      </x:c>
      <x:c r="AC37" s="45" t="str">
        <x:v>Kartenpunkt – Adresse geprüft</x:v>
      </x:c>
      <x:c r="AD37" s="45" t="str">
        <x:v>regional + projektbezogen überregional</x:v>
      </x:c>
      <x:c r="AE37" s="45" t="str">
        <x:v>https://www.pilz.com/de-DE/</x:v>
      </x:c>
      <x:c r="AF37" s="45" t="str"/>
      <x:c r="AG37" s="45" t="str">
        <x:v>Standort verifiziert.</x:v>
      </x:c>
      <x:c r="AH37" s="83" t="str">
        <x:v>2026-08-30</x:v>
      </x:c>
      <x:c r="AI37" s="45" t="str">
        <x:f>IF(R37="","",R37&amp;", "&amp;S37&amp;" "&amp;T37&amp;", Deutschland")</x:f>
        <x:v>Felix-Wankel-Straße 2, 73760 Ostfildern, Deutschland</x:v>
      </x:c>
    </x:row>
    <x:row r="38">
      <x:c r="A38" s="45" t="str">
        <x:v>T-034</x:v>
      </x:c>
      <x:c r="B38" s="45" t="str">
        <x:v>T-034</x:v>
      </x:c>
      <x:c r="C38" s="45" t="str">
        <x:v>ALLMATIC-Jakob Spannsysteme GmbH</x:v>
      </x:c>
      <x:c r="D38" s="45" t="str">
        <x:v>Aufnehmen</x:v>
      </x:c>
      <x:c r="E38" s="45" t="str">
        <x:v>A</x:v>
      </x:c>
      <x:c r="F38" s="45" t="str">
        <x:v>Technischer Umsetzer / Spann- &amp; Rüsthilfe</x:v>
      </x:c>
      <x:c r="G38" s="45" t="str">
        <x:v>Metall; Maschinenbau; Automotive</x:v>
      </x:c>
      <x:c r="H38" s="45" t="str">
        <x:v>Arm/Hand; Schulter; Rücken/Wirbelsäule; reduzierte Kraft</x:v>
      </x:c>
      <x:c r="I38" s="45" t="str">
        <x:v>Kurbeln/Drehmoment; Rüsten; Spannarbeit; wiederholte Kraftbelastung</x:v>
      </x:c>
      <x:c r="J38" s="45" t="str">
        <x:v>WorkBuddy Spannhilfe; Bedienhilfe; individuelle Maschinen-/Rüstplatzmontage</x:v>
      </x:c>
      <x:c r="K38" s="45" t="str">
        <x:v>Ja</x:v>
      </x:c>
      <x:c r="L38" s="45" t="str">
        <x:v>teilweise</x:v>
      </x:c>
      <x:c r="M38" s="45" t="str">
        <x:v>Ja</x:v>
      </x:c>
      <x:c r="N38" s="45" t="str">
        <x:v>Ja</x:v>
      </x:c>
      <x:c r="O38" s="45" t="str">
        <x:v>nein/unklar</x:v>
      </x:c>
      <x:c r="P38" s="45" t="str">
        <x:v>nicht spezifisch belegt</x:v>
      </x:c>
      <x:c r="Q38" s="45" t="str">
        <x:v>Sehr konkreter Baustein für Rüstplätze und Spanntürme; individuell an Maschine montierbar.</x:v>
      </x:c>
      <x:c r="R38" s="45" t="str">
        <x:v>Jägermühle 10</x:v>
      </x:c>
      <x:c r="S38" s="45" t="str">
        <x:v>87647</x:v>
      </x:c>
      <x:c r="T38" s="45" t="str">
        <x:v>Unterthingau</x:v>
      </x:c>
      <x:c r="U38" s="45" t="str">
        <x:v>Bayern</x:v>
      </x:c>
      <x:c r="V38" s="45" t="str">
        <x:v>Deutschland</x:v>
      </x:c>
      <x:c r="W38" s="45" t="str">
        <x:v>+49 8377 929-0</x:v>
      </x:c>
      <x:c r="X38" s="45" t="str">
        <x:v>info@allmatic.de</x:v>
      </x:c>
      <x:c r="Y38" s="45" t="str">
        <x:v>https://www.allmatic.de/workbuddy/</x:v>
      </x:c>
      <x:c r="Z38" s="82"/>
      <x:c r="AA38" s="82"/>
      <x:c r="AB38" s="45" t="str">
        <x:v>Adresse/Kontakt geprüft; numerische Hauskoordinate noch nicht separat verifiziert</x:v>
      </x:c>
      <x:c r="AC38" s="45" t="str">
        <x:v>Kartenpunkt – Adresse geprüft</x:v>
      </x:c>
      <x:c r="AD38" s="45" t="str">
        <x:v>regional + projektbezogen überregional</x:v>
      </x:c>
      <x:c r="AE38" s="45" t="str">
        <x:v>https://www.allmatic.de/</x:v>
      </x:c>
      <x:c r="AF38" s="45" t="str"/>
      <x:c r="AG38" s="45" t="str">
        <x:v>Standort verifiziert.</x:v>
      </x:c>
      <x:c r="AH38" s="83" t="str">
        <x:v>2026-08-30</x:v>
      </x:c>
      <x:c r="AI38" s="45" t="str">
        <x:f>IF(R38="","",R38&amp;", "&amp;S38&amp;" "&amp;T38&amp;", Deutschland")</x:f>
        <x:v>Jägermühle 10, 87647 Unterthingau, Deutschland</x:v>
      </x:c>
    </x:row>
    <x:row r="39">
      <x:c r="A39" s="45" t="str">
        <x:v>T-035</x:v>
      </x:c>
      <x:c r="B39" s="45" t="str">
        <x:v>T-035</x:v>
      </x:c>
      <x:c r="C39" s="45" t="str">
        <x:v>Humanelektronik GmbH</x:v>
      </x:c>
      <x:c r="D39" s="45" t="str">
        <x:v>Aufnehmen</x:v>
      </x:c>
      <x:c r="E39" s="45" t="str">
        <x:v>A+</x:v>
      </x:c>
      <x:c r="F39" s="45" t="str">
        <x:v>Technischer Umsetzer / alternative Steuerung &amp; Kommunikation</x:v>
      </x:c>
      <x:c r="G39" s="45" t="str">
        <x:v>Metall; Automotive; Maschinenbau; Holz; Büro/IT; Montage/Produktion</x:v>
      </x:c>
      <x:c r="H39" s="45" t="str">
        <x:v>Arm/Hand; Greifdefizit; reduzierte Kraft; Sehen; Kommunikation; Rollstuhl/Mobilität</x:v>
      </x:c>
      <x:c r="I39" s="45" t="str">
        <x:v>PC-/Maschinennahe Eingabe; alternative Steuerung; Kommunikation; Umfeldsteuerung</x:v>
      </x:c>
      <x:c r="J39" s="45" t="str">
        <x:v>Alternative Eingabegeräte; Augensteuerung; Kopf-/Joysticksteuerung; Umfeld-/Rollstuhlsteuerung; Kommunikation</x:v>
      </x:c>
      <x:c r="K39" s="45" t="str">
        <x:v>Ja</x:v>
      </x:c>
      <x:c r="L39" s="45" t="str">
        <x:v>Ja</x:v>
      </x:c>
      <x:c r="M39" s="45" t="str">
        <x:v>Ja</x:v>
      </x:c>
      <x:c r="N39" s="45" t="str">
        <x:v>Ja</x:v>
      </x:c>
      <x:c r="O39" s="45" t="str">
        <x:v>teilweise/projektbezogen</x:v>
      </x:c>
      <x:c r="P39" s="45" t="str">
        <x:v>Kostenträgerbezug naheliegend; im Einzelfall prüfen</x:v>
      </x:c>
      <x:c r="Q39" s="45" t="str">
        <x:v>A+ für motorische Einschränkungen und komplexe alternative Ansteuerung; mit Meier &amp; Schütte verknüpfen.</x:v>
      </x:c>
      <x:c r="R39" s="45" t="str">
        <x:v>Weinsheimer Straße 57a</x:v>
      </x:c>
      <x:c r="S39" s="45" t="str">
        <x:v>67547</x:v>
      </x:c>
      <x:c r="T39" s="45" t="str">
        <x:v>Worms</x:v>
      </x:c>
      <x:c r="U39" s="45" t="str">
        <x:v>Rheinland-Pfalz</x:v>
      </x:c>
      <x:c r="V39" s="45" t="str">
        <x:v>Deutschland</x:v>
      </x:c>
      <x:c r="W39" s="45" t="str">
        <x:v>+49 6241 49691-0</x:v>
      </x:c>
      <x:c r="X39" s="45" t="str">
        <x:v>info@humanelektronik.gmbh</x:v>
      </x:c>
      <x:c r="Y39" s="45" t="str">
        <x:v>https://humanelektronik.de/</x:v>
      </x:c>
      <x:c r="Z39" s="82"/>
      <x:c r="AA39" s="82"/>
      <x:c r="AB39" s="45" t="str">
        <x:v>Adresse/Kontakt geprüft; numerische Hauskoordinate noch nicht separat verifiziert</x:v>
      </x:c>
      <x:c r="AC39" s="45" t="str">
        <x:v>Kartenpunkt – Adresse geprüft</x:v>
      </x:c>
      <x:c r="AD39" s="45" t="str">
        <x:v>regional + projektbezogen überregional</x:v>
      </x:c>
      <x:c r="AE39" s="45" t="str">
        <x:v>https://humanelektronik.de/</x:v>
      </x:c>
      <x:c r="AF39" s="45" t="str"/>
      <x:c r="AG39" s="45" t="str">
        <x:v>Standort verifiziert.</x:v>
      </x:c>
      <x:c r="AH39" s="83" t="str">
        <x:v>2026-08-30</x:v>
      </x:c>
      <x:c r="AI39" s="45" t="str">
        <x:f>IF(R39="","",R39&amp;", "&amp;S39&amp;" "&amp;T39&amp;", Deutschland")</x:f>
        <x:v>Weinsheimer Straße 57a, 67547 Worms, Deutschland</x:v>
      </x:c>
    </x:row>
    <x:row r="40">
      <x:c r="A40" s="45" t="str">
        <x:v>T-036</x:v>
      </x:c>
      <x:c r="B40" s="45" t="str">
        <x:v>T-036</x:v>
      </x:c>
      <x:c r="C40" s="45" t="str">
        <x:v>Meier &amp; Schütte GmbH &amp; Co. KG</x:v>
      </x:c>
      <x:c r="D40" s="45" t="str">
        <x:v>Aufnehmen</x:v>
      </x:c>
      <x:c r="E40" s="45" t="str">
        <x:v>A+</x:v>
      </x:c>
      <x:c r="F40" s="45" t="str">
        <x:v>Technischer Umsetzer / Arbeitsplatztechnologie</x:v>
      </x:c>
      <x:c r="G40" s="45" t="str">
        <x:v>Metall; Automotive; Maschinenbau; Holz; Büro/IT; Montage/Produktion</x:v>
      </x:c>
      <x:c r="H40" s="45" t="str">
        <x:v>Arm/Hand; Greifdefizit; reduzierte Kraft; motorische Einschränkung</x:v>
      </x:c>
      <x:c r="I40" s="45" t="str">
        <x:v>Eingabe/Bedienung; Arbeitsplatztechnologie; individuelle Sonderlösung</x:v>
      </x:c>
      <x:c r="J40" s="45" t="str">
        <x:v>Behindertengerechter Arbeitsplatz; Einhand-/Sondertastatur; alternative Maus; Spracherkennung; Sonderlösung</x:v>
      </x:c>
      <x:c r="K40" s="45" t="str">
        <x:v>Ja</x:v>
      </x:c>
      <x:c r="L40" s="45" t="str">
        <x:v>Ja</x:v>
      </x:c>
      <x:c r="M40" s="45" t="str">
        <x:v>Ja</x:v>
      </x:c>
      <x:c r="N40" s="45" t="str">
        <x:v>Ja</x:v>
      </x:c>
      <x:c r="O40" s="45" t="str">
        <x:v>teilweise/projektbezogen</x:v>
      </x:c>
      <x:c r="P40" s="45" t="str">
        <x:v>Kostenträgerbezug naheliegend; im Einzelfall prüfen</x:v>
      </x:c>
      <x:c r="Q40" s="45" t="str">
        <x:v>Sehr hoher Reha-Nutzen; Arbeitsplatztechnologie und individuelle Anpassung im Vordergrund.</x:v>
      </x:c>
      <x:c r="R40" s="45" t="str">
        <x:v>Weinsheimer Straße 57a</x:v>
      </x:c>
      <x:c r="S40" s="45" t="str">
        <x:v>67547</x:v>
      </x:c>
      <x:c r="T40" s="45" t="str">
        <x:v>Worms</x:v>
      </x:c>
      <x:c r="U40" s="45" t="str">
        <x:v>Rheinland-Pfalz</x:v>
      </x:c>
      <x:c r="V40" s="45" t="str">
        <x:v>Deutschland</x:v>
      </x:c>
      <x:c r="W40" s="45" t="str">
        <x:v>+49 6241 4969160</x:v>
      </x:c>
      <x:c r="X40" s="45" t="str">
        <x:v>office@meier-schuette.de</x:v>
      </x:c>
      <x:c r="Y40" s="45" t="str">
        <x:v>https://www.meier-schuette.de/</x:v>
      </x:c>
      <x:c r="Z40" s="82"/>
      <x:c r="AA40" s="82"/>
      <x:c r="AB40" s="45" t="str">
        <x:v>Adresse/Kontakt geprüft; numerische Hauskoordinate noch nicht separat verifiziert</x:v>
      </x:c>
      <x:c r="AC40" s="45" t="str">
        <x:v>Kartenpunkt – Adresse geprüft</x:v>
      </x:c>
      <x:c r="AD40" s="45" t="str">
        <x:v>regional + projektbezogen überregional</x:v>
      </x:c>
      <x:c r="AE40" s="45" t="str">
        <x:v>https://www.meier-schuette.de/</x:v>
      </x:c>
      <x:c r="AF40" s="45" t="str"/>
      <x:c r="AG40" s="45" t="str">
        <x:v>Standort verifiziert; gleicher Gebäudestandort wie Humanelektronik möglich.</x:v>
      </x:c>
      <x:c r="AH40" s="83" t="str">
        <x:v>2026-08-30</x:v>
      </x:c>
      <x:c r="AI40" s="45" t="str">
        <x:f>IF(R40="","",R40&amp;", "&amp;S40&amp;" "&amp;T40&amp;", Deutschland")</x:f>
        <x:v>Weinsheimer Straße 57a, 67547 Worms, Deutschland</x:v>
      </x:c>
    </x:row>
    <x:row r="41">
      <x:c r="A41" s="45" t="str">
        <x:v>T-037</x:v>
      </x:c>
      <x:c r="B41" s="45" t="str">
        <x:v>T-037</x:v>
      </x:c>
      <x:c r="C41" s="45" t="str">
        <x:v>Reinecker Vision GmbH</x:v>
      </x:c>
      <x:c r="D41" s="45" t="str">
        <x:v>Aufnehmen</x:v>
      </x:c>
      <x:c r="E41" s="45" t="str">
        <x:v>A+</x:v>
      </x:c>
      <x:c r="F41" s="45" t="str">
        <x:v>Technischer Umsetzer / Sehen &amp; Blindheit</x:v>
      </x:c>
      <x:c r="G41" s="45" t="str">
        <x:v>alle Branchen mit Bildschirm-/Informationsarbeit</x:v>
      </x:c>
      <x:c r="H41" s="45" t="str">
        <x:v>Sehen/Blindheit</x:v>
      </x:c>
      <x:c r="I41" s="45" t="str">
        <x:v>Bildschirminformation nicht lesbar; visuelle Arbeitsinformationen; IT-Arbeitsplatz</x:v>
      </x:c>
      <x:c r="J41" s="45" t="str">
        <x:v>Bildschirmlesesystem; Vergrößerung; Vorlesetechnik; Braille; Screenreader; Beleuchtung</x:v>
      </x:c>
      <x:c r="K41" s="45" t="str">
        <x:v>Ja</x:v>
      </x:c>
      <x:c r="L41" s="45" t="str">
        <x:v>teilweise</x:v>
      </x:c>
      <x:c r="M41" s="45" t="str">
        <x:v>Ja</x:v>
      </x:c>
      <x:c r="N41" s="45" t="str">
        <x:v>Ja</x:v>
      </x:c>
      <x:c r="O41" s="45" t="str">
        <x:v>nein</x:v>
      </x:c>
      <x:c r="P41" s="45" t="str">
        <x:v>Kostenträger-/Beratungsbezug belegt</x:v>
      </x:c>
      <x:c r="Q41" s="45" t="str">
        <x:v>Fachberater für Schule und Beruf; Beratung idealerweise direkt am Arbeitsplatz.</x:v>
      </x:c>
      <x:c r="R41" s="45" t="str">
        <x:v>Sandwiesenstraße 19</x:v>
      </x:c>
      <x:c r="S41" s="45" t="str">
        <x:v>64665</x:v>
      </x:c>
      <x:c r="T41" s="45" t="str">
        <x:v>Alsbach-Hähnlein</x:v>
      </x:c>
      <x:c r="U41" s="45" t="str">
        <x:v>Hessen</x:v>
      </x:c>
      <x:c r="V41" s="45" t="str">
        <x:v>Deutschland</x:v>
      </x:c>
      <x:c r="W41" s="45" t="str">
        <x:v>+49 6257 9311-0</x:v>
      </x:c>
      <x:c r="X41" s="45" t="str">
        <x:v>info@reineckervision.de</x:v>
      </x:c>
      <x:c r="Y41" s="45" t="str">
        <x:v>https://www.reineckervision.de/de/versorgung/versorgung-in-schule-und-beruf/</x:v>
      </x:c>
      <x:c r="Z41" s="82"/>
      <x:c r="AA41" s="82"/>
      <x:c r="AB41" s="45" t="str">
        <x:v>Adresse/Kontakt geprüft; numerische Hauskoordinate noch nicht separat verifiziert</x:v>
      </x:c>
      <x:c r="AC41" s="45" t="str">
        <x:v>Kartenpunkt – Adresse geprüft</x:v>
      </x:c>
      <x:c r="AD41" s="45" t="str">
        <x:v>regional + projektbezogen überregional</x:v>
      </x:c>
      <x:c r="AE41" s="45" t="str">
        <x:v>https://www.reineckervision.de/</x:v>
      </x:c>
      <x:c r="AF41" s="45" t="str"/>
      <x:c r="AG41" s="45" t="str">
        <x:v>Hauptsitz als Kartenpunkt; Servicecenter Erlenweg 3+5 ggf. später als Zusatzstandort.</x:v>
      </x:c>
      <x:c r="AH41" s="83" t="str">
        <x:v>2026-08-30</x:v>
      </x:c>
      <x:c r="AI41" s="45" t="str">
        <x:f>IF(R41="","",R41&amp;", "&amp;S41&amp;" "&amp;T41&amp;", Deutschland")</x:f>
        <x:v>Sandwiesenstraße 19, 64665 Alsbach-Hähnlein, Deutschland</x:v>
      </x:c>
    </x:row>
    <x:row r="42">
      <x:c r="A42" s="45" t="str">
        <x:v>T-038</x:v>
      </x:c>
      <x:c r="B42" s="45" t="str">
        <x:v>T-038</x:v>
      </x:c>
      <x:c r="C42" s="45" t="str">
        <x:v>HUMANTECHNIK GmbH</x:v>
      </x:c>
      <x:c r="D42" s="45" t="str">
        <x:v>Aufnehmen</x:v>
      </x:c>
      <x:c r="E42" s="45" t="str">
        <x:v>A</x:v>
      </x:c>
      <x:c r="F42" s="45" t="str">
        <x:v>Technischer Umsetzer / Hören &amp; Kommunikation</x:v>
      </x:c>
      <x:c r="G42" s="45" t="str">
        <x:v>alle Branchen</x:v>
      </x:c>
      <x:c r="H42" s="45" t="str">
        <x:v>Hören/Kommunikation</x:v>
      </x:c>
      <x:c r="I42" s="45" t="str">
        <x:v>Akustische Warnung/Kommunikation nicht ausreichend wahrnehmbar</x:v>
      </x:c>
      <x:c r="J42" s="45" t="str">
        <x:v>Lichtsignal; Vibrationssignal; Telefon-/Audioübertragung; Hörassistenz</x:v>
      </x:c>
      <x:c r="K42" s="45" t="str">
        <x:v>Ja</x:v>
      </x:c>
      <x:c r="L42" s="45" t="str">
        <x:v>teilweise</x:v>
      </x:c>
      <x:c r="M42" s="45" t="str">
        <x:v>Ja</x:v>
      </x:c>
      <x:c r="N42" s="45" t="str">
        <x:v>teilweise</x:v>
      </x:c>
      <x:c r="O42" s="45" t="str">
        <x:v>nein</x:v>
      </x:c>
      <x:c r="P42" s="45" t="str">
        <x:v>nicht spezifisch belegt</x:v>
      </x:c>
      <x:c r="Q42" s="45" t="str">
        <x:v>Mit IFD/Hörfachberatung verknüpfen; sinnvoll für Zwei-Sinne-Prinzip und Kommunikationshilfen.</x:v>
      </x:c>
      <x:c r="R42" s="45" t="str">
        <x:v>Im Wörth 25</x:v>
      </x:c>
      <x:c r="S42" s="45" t="str">
        <x:v>79576</x:v>
      </x:c>
      <x:c r="T42" s="45" t="str">
        <x:v>Weil am Rhein</x:v>
      </x:c>
      <x:c r="U42" s="45" t="str">
        <x:v>Baden-Württemberg</x:v>
      </x:c>
      <x:c r="V42" s="45" t="str">
        <x:v>Deutschland</x:v>
      </x:c>
      <x:c r="W42" s="45" t="str">
        <x:v>+49 7621 95689-0</x:v>
      </x:c>
      <x:c r="X42" s="45" t="str">
        <x:v>info@humantechnik.com</x:v>
      </x:c>
      <x:c r="Y42" s="45" t="str">
        <x:v>https://www.humantechnik.com/</x:v>
      </x:c>
      <x:c r="Z42" s="82"/>
      <x:c r="AA42" s="82"/>
      <x:c r="AB42" s="45" t="str">
        <x:v>Adresse/Kontakt geprüft; numerische Hauskoordinate noch nicht separat verifiziert</x:v>
      </x:c>
      <x:c r="AC42" s="45" t="str">
        <x:v>Kartenpunkt – Adresse geprüft</x:v>
      </x:c>
      <x:c r="AD42" s="45" t="str">
        <x:v>regional + projektbezogen überregional</x:v>
      </x:c>
      <x:c r="AE42" s="45" t="str">
        <x:v>https://www.humantechnik.com/</x:v>
      </x:c>
      <x:c r="AF42" s="45" t="str"/>
      <x:c r="AG42" s="45" t="str">
        <x:v>Standort verifiziert.</x:v>
      </x:c>
      <x:c r="AH42" s="83" t="str">
        <x:v>2026-08-30</x:v>
      </x:c>
      <x:c r="AI42" s="45" t="str">
        <x:f>IF(R42="","",R42&amp;", "&amp;S42&amp;" "&amp;T42&amp;", Deutschland")</x:f>
        <x:v>Im Wörth 25, 79576 Weil am Rhein, Deutschland</x:v>
      </x:c>
    </x:row>
    <x:row r="43">
      <x:c r="A43" s="45" t="str">
        <x:v>T-039</x:v>
      </x:c>
      <x:c r="B43" s="45" t="str">
        <x:v>T-039</x:v>
      </x:c>
      <x:c r="C43" s="45" t="str">
        <x:v>F.H. Papenmeier GmbH &amp; Co. KG</x:v>
      </x:c>
      <x:c r="D43" s="45" t="str">
        <x:v>Aufnehmen</x:v>
      </x:c>
      <x:c r="E43" s="45" t="str">
        <x:v>A</x:v>
      </x:c>
      <x:c r="F43" s="45" t="str">
        <x:v>Technischer Umsetzer / Sehen &amp; Blindheit</x:v>
      </x:c>
      <x:c r="G43" s="45" t="str">
        <x:v>alle Branchen mit IT-/Informationsarbeit</x:v>
      </x:c>
      <x:c r="H43" s="45" t="str">
        <x:v>Sehen/Blindheit</x:v>
      </x:c>
      <x:c r="I43" s="45" t="str">
        <x:v>IT-/Informationszugang; visuelle Arbeitsinformationen</x:v>
      </x:c>
      <x:c r="J43" s="45" t="str">
        <x:v>Braille; Screenreader; Arbeitsplatzanalyse; Softwareanpassung; Schulung</x:v>
      </x:c>
      <x:c r="K43" s="45" t="str">
        <x:v>Ja</x:v>
      </x:c>
      <x:c r="L43" s="45" t="str">
        <x:v>Ja</x:v>
      </x:c>
      <x:c r="M43" s="45" t="str">
        <x:v>Ja</x:v>
      </x:c>
      <x:c r="N43" s="45" t="str">
        <x:v>Ja</x:v>
      </x:c>
      <x:c r="O43" s="45" t="str">
        <x:v>nein</x:v>
      </x:c>
      <x:c r="P43" s="45" t="str">
        <x:v>Kostenträgerabstimmung Bestandteil</x:v>
      </x:c>
      <x:c r="Q43" s="45" t="str">
        <x:v>Überregionaler Spezialanbieter; bei komplexen Blindenarbeitsplätzen relevant.</x:v>
      </x:c>
      <x:c r="R43" s="45" t="str">
        <x:v>Talweg 2</x:v>
      </x:c>
      <x:c r="S43" s="45" t="str">
        <x:v>58239</x:v>
      </x:c>
      <x:c r="T43" s="45" t="str">
        <x:v>Schwerte</x:v>
      </x:c>
      <x:c r="U43" s="45" t="str">
        <x:v>Nordrhein-Westfalen</x:v>
      </x:c>
      <x:c r="V43" s="45" t="str">
        <x:v>Deutschland</x:v>
      </x:c>
      <x:c r="W43" s="45" t="str">
        <x:v>+49 2304 205-0</x:v>
      </x:c>
      <x:c r="X43" s="45" t="str">
        <x:v>info@papenmeier.de</x:v>
      </x:c>
      <x:c r="Y43" s="45" t="str">
        <x:v>https://www.papenmeier-rehatechnik.de/</x:v>
      </x:c>
      <x:c r="Z43" s="82"/>
      <x:c r="AA43" s="82"/>
      <x:c r="AB43" s="45" t="str">
        <x:v>Adresse/Kontakt geprüft; numerische Hauskoordinate noch nicht separat verifiziert</x:v>
      </x:c>
      <x:c r="AC43" s="45" t="str">
        <x:v>Kartenpunkt – Adresse geprüft</x:v>
      </x:c>
      <x:c r="AD43" s="45" t="str">
        <x:v>überregional / bundesweit projektbezogen</x:v>
      </x:c>
      <x:c r="AE43" s="45" t="str">
        <x:v>https://www.papenmeier-rehatechnik.de/</x:v>
      </x:c>
      <x:c r="AF43" s="45" t="str"/>
      <x:c r="AG43" s="45" t="str">
        <x:v>Unternehmensstandort verifiziert; Rehatechnik überregional.</x:v>
      </x:c>
      <x:c r="AH43" s="83" t="str">
        <x:v>2026-08-30</x:v>
      </x:c>
      <x:c r="AI43" s="45" t="str">
        <x:f>IF(R43="","",R43&amp;", "&amp;S43&amp;" "&amp;T43&amp;", Deutschland")</x:f>
        <x:v>Talweg 2, 58239 Schwerte, Deutschland</x:v>
      </x:c>
    </x:row>
    <x:row r="44">
      <x:c r="A44" s="45" t="str">
        <x:v>T-040</x:v>
      </x:c>
      <x:c r="B44" s="45" t="str">
        <x:v>T-040</x:v>
      </x:c>
      <x:c r="C44" s="45" t="str">
        <x:v>Or BIT EDV – Technik für Menschen</x:v>
      </x:c>
      <x:c r="D44" s="45" t="str">
        <x:v>Aufnehmen</x:v>
      </x:c>
      <x:c r="E44" s="45" t="str">
        <x:v>A+</x:v>
      </x:c>
      <x:c r="F44" s="45" t="str">
        <x:v>Technischer Arbeitsplatzberater &amp; Umsetzer</x:v>
      </x:c>
      <x:c r="G44" s="45" t="str">
        <x:v>alle Branchen mit IT-/Bedienarbeitsplätzen</x:v>
      </x:c>
      <x:c r="H44" s="45" t="str">
        <x:v>Arm/Hand; Sehen/Blindheit; Hören; reduzierte Kraft; motorische Einschränkung</x:v>
      </x:c>
      <x:c r="I44" s="45" t="str">
        <x:v>Alternative Eingabe; IT-Arbeitsplatz; individuelle technische Einschränkung</x:v>
      </x:c>
      <x:c r="J44" s="45" t="str">
        <x:v>Arbeitsplatzanalyse; Hilfsmittelerprobung; alternative Eingabe; Blindentechnik; Ergonomie; Sonderlösung</x:v>
      </x:c>
      <x:c r="K44" s="45" t="str">
        <x:v>Ja</x:v>
      </x:c>
      <x:c r="L44" s="45" t="str">
        <x:v>Ja</x:v>
      </x:c>
      <x:c r="M44" s="45" t="str">
        <x:v>Ja</x:v>
      </x:c>
      <x:c r="N44" s="45" t="str">
        <x:v>Ja</x:v>
      </x:c>
      <x:c r="O44" s="45" t="str">
        <x:v>teilweise/projektbezogen</x:v>
      </x:c>
      <x:c r="P44" s="45" t="str">
        <x:v>BG/UV/DRV/Integrationsamt ausdrücklich relevant</x:v>
      </x:c>
      <x:c r="Q44" s="45" t="str">
        <x:v>Sehr starker überregionaler Reha-Spezialist; Herstellerunabhängigkeit und Kostenträgererfahrung.</x:v>
      </x:c>
      <x:c r="R44" s="45" t="str">
        <x:v>Alte Hauptstraße 9</x:v>
      </x:c>
      <x:c r="S44" s="45" t="str">
        <x:v>28844</x:v>
      </x:c>
      <x:c r="T44" s="45" t="str">
        <x:v>Weyhe</x:v>
      </x:c>
      <x:c r="U44" s="45" t="str">
        <x:v>Niedersachsen</x:v>
      </x:c>
      <x:c r="V44" s="45" t="str">
        <x:v>Deutschland</x:v>
      </x:c>
      <x:c r="W44" s="45" t="str">
        <x:v>+49 4203 810881</x:v>
      </x:c>
      <x:c r="X44" s="45" t="str">
        <x:v>post@orbit-edv.de</x:v>
      </x:c>
      <x:c r="Y44" s="45" t="str">
        <x:v>https://www.orbit-edv.de/</x:v>
      </x:c>
      <x:c r="Z44" s="82"/>
      <x:c r="AA44" s="82"/>
      <x:c r="AB44" s="45" t="str">
        <x:v>Adresse/Kontakt geprüft; numerische Hauskoordinate noch nicht separat verifiziert</x:v>
      </x:c>
      <x:c r="AC44" s="45" t="str">
        <x:v>Kartenpunkt – Adresse geprüft</x:v>
      </x:c>
      <x:c r="AD44" s="45" t="str">
        <x:v>überregional / bundesweit projektbezogen</x:v>
      </x:c>
      <x:c r="AE44" s="45" t="str">
        <x:v>https://www.orbit-edv.de/</x:v>
      </x:c>
      <x:c r="AF44" s="45" t="str"/>
      <x:c r="AG44" s="45" t="str">
        <x:v>Standort verifiziert; überregional.</x:v>
      </x:c>
      <x:c r="AH44" s="83" t="str">
        <x:v>2026-08-30</x:v>
      </x:c>
      <x:c r="AI44" s="45" t="str">
        <x:f>IF(R44="","",R44&amp;", "&amp;S44&amp;" "&amp;T44&amp;", Deutschland")</x:f>
        <x:v>Alte Hauptstraße 9, 28844 Weyhe, Deutschland</x:v>
      </x:c>
    </x:row>
    <x:row r="45">
      <x:c r="A45" s="45" t="str">
        <x:v>T-041</x:v>
      </x:c>
      <x:c r="B45" s="45" t="str">
        <x:v>T-041</x:v>
      </x:c>
      <x:c r="C45" s="45" t="str">
        <x:v>Berufsförderungswerk Würzburg</x:v>
      </x:c>
      <x:c r="D45" s="45" t="str">
        <x:v>Aufnehmen</x:v>
      </x:c>
      <x:c r="E45" s="45" t="str">
        <x:v>A+</x:v>
      </x:c>
      <x:c r="F45" s="45" t="str">
        <x:v>Technischer Arbeitsplatzberater / RehaAssessment</x:v>
      </x:c>
      <x:c r="G45" s="45" t="str">
        <x:v>Metall; Automotive; Maschinenbau; Holz; Montage/Produktion; Büro</x:v>
      </x:c>
      <x:c r="H45" s="45" t="str">
        <x:v>alle – funktionsbezogene Arbeitsplatzanalyse</x:v>
      </x:c>
      <x:c r="I45" s="45" t="str">
        <x:v>Unklarer Hilfsmittelbedarf; unklare Belastbarkeit; Arbeitsplatzpassung</x:v>
      </x:c>
      <x:c r="J45" s="45" t="str">
        <x:v>Arbeitsplatzanalyse; RehaAssessment; Hilfsmittelbedarf; Belastungserprobung; Arbeitgeberberatung</x:v>
      </x:c>
      <x:c r="K45" s="45" t="str">
        <x:v>Ja</x:v>
      </x:c>
      <x:c r="L45" s="45" t="str">
        <x:v>nein</x:v>
      </x:c>
      <x:c r="M45" s="45" t="str">
        <x:v>nein</x:v>
      </x:c>
      <x:c r="N45" s="45" t="str">
        <x:v>nein</x:v>
      </x:c>
      <x:c r="O45" s="45" t="str">
        <x:v>nein</x:v>
      </x:c>
      <x:c r="P45" s="45" t="str">
        <x:v>Reha-/Kostenträgerbezug eindeutig</x:v>
      </x:c>
      <x:c r="Q45" s="45" t="str">
        <x:v>Ideal vorgelagert: Was muss an diesem Arbeitsplatz technisch verändert werden?</x:v>
      </x:c>
      <x:c r="R45" s="45" t="str">
        <x:v>Helen-Keller-Straße 5</x:v>
      </x:c>
      <x:c r="S45" s="45" t="str">
        <x:v>97209</x:v>
      </x:c>
      <x:c r="T45" s="45" t="str">
        <x:v>Veitshöchheim</x:v>
      </x:c>
      <x:c r="U45" s="45" t="str">
        <x:v>Bayern</x:v>
      </x:c>
      <x:c r="V45" s="45" t="str">
        <x:v>Deutschland</x:v>
      </x:c>
      <x:c r="W45" s="45" t="str">
        <x:v>+49 931 9001-0</x:v>
      </x:c>
      <x:c r="X45" s="45" t="str">
        <x:v>info@bfw-wuerzburg.de</x:v>
      </x:c>
      <x:c r="Y45" s="45" t="str">
        <x:v>https://www.bfw-wuerzburg.de/</x:v>
      </x:c>
      <x:c r="Z45" s="82"/>
      <x:c r="AA45" s="82"/>
      <x:c r="AB45" s="45" t="str">
        <x:v>Adresse/Kontakt geprüft; numerische Hauskoordinate noch nicht separat verifiziert</x:v>
      </x:c>
      <x:c r="AC45" s="45" t="str">
        <x:v>Kartenpunkt – Adresse geprüft</x:v>
      </x:c>
      <x:c r="AD45" s="45" t="str">
        <x:v>überregional / bundesweit projektbezogen</x:v>
      </x:c>
      <x:c r="AE45" s="45" t="str">
        <x:v>https://www.bfw-wuerzburg.de/</x:v>
      </x:c>
      <x:c r="AF45" s="45" t="str"/>
      <x:c r="AG45" s="45" t="str">
        <x:v>Standort verifiziert.</x:v>
      </x:c>
      <x:c r="AH45" s="83" t="str">
        <x:v>2026-08-30</x:v>
      </x:c>
      <x:c r="AI45" s="45" t="str">
        <x:f>IF(R45="","",R45&amp;", "&amp;S45&amp;" "&amp;T45&amp;", Deutschland")</x:f>
        <x:v>Helen-Keller-Straße 5, 97209 Veitshöchheim, Deutschland</x:v>
      </x:c>
    </x:row>
    <x:row r="46">
      <x:c r="A46" s="45" t="str">
        <x:v>T-042</x:v>
      </x:c>
      <x:c r="B46" s="45" t="str">
        <x:v>T-042-KA</x:v>
      </x:c>
      <x:c r="C46" s="45" t="str">
        <x:v>KVJS – Technischer Beratungsdienst Integrationsamt</x:v>
      </x:c>
      <x:c r="D46" s="45" t="str">
        <x:v>Aufnehmen</x:v>
      </x:c>
      <x:c r="E46" s="45" t="str">
        <x:v>A+</x:v>
      </x:c>
      <x:c r="F46" s="45" t="str">
        <x:v>Öffentlicher Technischer Fachdienst</x:v>
      </x:c>
      <x:c r="G46" s="45" t="str">
        <x:v>alle Branchen</x:v>
      </x:c>
      <x:c r="H46" s="45" t="str">
        <x:v>alle – behinderungsbezogene Arbeitsplatzgestaltung</x:v>
      </x:c>
      <x:c r="I46" s="45" t="str">
        <x:v>Arbeitsplatzgestaltung; technische Arbeitshilfe; Förder-/Umsetzungsklärung</x:v>
      </x:c>
      <x:c r="J46" s="45" t="str">
        <x:v>Technische Beratung; Arbeitsplatzanalyse; Arbeitshilfe; Fahrzeug-/Wohnraumbezug; Förderberatung</x:v>
      </x:c>
      <x:c r="K46" s="45" t="str">
        <x:v>Ja</x:v>
      </x:c>
      <x:c r="L46" s="45" t="str">
        <x:v>teilweise</x:v>
      </x:c>
      <x:c r="M46" s="45" t="str">
        <x:v>nein</x:v>
      </x:c>
      <x:c r="N46" s="45" t="str">
        <x:v>nein</x:v>
      </x:c>
      <x:c r="O46" s="45" t="str">
        <x:v>teilweise</x:v>
      </x:c>
      <x:c r="P46" s="45" t="str">
        <x:v>öffentlicher Kostenträger-/Integrationsbezug</x:v>
      </x:c>
      <x:c r="Q46" s="45" t="str">
        <x:v>Als Beratungs-/Fachdienst führen, nicht als ausführenden Anbieter.</x:v>
      </x:c>
      <x:c r="R46" s="45" t="str">
        <x:v>Erzbergerstraße 119</x:v>
      </x:c>
      <x:c r="S46" s="45" t="str">
        <x:v>76133</x:v>
      </x:c>
      <x:c r="T46" s="45" t="str">
        <x:v>Karlsruhe</x:v>
      </x:c>
      <x:c r="U46" s="45" t="str">
        <x:v>Baden-Württemberg</x:v>
      </x:c>
      <x:c r="V46" s="45" t="str">
        <x:v>Deutschland</x:v>
      </x:c>
      <x:c r="W46" s="45" t="str">
        <x:v>+49 721 8107-0</x:v>
      </x:c>
      <x:c r="X46" s="45" t="str"/>
      <x:c r="Y46" s="45" t="str">
        <x:v>https://www.kvjs.de/behinderung-und-beruf/technischer-beratungsdienst</x:v>
      </x:c>
      <x:c r="Z46" s="82"/>
      <x:c r="AA46" s="82"/>
      <x:c r="AB46" s="45" t="str">
        <x:v>Adresse/Kontakt geprüft; numerische Hauskoordinate noch nicht separat verifiziert</x:v>
      </x:c>
      <x:c r="AC46" s="45" t="str">
        <x:v>Kartenpunkt – verifizierter Teilstandort</x:v>
      </x:c>
      <x:c r="AD46" s="45" t="str">
        <x:v>Baden-Württemberg</x:v>
      </x:c>
      <x:c r="AE46" s="45" t="str">
        <x:v>https://www.kvjs.de/behinderung-und-beruf/technischer-beratungsdienst</x:v>
      </x:c>
      <x:c r="AF46" s="45" t="str"/>
      <x:c r="AG46" s="45" t="str">
        <x:v>KVJS-Standort Karlsruhe.</x:v>
      </x:c>
      <x:c r="AH46" s="83" t="str">
        <x:v>2026-08-30</x:v>
      </x:c>
      <x:c r="AI46" s="45" t="str">
        <x:f>IF(R46="","",R46&amp;", "&amp;S46&amp;" "&amp;T46&amp;", Deutschland")</x:f>
        <x:v>Erzbergerstraße 119, 76133 Karlsruhe, Deutschland</x:v>
      </x:c>
    </x:row>
    <x:row r="47">
      <x:c r="A47" s="45" t="str">
        <x:v>T-042</x:v>
      </x:c>
      <x:c r="B47" s="45" t="str">
        <x:v>T-042-ST</x:v>
      </x:c>
      <x:c r="C47" s="45" t="str">
        <x:v>KVJS – Technischer Beratungsdienst Integrationsamt</x:v>
      </x:c>
      <x:c r="D47" s="45" t="str">
        <x:v>Aufnehmen</x:v>
      </x:c>
      <x:c r="E47" s="45" t="str">
        <x:v>A+</x:v>
      </x:c>
      <x:c r="F47" s="45" t="str">
        <x:v>Öffentlicher Technischer Fachdienst</x:v>
      </x:c>
      <x:c r="G47" s="45" t="str">
        <x:v>alle Branchen</x:v>
      </x:c>
      <x:c r="H47" s="45" t="str">
        <x:v>alle – behinderungsbezogene Arbeitsplatzgestaltung</x:v>
      </x:c>
      <x:c r="I47" s="45" t="str">
        <x:v>Arbeitsplatzgestaltung; technische Arbeitshilfe; Förder-/Umsetzungsklärung</x:v>
      </x:c>
      <x:c r="J47" s="45" t="str">
        <x:v>Technische Beratung; Arbeitsplatzanalyse; Arbeitshilfe; Fahrzeug-/Wohnraumbezug; Förderberatung</x:v>
      </x:c>
      <x:c r="K47" s="45" t="str">
        <x:v>Ja</x:v>
      </x:c>
      <x:c r="L47" s="45" t="str">
        <x:v>teilweise</x:v>
      </x:c>
      <x:c r="M47" s="45" t="str">
        <x:v>nein</x:v>
      </x:c>
      <x:c r="N47" s="45" t="str">
        <x:v>nein</x:v>
      </x:c>
      <x:c r="O47" s="45" t="str">
        <x:v>teilweise</x:v>
      </x:c>
      <x:c r="P47" s="45" t="str">
        <x:v>öffentlicher Kostenträger-/Integrationsbezug</x:v>
      </x:c>
      <x:c r="Q47" s="45" t="str">
        <x:v>Als Beratungs-/Fachdienst führen, nicht als ausführenden Anbieter.</x:v>
      </x:c>
      <x:c r="R47" s="45" t="str">
        <x:v>Lindenspürstraße 39</x:v>
      </x:c>
      <x:c r="S47" s="45" t="str">
        <x:v>70176</x:v>
      </x:c>
      <x:c r="T47" s="45" t="str">
        <x:v>Stuttgart</x:v>
      </x:c>
      <x:c r="U47" s="45" t="str">
        <x:v>Baden-Württemberg</x:v>
      </x:c>
      <x:c r="V47" s="45" t="str">
        <x:v>Deutschland</x:v>
      </x:c>
      <x:c r="W47" s="45" t="str">
        <x:v>+49 711 6375-0</x:v>
      </x:c>
      <x:c r="X47" s="45" t="str"/>
      <x:c r="Y47" s="45" t="str">
        <x:v>https://www.kvjs.de/behinderung-und-beruf/technischer-beratungsdienst</x:v>
      </x:c>
      <x:c r="Z47" s="82"/>
      <x:c r="AA47" s="82"/>
      <x:c r="AB47" s="45" t="str">
        <x:v>Adresse/Kontakt geprüft; numerische Hauskoordinate noch nicht separat verifiziert</x:v>
      </x:c>
      <x:c r="AC47" s="45" t="str">
        <x:v>Kartenpunkt – verifizierter Teilstandort</x:v>
      </x:c>
      <x:c r="AD47" s="45" t="str">
        <x:v>Baden-Württemberg</x:v>
      </x:c>
      <x:c r="AE47" s="45" t="str">
        <x:v>https://www.kvjs.de/behinderung-und-beruf/technischer-beratungsdienst</x:v>
      </x:c>
      <x:c r="AF47" s="45" t="str"/>
      <x:c r="AG47" s="45" t="str">
        <x:v>KVJS-Standort Stuttgart.</x:v>
      </x:c>
      <x:c r="AH47" s="83" t="str">
        <x:v>2026-08-30</x:v>
      </x:c>
      <x:c r="AI47" s="45" t="str">
        <x:f>IF(R47="","",R47&amp;", "&amp;S47&amp;" "&amp;T47&amp;", Deutschland")</x:f>
        <x:v>Lindenspürstraße 39, 70176 Stuttgart, Deutschland</x:v>
      </x:c>
    </x:row>
    <x:row r="48">
      <x:c r="A48" s="45" t="str">
        <x:v>T-042</x:v>
      </x:c>
      <x:c r="B48" s="45" t="str">
        <x:v>T-042-FR</x:v>
      </x:c>
      <x:c r="C48" s="45" t="str">
        <x:v>KVJS – Technischer Beratungsdienst Integrationsamt</x:v>
      </x:c>
      <x:c r="D48" s="45" t="str">
        <x:v>Aufnehmen</x:v>
      </x:c>
      <x:c r="E48" s="45" t="str">
        <x:v>A+</x:v>
      </x:c>
      <x:c r="F48" s="45" t="str">
        <x:v>Öffentlicher Technischer Fachdienst</x:v>
      </x:c>
      <x:c r="G48" s="45" t="str">
        <x:v>alle Branchen</x:v>
      </x:c>
      <x:c r="H48" s="45" t="str">
        <x:v>alle – behinderungsbezogene Arbeitsplatzgestaltung</x:v>
      </x:c>
      <x:c r="I48" s="45" t="str">
        <x:v>Arbeitsplatzgestaltung; technische Arbeitshilfe; Förder-/Umsetzungsklärung</x:v>
      </x:c>
      <x:c r="J48" s="45" t="str">
        <x:v>Technische Beratung; Arbeitsplatzanalyse; Arbeitshilfe; Fahrzeug-/Wohnraumbezug; Förderberatung</x:v>
      </x:c>
      <x:c r="K48" s="45" t="str">
        <x:v>Ja</x:v>
      </x:c>
      <x:c r="L48" s="45" t="str">
        <x:v>teilweise</x:v>
      </x:c>
      <x:c r="M48" s="45" t="str">
        <x:v>nein</x:v>
      </x:c>
      <x:c r="N48" s="45" t="str">
        <x:v>nein</x:v>
      </x:c>
      <x:c r="O48" s="45" t="str">
        <x:v>teilweise</x:v>
      </x:c>
      <x:c r="P48" s="45" t="str">
        <x:v>öffentlicher Kostenträger-/Integrationsbezug</x:v>
      </x:c>
      <x:c r="Q48" s="45" t="str">
        <x:v>Als Beratungs-/Fachdienst führen, nicht als ausführenden Anbieter.</x:v>
      </x:c>
      <x:c r="R48" s="45" t="str">
        <x:v>Kaiser-Joseph-Straße 170</x:v>
      </x:c>
      <x:c r="S48" s="45" t="str">
        <x:v>79098</x:v>
      </x:c>
      <x:c r="T48" s="45" t="str">
        <x:v>Freiburg im Breisgau</x:v>
      </x:c>
      <x:c r="U48" s="45" t="str">
        <x:v>Baden-Württemberg</x:v>
      </x:c>
      <x:c r="V48" s="45" t="str">
        <x:v>Deutschland</x:v>
      </x:c>
      <x:c r="W48" s="45" t="str">
        <x:v>+49 761 2719-0</x:v>
      </x:c>
      <x:c r="X48" s="45" t="str"/>
      <x:c r="Y48" s="45" t="str">
        <x:v>https://www.kvjs.de/behinderung-und-beruf/technischer-beratungsdienst</x:v>
      </x:c>
      <x:c r="Z48" s="82"/>
      <x:c r="AA48" s="82"/>
      <x:c r="AB48" s="45" t="str">
        <x:v>Adresse/Kontakt geprüft; numerische Hauskoordinate noch nicht separat verifiziert</x:v>
      </x:c>
      <x:c r="AC48" s="45" t="str">
        <x:v>Kartenpunkt – verifizierter Teilstandort</x:v>
      </x:c>
      <x:c r="AD48" s="45" t="str">
        <x:v>Baden-Württemberg</x:v>
      </x:c>
      <x:c r="AE48" s="45" t="str">
        <x:v>https://www.kvjs.de/behinderung-und-beruf/technischer-beratungsdienst</x:v>
      </x:c>
      <x:c r="AF48" s="45" t="str"/>
      <x:c r="AG48" s="45" t="str">
        <x:v>KVJS-Standort Freiburg.</x:v>
      </x:c>
      <x:c r="AH48" s="83" t="str">
        <x:v>2026-08-30</x:v>
      </x:c>
      <x:c r="AI48" s="45" t="str">
        <x:f>IF(R48="","",R48&amp;", "&amp;S48&amp;" "&amp;T48&amp;", Deutschland")</x:f>
        <x:v>Kaiser-Joseph-Straße 170, 79098 Freiburg im Breisgau, Deutschland</x:v>
      </x:c>
    </x:row>
    <x:row r="49">
      <x:c r="A49" s="45" t="str">
        <x:v>T-043</x:v>
      </x:c>
      <x:c r="B49" s="45" t="str">
        <x:v>T-043</x:v>
      </x:c>
      <x:c r="C49" s="45" t="str">
        <x:v>LSJV Rheinland-Pfalz – Technischer Beratungsdienst Integrationsamt</x:v>
      </x:c>
      <x:c r="D49" s="45" t="str">
        <x:v>Aufnehmen</x:v>
      </x:c>
      <x:c r="E49" s="45" t="str">
        <x:v>A+</x:v>
      </x:c>
      <x:c r="F49" s="45" t="str">
        <x:v>Öffentlicher Technischer Fachdienst</x:v>
      </x:c>
      <x:c r="G49" s="45" t="str">
        <x:v>alle Branchen</x:v>
      </x:c>
      <x:c r="H49" s="45" t="str">
        <x:v>alle – behinderungsbezogene Arbeitsplatzgestaltung</x:v>
      </x:c>
      <x:c r="I49" s="45" t="str">
        <x:v>Arbeitsplatzgestaltung; technische Arbeitshilfe; Förder-/Umsetzungsklärung</x:v>
      </x:c>
      <x:c r="J49" s="45" t="str">
        <x:v>Technische Beratung; Arbeitsplatzanalyse; technische Arbeitshilfe; Förderberatung</x:v>
      </x:c>
      <x:c r="K49" s="45" t="str">
        <x:v>Ja</x:v>
      </x:c>
      <x:c r="L49" s="45" t="str">
        <x:v>teilweise</x:v>
      </x:c>
      <x:c r="M49" s="45" t="str">
        <x:v>nein</x:v>
      </x:c>
      <x:c r="N49" s="45" t="str">
        <x:v>nein</x:v>
      </x:c>
      <x:c r="O49" s="45" t="str">
        <x:v>teilweise</x:v>
      </x:c>
      <x:c r="P49" s="45" t="str">
        <x:v>öffentlicher Kostenträger-/Integrationsbezug</x:v>
      </x:c>
      <x:c r="Q49" s="45" t="str">
        <x:v>Als Beratungs-/Fachdienst führen, nicht als ausführenden Anbieter.</x:v>
      </x:c>
      <x:c r="R49" s="45" t="str">
        <x:v>Rheinallee 97-101</x:v>
      </x:c>
      <x:c r="S49" s="45" t="str">
        <x:v>55118</x:v>
      </x:c>
      <x:c r="T49" s="45" t="str">
        <x:v>Mainz</x:v>
      </x:c>
      <x:c r="U49" s="45" t="str">
        <x:v>Rheinland-Pfalz</x:v>
      </x:c>
      <x:c r="V49" s="45" t="str">
        <x:v>Deutschland</x:v>
      </x:c>
      <x:c r="W49" s="45" t="str">
        <x:v>+49 6131 967-0</x:v>
      </x:c>
      <x:c r="X49" s="45" t="str">
        <x:v>integrationsamt@lsjv.rlp.de</x:v>
      </x:c>
      <x:c r="Y49" s="45" t="str">
        <x:v>https://lsjv.rlp.de/themen/inklusion/inklusion-und-beruf/begleitende-hilfen-im-arbeitsleben</x:v>
      </x:c>
      <x:c r="Z49" s="82"/>
      <x:c r="AA49" s="82"/>
      <x:c r="AB49" s="45" t="str">
        <x:v>Adresse/Kontakt geprüft; numerische Hauskoordinate noch nicht separat verifiziert</x:v>
      </x:c>
      <x:c r="AC49" s="45" t="str">
        <x:v>Kartenpunkt – Adresse geprüft</x:v>
      </x:c>
      <x:c r="AD49" s="45" t="str">
        <x:v>Rheinland-Pfalz</x:v>
      </x:c>
      <x:c r="AE49" s="45" t="str">
        <x:v>https://lsjv.rlp.de/themen/inklusion/inklusion-und-beruf/technischer-beratungsdienst</x:v>
      </x:c>
      <x:c r="AF49" s="45" t="str"/>
      <x:c r="AG49" s="45" t="str">
        <x:v>Integrationsamt/Technischer Beratungsdienst Mainz als Kartenpunkt.</x:v>
      </x:c>
      <x:c r="AH49" s="83" t="str">
        <x:v>2026-08-30</x:v>
      </x:c>
      <x:c r="AI49" s="45" t="str">
        <x:f>IF(R49="","",R49&amp;", "&amp;S49&amp;" "&amp;T49&amp;", Deutschland")</x:f>
        <x:v>Rheinallee 97-101, 55118 Mainz, Deutschland</x:v>
      </x:c>
    </x:row>
    <x:row r="50">
      <x:c r="A50" s="45" t="str">
        <x:v>T-044</x:v>
      </x:c>
      <x:c r="B50" s="45" t="str">
        <x:v>T-044</x:v>
      </x:c>
      <x:c r="C50" s="45" t="str">
        <x:v>Bundesagentur für Arbeit – Technischer Beratungsdienst</x:v>
      </x:c>
      <x:c r="D50" s="45" t="str">
        <x:v>Aufnehmen</x:v>
      </x:c>
      <x:c r="E50" s="45" t="str">
        <x:v>A+</x:v>
      </x:c>
      <x:c r="F50" s="45" t="str">
        <x:v>Öffentlicher Technischer Fachdienst</x:v>
      </x:c>
      <x:c r="G50" s="45" t="str">
        <x:v>alle Branchen</x:v>
      </x:c>
      <x:c r="H50" s="45" t="str">
        <x:v>alle – arbeitsplatzbezogene technische Einschränkungen</x:v>
      </x:c>
      <x:c r="I50" s="45" t="str">
        <x:v>Arbeitsplatzanalyse; technische Arbeitshilfe; bauliche/ergonomische Anpassung</x:v>
      </x:c>
      <x:c r="J50" s="45" t="str">
        <x:v>Technisches Gutachten; Arbeitsplatzanalyse; Hilfsmittel-/Fahrzeug-/Umbauempfehlung</x:v>
      </x:c>
      <x:c r="K50" s="45" t="str">
        <x:v>Ja</x:v>
      </x:c>
      <x:c r="L50" s="45" t="str">
        <x:v>teilweise</x:v>
      </x:c>
      <x:c r="M50" s="45" t="str">
        <x:v>nein</x:v>
      </x:c>
      <x:c r="N50" s="45" t="str">
        <x:v>nein</x:v>
      </x:c>
      <x:c r="O50" s="45" t="str">
        <x:v>teilweise</x:v>
      </x:c>
      <x:c r="P50" s="45" t="str">
        <x:v>öffentlicher Kostenträgerbezug</x:v>
      </x:c>
      <x:c r="Q50" s="45" t="str">
        <x:v>Als funktionalen Beratungsweg hinterlegen; nicht als einzelner Kartenpunkt.</x:v>
      </x:c>
      <x:c r="R50" s="45" t="str"/>
      <x:c r="S50" s="45" t="str"/>
      <x:c r="T50" s="45" t="str"/>
      <x:c r="U50" s="45" t="str"/>
      <x:c r="V50" s="45" t="str">
        <x:v>Deutschland</x:v>
      </x:c>
      <x:c r="W50" s="45" t="str">
        <x:v>+49 800 4555500</x:v>
      </x:c>
      <x:c r="X50" s="45" t="str"/>
      <x:c r="Y50" s="45" t="str">
        <x:v>https://www.arbeitsagentur.de/ueber-uns/technischer-beratungsdienst</x:v>
      </x:c>
      <x:c r="Z50" s="82"/>
      <x:c r="AA50" s="82"/>
      <x:c r="AB50" s="45" t="str">
        <x:v>Kein Einzelpunkt erforderlich</x:v>
      </x:c>
      <x:c r="AC50" s="45" t="str">
        <x:v>Kein Einzelpunkt – bundesweiter Fachdienst</x:v>
      </x:c>
      <x:c r="AD50" s="45" t="str">
        <x:v>bundesweit</x:v>
      </x:c>
      <x:c r="AE50" s="45" t="str">
        <x:v>https://www.arbeitsagentur.de/unternehmen/arbeitskraefte/technischer-beratungsdienst</x:v>
      </x:c>
      <x:c r="AF50" s="45" t="str"/>
      <x:c r="AG50" s="45" t="str">
        <x:v>Bundesweiter Fachdienst; kein einzelner Kartenpunkt. Zugang über regionale Agentur für Arbeit/Jobcenter.</x:v>
      </x:c>
      <x:c r="AH50" s="83" t="str">
        <x:v>2026-08-30</x:v>
      </x:c>
      <x:c r="AI50" s="45" t="str">
        <x:f>IF(R50="","",R50&amp;", "&amp;S50&amp;" "&amp;T50&amp;", Deutschland")</x:f>
      </x:c>
    </x:row>
    <x:row r="51">
      <x:c r="A51" s="45" t="str">
        <x:v>T-045</x:v>
      </x:c>
      <x:c r="B51" s="45" t="str">
        <x:v>T-045</x:v>
      </x:c>
      <x:c r="C51" s="45" t="str">
        <x:v>Fachdienste für Hörgeschädigte Rheinland-Pfalz</x:v>
      </x:c>
      <x:c r="D51" s="45" t="str">
        <x:v>Aufnehmen</x:v>
      </x:c>
      <x:c r="E51" s="45" t="str">
        <x:v>A</x:v>
      </x:c>
      <x:c r="F51" s="45" t="str">
        <x:v>Spezialisierter Integrationsfachdienst</x:v>
      </x:c>
      <x:c r="G51" s="45" t="str">
        <x:v>alle Branchen</x:v>
      </x:c>
      <x:c r="H51" s="45" t="str">
        <x:v>Hören/Kommunikation</x:v>
      </x:c>
      <x:c r="I51" s="45" t="str">
        <x:v>Kommunikation am Arbeitsplatz; Warn-/Signalwahrnehmung; Arbeitsplatzsicherung</x:v>
      </x:c>
      <x:c r="J51" s="45" t="str">
        <x:v>Arbeitsplatzberatung; technische Hör-/Kommunikationshilfe; Arbeitsassistenz; Förderberatung</x:v>
      </x:c>
      <x:c r="K51" s="45" t="str">
        <x:v>Ja</x:v>
      </x:c>
      <x:c r="L51" s="45" t="str">
        <x:v>nein</x:v>
      </x:c>
      <x:c r="M51" s="45" t="str">
        <x:v>nein</x:v>
      </x:c>
      <x:c r="N51" s="45" t="str">
        <x:v>nein</x:v>
      </x:c>
      <x:c r="O51" s="45" t="str">
        <x:v>nein</x:v>
      </x:c>
      <x:c r="P51" s="45" t="str">
        <x:v>Integrationsamt-/Kostenträgerbezug</x:v>
      </x:c>
      <x:c r="Q51" s="45" t="str">
        <x:v>Mit Humantechnik/WERMA und technischen Umsetzern verknüpfen.</x:v>
      </x:c>
      <x:c r="R51" s="45" t="str">
        <x:v>Carl-Spitzweg-Straße 30</x:v>
      </x:c>
      <x:c r="S51" s="45" t="str">
        <x:v>67227</x:v>
      </x:c>
      <x:c r="T51" s="45" t="str">
        <x:v>Frankenthal (Pfalz)</x:v>
      </x:c>
      <x:c r="U51" s="45" t="str">
        <x:v>Rheinland-Pfalz</x:v>
      </x:c>
      <x:c r="V51" s="45" t="str">
        <x:v>Deutschland</x:v>
      </x:c>
      <x:c r="W51" s="45" t="str">
        <x:v>+49 6233 3458-0</x:v>
      </x:c>
      <x:c r="X51" s="45" t="str">
        <x:v>kontakt@gehoerlose-rlp.de</x:v>
      </x:c>
      <x:c r="Y51" s="45" t="str">
        <x:v>https://www.fd-gehoerlose-rlp.de/</x:v>
      </x:c>
      <x:c r="Z51" s="82"/>
      <x:c r="AA51" s="82"/>
      <x:c r="AB51" s="45" t="str">
        <x:v>Adresse/Kontakt geprüft; numerische Hauskoordinate noch nicht separat verifiziert</x:v>
      </x:c>
      <x:c r="AC51" s="45" t="str">
        <x:v>Kartenpunkt – Adresse geprüft</x:v>
      </x:c>
      <x:c r="AD51" s="45" t="str">
        <x:v>Rheinland-Pfalz</x:v>
      </x:c>
      <x:c r="AE51" s="45" t="str">
        <x:v>https://www.fd-gehoerlose-rlp.de/</x:v>
      </x:c>
      <x:c r="AF51" s="45" t="str"/>
      <x:c r="AG51" s="45" t="str">
        <x:v>Standort Frankenthal verifiziert.</x:v>
      </x:c>
      <x:c r="AH51" s="83" t="str">
        <x:v>2026-08-30</x:v>
      </x:c>
      <x:c r="AI51" s="45" t="str">
        <x:f>IF(R51="","",R51&amp;", "&amp;S51&amp;" "&amp;T51&amp;", Deutschland")</x:f>
        <x:v>Carl-Spitzweg-Straße 30, 67227 Frankenthal (Pfalz), Deutschland</x:v>
      </x:c>
    </x:row>
    <x:row r="52">
      <x:c r="A52" s="45" t="str">
        <x:v>P-002</x:v>
      </x:c>
      <x:c r="B52" s="45" t="str">
        <x:v>P-002</x:v>
      </x:c>
      <x:c r="C52" s="45" t="str">
        <x:v>Feinwerktechnik Ritzenthaler GmbH</x:v>
      </x:c>
      <x:c r="D52" s="45" t="str">
        <x:v>Aufnehmen</x:v>
      </x:c>
      <x:c r="E52" s="45" t="str">
        <x:v>A+</x:v>
      </x:c>
      <x:c r="F52" s="45" t="str">
        <x:v>Technischer Umsetzer / Arbeitsplatzsysteme &amp; Vorrichtungen</x:v>
      </x:c>
      <x:c r="G52" s="45" t="str">
        <x:v>Metall; Automotive; Maschinenbau; Montage/Produktion; Logistik</x:v>
      </x:c>
      <x:c r="H52" s="45" t="str">
        <x:v>Arm/Hand; Schulter; Rücken/Wirbelsäule; Bein/Stehen; reduzierte Kraft</x:v>
      </x:c>
      <x:c r="I52" s="45" t="str">
        <x:v>Arbeitsplatzgestaltung; Greifwege; Materialbereitstellung; Montage; individuelle Vorrichtungen</x:v>
      </x:c>
      <x:c r="J52" s="45" t="str">
        <x:v>Vor-Ort-Analyse; Greifwegoptimierung; Materialbereitstellung; ergonomische Montage-/Arbeitsplätze; Konstruktion; eigene Fertigung; Umbau/Retrofit; Montage/Inbetriebnahme</x:v>
      </x:c>
      <x:c r="K52" s="45" t="str">
        <x:v>Ja</x:v>
      </x:c>
      <x:c r="L52" s="45" t="str">
        <x:v>Ja</x:v>
      </x:c>
      <x:c r="M52" s="45" t="str">
        <x:v>Ja</x:v>
      </x:c>
      <x:c r="N52" s="45" t="str">
        <x:v>Ja</x:v>
      </x:c>
      <x:c r="O52" s="45" t="str">
        <x:v>projektbezogen</x:v>
      </x:c>
      <x:c r="P52" s="45" t="str">
        <x:v>nicht spezifisch belegt</x:v>
      </x:c>
      <x:c r="Q52" s="45" t="str">
        <x:v>Sehr guter Fit: Analyse, Entwicklung, Fertigung, Vor-Ort-Montage und Retrofit aus einer Hand.</x:v>
      </x:c>
      <x:c r="R52" s="45" t="str">
        <x:v>Staufener Straße 4</x:v>
      </x:c>
      <x:c r="S52" s="45" t="str">
        <x:v>79427</x:v>
      </x:c>
      <x:c r="T52" s="45" t="str">
        <x:v>Eschbach</x:v>
      </x:c>
      <x:c r="U52" s="45" t="str">
        <x:v>Baden-Württemberg</x:v>
      </x:c>
      <x:c r="V52" s="45" t="str">
        <x:v>Deutschland</x:v>
      </x:c>
      <x:c r="W52" s="45" t="str">
        <x:v>+49 7634 5071428</x:v>
      </x:c>
      <x:c r="X52" s="45" t="str">
        <x:v>kontakt@fwtr.de</x:v>
      </x:c>
      <x:c r="Y52" s="45" t="str">
        <x:v>https://fwtr.de/</x:v>
      </x:c>
      <x:c r="Z52" s="82"/>
      <x:c r="AA52" s="82"/>
      <x:c r="AB52" s="45" t="str">
        <x:v>Adresse/Kontakt geprüft; numerische Hauskoordinate noch nicht separat verifiziert</x:v>
      </x:c>
      <x:c r="AC52" s="45" t="str">
        <x:v>Kartenpunkt – Adresse geprüft</x:v>
      </x:c>
      <x:c r="AD52" s="45" t="str">
        <x:v>regional + projektbezogen überregional</x:v>
      </x:c>
      <x:c r="AE52" s="45" t="str">
        <x:v>https://fwtr.de/leistungen/</x:v>
      </x:c>
      <x:c r="AF52" s="45" t="str"/>
      <x:c r="AG52" s="45" t="str">
        <x:v>Sehr guter Fit: Analyse, Entwicklung, Fertigung, Vor-Ort-Montage und Retrofit aus einer Hand.</x:v>
      </x:c>
      <x:c r="AH52" s="83" t="str">
        <x:v>2026-08-30</x:v>
      </x:c>
      <x:c r="AI52" s="45" t="str">
        <x:f>IF(R52="","",R52&amp;", "&amp;S52&amp;" "&amp;T52&amp;", Deutschland")</x:f>
        <x:v>Staufener Straße 4, 79427 Eschbach, Deutschland</x:v>
      </x:c>
    </x:row>
    <x:row r="53">
      <x:c r="A53" s="45" t="str">
        <x:v>P-003</x:v>
      </x:c>
      <x:c r="B53" s="45" t="str">
        <x:v>P-003</x:v>
      </x:c>
      <x:c r="C53" s="45" t="str">
        <x:v>Grabert Aluformguss GmbH</x:v>
      </x:c>
      <x:c r="D53" s="45" t="str">
        <x:v>Aufnehmen</x:v>
      </x:c>
      <x:c r="E53" s="45" t="str">
        <x:v>B</x:v>
      </x:c>
      <x:c r="F53" s="45" t="str">
        <x:v>Technischer Umsetzer / Sondermaschinen &amp; Vorrichtungen</x:v>
      </x:c>
      <x:c r="G53" s="45" t="str">
        <x:v>Metall; Automotive; Maschinenbau; Montage/Produktion; Logistik</x:v>
      </x:c>
      <x:c r="H53" s="45" t="str">
        <x:v>Arm/Hand; Schulter; Rücken/Wirbelsäule; Bein/Stehen; reduzierte Kraft</x:v>
      </x:c>
      <x:c r="I53" s="45" t="str">
        <x:v>Arbeitsplatzgestaltung; Greifwege; Materialbereitstellung; Montage; individuelle Vorrichtungen</x:v>
      </x:c>
      <x:c r="J53" s="45" t="str">
        <x:v>Engineering; Modell-/Prototypenbau; Vorrichtungsbau; Maschinenbau; Montage; Handarbeitsplätze/Handlingsysteme projektbezogen</x:v>
      </x:c>
      <x:c r="K53" s="45" t="str">
        <x:v>Ja</x:v>
      </x:c>
      <x:c r="L53" s="45" t="str">
        <x:v>Ja</x:v>
      </x:c>
      <x:c r="M53" s="45" t="str">
        <x:v>Ja</x:v>
      </x:c>
      <x:c r="N53" s="45" t="str">
        <x:v>Ja</x:v>
      </x:c>
      <x:c r="O53" s="45" t="str">
        <x:v>projektbezogen</x:v>
      </x:c>
      <x:c r="P53" s="45" t="str">
        <x:v>nicht spezifisch belegt</x:v>
      </x:c>
      <x:c r="Q53" s="45" t="str">
        <x:v>Als projektbezogener technischer Umsetzer aufnehmen; Reha-Einzelfallbezug nicht ausdrücklich beworben.</x:v>
      </x:c>
      <x:c r="R53" s="45" t="str">
        <x:v>Salzstraße 153</x:v>
      </x:c>
      <x:c r="S53" s="45" t="str">
        <x:v>74076</x:v>
      </x:c>
      <x:c r="T53" s="45" t="str">
        <x:v>Heilbronn</x:v>
      </x:c>
      <x:c r="U53" s="45" t="str">
        <x:v>Baden-Württemberg</x:v>
      </x:c>
      <x:c r="V53" s="45" t="str">
        <x:v>Deutschland</x:v>
      </x:c>
      <x:c r="W53" s="45" t="str">
        <x:v>+49 7131 9568-0</x:v>
      </x:c>
      <x:c r="X53" s="45" t="str">
        <x:v>info@grabert-aluformguss.de</x:v>
      </x:c>
      <x:c r="Y53" s="45" t="str">
        <x:v>https://www.grabert-aluformguss.de/</x:v>
      </x:c>
      <x:c r="Z53" s="82"/>
      <x:c r="AA53" s="82"/>
      <x:c r="AB53" s="45" t="str">
        <x:v>Adresse/Kontakt geprüft; numerische Hauskoordinate noch nicht separat verifiziert</x:v>
      </x:c>
      <x:c r="AC53" s="45" t="str">
        <x:v>Kartenpunkt – Adresse geprüft</x:v>
      </x:c>
      <x:c r="AD53" s="45" t="str">
        <x:v>regional + projektbezogen überregional</x:v>
      </x:c>
      <x:c r="AE53" s="45" t="str">
        <x:v>https://www.grabert-aluformguss.de/</x:v>
      </x:c>
      <x:c r="AF53" s="45" t="str"/>
      <x:c r="AG53" s="45" t="str">
        <x:v>Als projektbezogener technischer Umsetzer aufnehmen; Reha-Einzelfallbezug nicht ausdrücklich beworben.</x:v>
      </x:c>
      <x:c r="AH53" s="83" t="str">
        <x:v>2026-08-30</x:v>
      </x:c>
      <x:c r="AI53" s="45" t="str">
        <x:f>IF(R53="","",R53&amp;", "&amp;S53&amp;" "&amp;T53&amp;", Deutschland")</x:f>
        <x:v>Salzstraße 153, 74076 Heilbronn, Deutschland</x:v>
      </x:c>
    </x:row>
    <x:row r="54">
      <x:c r="A54" s="45" t="str">
        <x:v>P-004</x:v>
      </x:c>
      <x:c r="B54" s="45" t="str">
        <x:v>P-004</x:v>
      </x:c>
      <x:c r="C54" s="45" t="str">
        <x:v>Log &amp; Consult GmbH</x:v>
      </x:c>
      <x:c r="D54" s="45" t="str">
        <x:v>Aufnehmen</x:v>
      </x:c>
      <x:c r="E54" s="45" t="str">
        <x:v>A</x:v>
      </x:c>
      <x:c r="F54" s="45" t="str">
        <x:v>Technischer Umsetzer / Arbeitsplatz &amp; Materialfluss</x:v>
      </x:c>
      <x:c r="G54" s="45" t="str">
        <x:v>Metall; Automotive; Maschinenbau; Montage/Produktion; Logistik</x:v>
      </x:c>
      <x:c r="H54" s="45" t="str">
        <x:v>Arm/Hand; Schulter; Rücken/Wirbelsäule; Bein/Stehen; reduzierte Kraft</x:v>
      </x:c>
      <x:c r="I54" s="45" t="str">
        <x:v>Arbeitsplatzgestaltung; Greifwege; Materialbereitstellung; Montage; individuelle Vorrichtungen</x:v>
      </x:c>
      <x:c r="J54" s="45" t="str">
        <x:v>Individuelle Arbeitsplatzsysteme; Materialbereitstellung; Ergonomie; Entwicklung vom Entwurf/Prototyp bis Serie</x:v>
      </x:c>
      <x:c r="K54" s="45" t="str">
        <x:v>Ja</x:v>
      </x:c>
      <x:c r="L54" s="45" t="str">
        <x:v>Ja</x:v>
      </x:c>
      <x:c r="M54" s="45" t="str">
        <x:v>Ja</x:v>
      </x:c>
      <x:c r="N54" s="45" t="str">
        <x:v>Ja</x:v>
      </x:c>
      <x:c r="O54" s="45" t="str">
        <x:v>projektbezogen</x:v>
      </x:c>
      <x:c r="P54" s="45" t="str">
        <x:v>nicht spezifisch belegt</x:v>
      </x:c>
      <x:c r="Q54" s="45" t="str">
        <x:v>Klarer Fit für individuelle ergonomische Arbeitsplatz- und Materialflusslösungen.</x:v>
      </x:c>
      <x:c r="R54" s="45" t="str">
        <x:v>Amsterdamerstraße 9</x:v>
      </x:c>
      <x:c r="S54" s="45" t="str">
        <x:v>74081</x:v>
      </x:c>
      <x:c r="T54" s="45" t="str">
        <x:v>Heilbronn</x:v>
      </x:c>
      <x:c r="U54" s="45" t="str">
        <x:v>Baden-Württemberg</x:v>
      </x:c>
      <x:c r="V54" s="45" t="str">
        <x:v>Deutschland</x:v>
      </x:c>
      <x:c r="W54" s="45" t="str">
        <x:v>+49 7131 8993460</x:v>
      </x:c>
      <x:c r="X54" s="45" t="str">
        <x:v>info@log-consult.com</x:v>
      </x:c>
      <x:c r="Y54" s="45" t="str">
        <x:v>https://www.log-consult.com/</x:v>
      </x:c>
      <x:c r="Z54" s="82"/>
      <x:c r="AA54" s="82"/>
      <x:c r="AB54" s="45" t="str">
        <x:v>Adresse/Kontakt geprüft; numerische Hauskoordinate noch nicht separat verifiziert</x:v>
      </x:c>
      <x:c r="AC54" s="45" t="str">
        <x:v>Kartenpunkt – Adresse geprüft</x:v>
      </x:c>
      <x:c r="AD54" s="45" t="str">
        <x:v>regional + projektbezogen überregional</x:v>
      </x:c>
      <x:c r="AE54" s="45" t="str">
        <x:v>https://www.log-consult.com/</x:v>
      </x:c>
      <x:c r="AF54" s="45" t="str"/>
      <x:c r="AG54" s="45" t="str">
        <x:v>Klarer Fit für individuelle ergonomische Arbeitsplatz- und Materialflusslösungen.</x:v>
      </x:c>
      <x:c r="AH54" s="83" t="str">
        <x:v>2026-08-30</x:v>
      </x:c>
      <x:c r="AI54" s="45" t="str">
        <x:f>IF(R54="","",R54&amp;", "&amp;S54&amp;" "&amp;T54&amp;", Deutschland")</x:f>
        <x:v>Amsterdamerstraße 9, 74081 Heilbronn, Deutschland</x:v>
      </x:c>
    </x:row>
    <x:row r="55">
      <x:c r="A55" s="45" t="str">
        <x:v>P-005</x:v>
      </x:c>
      <x:c r="B55" s="45" t="str">
        <x:v>P-005</x:v>
      </x:c>
      <x:c r="C55" s="45" t="str">
        <x:v>AGIL Rehabilitationstechnik</x:v>
      </x:c>
      <x:c r="D55" s="45" t="str">
        <x:v>Aufnehmen</x:v>
      </x:c>
      <x:c r="E55" s="45" t="str">
        <x:v>B</x:v>
      </x:c>
      <x:c r="F55" s="45" t="str">
        <x:v>Technischer Ergänzungspartner / komplexe Rehatechnik</x:v>
      </x:c>
      <x:c r="G55" s="45" t="str">
        <x:v>Rehatechnik; Mobilität; Arbeitsplatztechnik</x:v>
      </x:c>
      <x:c r="H55" s="45" t="str">
        <x:v>Mobilität; Arm/Hand; reduzierte Kraft; komplexe Steuerungsbedarfe</x:v>
      </x:c>
      <x:c r="I55" s="45" t="str">
        <x:v>Sondersteuerung; individuelle Bedienung; technische Schnittstellen; Mobilität am Arbeitsplatz</x:v>
      </x:c>
      <x:c r="J55" s="45" t="str">
        <x:v>Elektrorollstühle; Sondersteuerungen; individuelle Sonderanfertigungen; technischer Außendienst und Werkstatt</x:v>
      </x:c>
      <x:c r="K55" s="45" t="str">
        <x:v>Ja</x:v>
      </x:c>
      <x:c r="L55" s="45" t="str">
        <x:v>Ja</x:v>
      </x:c>
      <x:c r="M55" s="45" t="str">
        <x:v>teilweise</x:v>
      </x:c>
      <x:c r="N55" s="45" t="str">
        <x:v>Ja</x:v>
      </x:c>
      <x:c r="O55" s="45" t="str">
        <x:v>nicht Schwerpunkt</x:v>
      </x:c>
      <x:c r="P55" s="45" t="str">
        <x:v>nicht spezifisch belegt</x:v>
      </x:c>
      <x:c r="Q55" s="45" t="str">
        <x:v>Nicht als primären Industrie-Arbeitsplatzberater führen; als Ergänzungspartner bei komplexer Mobilitäts-/Steuerungstechnik.</x:v>
      </x:c>
      <x:c r="R55" s="45" t="str">
        <x:v>Am Taubenfeld 14/1</x:v>
      </x:c>
      <x:c r="S55" s="45" t="str">
        <x:v>69123</x:v>
      </x:c>
      <x:c r="T55" s="45" t="str">
        <x:v>Heidelberg</x:v>
      </x:c>
      <x:c r="U55" s="45" t="str">
        <x:v>Baden-Württemberg</x:v>
      </x:c>
      <x:c r="V55" s="45" t="str">
        <x:v>Deutschland</x:v>
      </x:c>
      <x:c r="W55" s="45" t="str">
        <x:v>+49 6221 82240</x:v>
      </x:c>
      <x:c r="X55" s="45" t="str">
        <x:v>reha@agil-info.de</x:v>
      </x:c>
      <x:c r="Y55" s="45" t="str">
        <x:v>https://www.agil-info.de/</x:v>
      </x:c>
      <x:c r="Z55" s="82"/>
      <x:c r="AA55" s="82"/>
      <x:c r="AB55" s="45" t="str">
        <x:v>Adresse/Kontakt geprüft; numerische Hauskoordinate noch nicht separat verifiziert</x:v>
      </x:c>
      <x:c r="AC55" s="45" t="str">
        <x:v>Kartenpunkt – Adresse geprüft</x:v>
      </x:c>
      <x:c r="AD55" s="45" t="str">
        <x:v>regional + projektbezogen überregional</x:v>
      </x:c>
      <x:c r="AE55" s="45" t="str">
        <x:v>https://www.agil-info.de/</x:v>
      </x:c>
      <x:c r="AF55" s="45" t="str"/>
      <x:c r="AG55" s="45" t="str">
        <x:v>Nicht als primären Industrie-Arbeitsplatzberater führen; als Ergänzungspartner bei komplexer Mobilitäts-/Steuerungstechnik.</x:v>
      </x:c>
      <x:c r="AH55" s="83" t="str">
        <x:v>2026-08-30</x:v>
      </x:c>
      <x:c r="AI55" s="45" t="str">
        <x:f>IF(R55="","",R55&amp;", "&amp;S55&amp;" "&amp;T55&amp;", Deutschland")</x:f>
        <x:v>Am Taubenfeld 14/1, 69123 Heidelberg, Deutschland</x:v>
      </x:c>
    </x:row>
    <x:row r="56">
      <x:c r="A56" s="45" t="str">
        <x:v>P-006</x:v>
      </x:c>
      <x:c r="B56" s="45" t="str">
        <x:v>P-006</x:v>
      </x:c>
      <x:c r="C56" s="45" t="str">
        <x:v>PETec GmbH</x:v>
      </x:c>
      <x:c r="D56" s="45" t="str">
        <x:v>Aufnehmen</x:v>
      </x:c>
      <x:c r="E56" s="45" t="str">
        <x:v>A</x:v>
      </x:c>
      <x:c r="F56" s="45" t="str">
        <x:v>Technischer Umsetzer / Schwerlast- &amp; Schweißtische</x:v>
      </x:c>
      <x:c r="G56" s="45" t="str">
        <x:v>Metall; Maschinenbau; Schweißtechnik; Montage/Produktion</x:v>
      </x:c>
      <x:c r="H56" s="45" t="str">
        <x:v>Arm/Hand; Schulter; Rücken/Wirbelsäule; Bein/Stehen; reduzierte Kraft</x:v>
      </x:c>
      <x:c r="I56" s="45" t="str">
        <x:v>Arbeitshöhe; schwere Werkstücke; Schweißen; Drehen/Kippen/Positionieren</x:v>
      </x:c>
      <x:c r="J56" s="45" t="str">
        <x:v>Höhenverstellbare Montage-/Schweiß-/Schwerlasttische; Hub-/Dreh-/Kippfunktionen; Sonderanfertigungen</x:v>
      </x:c>
      <x:c r="K56" s="45" t="str">
        <x:v>Ja/projektbezogen</x:v>
      </x:c>
      <x:c r="L56" s="45" t="str">
        <x:v>Ja</x:v>
      </x:c>
      <x:c r="M56" s="45" t="str">
        <x:v>teilweise</x:v>
      </x:c>
      <x:c r="N56" s="45" t="str">
        <x:v>Ja</x:v>
      </x:c>
      <x:c r="O56" s="45" t="str">
        <x:v>projektbezogen</x:v>
      </x:c>
      <x:c r="P56" s="45" t="str">
        <x:v>nicht spezifisch belegt</x:v>
      </x:c>
      <x:c r="Q56" s="45" t="str">
        <x:v>Spezialanbieter für Schwerlast-/Schweißfälle; überregional und fallbezogen priorisieren.</x:v>
      </x:c>
      <x:c r="R56" s="45" t="str">
        <x:v>Zum Osterfeld 6</x:v>
      </x:c>
      <x:c r="S56" s="45" t="str">
        <x:v>59872</x:v>
      </x:c>
      <x:c r="T56" s="45" t="str">
        <x:v>Meschede</x:v>
      </x:c>
      <x:c r="U56" s="45" t="str">
        <x:v>Nordrhein-Westfalen</x:v>
      </x:c>
      <x:c r="V56" s="45" t="str">
        <x:v>Deutschland</x:v>
      </x:c>
      <x:c r="W56" s="45" t="str">
        <x:v>+49 291 95277807</x:v>
      </x:c>
      <x:c r="X56" s="45" t="str">
        <x:v>info@petec-gmbh.de</x:v>
      </x:c>
      <x:c r="Y56" s="45" t="str">
        <x:v>https://www.petec-gmbh.de/</x:v>
      </x:c>
      <x:c r="Z56" s="82"/>
      <x:c r="AA56" s="82"/>
      <x:c r="AB56" s="45" t="str">
        <x:v>Adresse/Kontakt geprüft; numerische Hauskoordinate noch nicht separat verifiziert</x:v>
      </x:c>
      <x:c r="AC56" s="45" t="str">
        <x:v>Kartenpunkt – Adresse geprüft</x:v>
      </x:c>
      <x:c r="AD56" s="45" t="str">
        <x:v>regional + projektbezogen überregional</x:v>
      </x:c>
      <x:c r="AE56" s="45" t="str">
        <x:v>https://www.petec-gmbh.de/</x:v>
      </x:c>
      <x:c r="AF56" s="45" t="str"/>
      <x:c r="AG56" s="45" t="str">
        <x:v>Spezialanbieter für Schwerlast-/Schweißfälle; überregional und fallbezogen priorisieren.</x:v>
      </x:c>
      <x:c r="AH56" s="83" t="str">
        <x:v>2026-08-30</x:v>
      </x:c>
      <x:c r="AI56" s="45" t="str">
        <x:f>IF(R56="","",R56&amp;", "&amp;S56&amp;" "&amp;T56&amp;", Deutschland")</x:f>
        <x:v>Zum Osterfeld 6, 59872 Meschede, Deutschland</x:v>
      </x:c>
    </x:row>
  </x:sheetData>
  <x:mergeCells>
    <x:mergeCell ref="A1:AI1"/>
    <x:mergeCell ref="A2:AI2"/>
  </x:mergeCells>
  <x:conditionalFormatting sqref="D5:D56">
    <x:cfRule type="expression" dxfId="6" priority="1">
      <x:formula>D5="Aufnehmen"</x:formula>
    </x:cfRule>
  </x:conditionalFormatting>
  <x:conditionalFormatting sqref="AC5:AC56">
    <x:cfRule type="expression" dxfId="7" priority="2">
      <x:formula>ISNUMBER(SEARCH("Warnung",AC5))</x:formula>
    </x:cfRule>
  </x:conditionalFormatting>
  <x:conditionalFormatting sqref="AB5:AB56">
    <x:cfRule type="expression" dxfId="8" priority="3">
      <x:formula>ISNUMBER(SEARCH("Koordinate geprüft",AB5))</x:formula>
    </x:cfRule>
  </x:conditionalFormatting>
  <x:pageMargins left="0.7" right="0.7" top="0.75" bottom="0.75" header="0.3" footer="0.3"/>
  <x:tableParts count="1">
    <x:tablePart xmlns:r="http://schemas.openxmlformats.org/officeDocument/2006/relationships" r:id="R8efb8fa097c84f31"/>
  </x:tableParts>
</x:worksheet>
</file>

<file path=xl/worksheets/sheet18.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139" t="str">
        <x:v>ARCHIV / ERSETZT – MASTER 4.4x GESAMT</x:v>
      </x:c>
      <x:c r="B1" s="139"/>
      <x:c r="C1" s="139"/>
      <x:c r="D1" s="139"/>
      <x:c r="E1" s="139"/>
      <x:c r="F1" s="139"/>
      <x:c r="G1" s="139"/>
      <x:c r="H1" s="139"/>
    </x:row>
    <x:row r="2">
      <x:c r="A2" s="104"/>
      <x:c r="B2" s="104"/>
      <x:c r="C2" s="104"/>
      <x:c r="D2" s="104"/>
      <x:c r="E2" s="104"/>
      <x:c r="F2" s="104"/>
      <x:c r="G2" s="104"/>
      <x:c r="H2" s="104"/>
    </x:row>
    <x:row r="3">
      <x:c r="A3" s="140" t="str">
        <x:v>Dieser Zwischenstand wurde durch die vollständige Konsolidierung vom 30.08.2026 ersetzt. Maßgeblich sind: „GESAMT 4.4x Übersicht“, „Kartenimport Gesamt 4.4x“, „Neuro-Psych 4.4x“, „Änderungen Gesamt 4.4x“, „Ausschlüsse-Regeln 4.4x“ und „Quellen 4.4x“.</x:v>
      </x:c>
      <x:c r="B3" s="140"/>
      <x:c r="C3" s="140"/>
      <x:c r="D3" s="140"/>
      <x:c r="E3" s="140"/>
      <x:c r="F3" s="140"/>
      <x:c r="G3" s="140"/>
      <x:c r="H3" s="140"/>
    </x:row>
    <x:row r="4">
      <x:c r="A4" s="141"/>
      <x:c r="B4" s="141"/>
      <x:c r="C4" s="140"/>
      <x:c r="D4" s="141"/>
      <x:c r="E4" s="141"/>
      <x:c r="F4" s="141"/>
      <x:c r="G4" s="141"/>
      <x:c r="H4" s="141"/>
    </x:row>
    <x:row r="5">
      <x:c r="A5" s="142"/>
      <x:c r="B5" s="142"/>
      <x:c r="C5" s="142"/>
      <x:c r="D5" s="142"/>
      <x:c r="E5" s="142"/>
      <x:c r="F5" s="142"/>
      <x:c r="G5" s="142"/>
      <x:c r="H5" s="142"/>
    </x:row>
    <x:row r="6">
      <x:c r="A6" s="45"/>
      <x:c r="B6" s="45"/>
      <x:c r="C6" s="45"/>
      <x:c r="D6" s="45"/>
      <x:c r="E6" s="45"/>
      <x:c r="F6" s="45"/>
      <x:c r="G6" s="45"/>
      <x:c r="H6" s="45"/>
    </x:row>
    <x:row r="7">
      <x:c r="A7" s="45"/>
      <x:c r="B7" s="45"/>
      <x:c r="C7" s="45"/>
      <x:c r="D7" s="45"/>
      <x:c r="E7" s="45"/>
      <x:c r="F7" s="45"/>
      <x:c r="G7" s="45"/>
      <x:c r="H7" s="45"/>
    </x:row>
    <x:row r="8">
      <x:c r="A8" s="45"/>
      <x:c r="B8" s="45"/>
      <x:c r="C8" s="45"/>
      <x:c r="D8" s="45"/>
      <x:c r="E8" s="45"/>
      <x:c r="F8" s="45"/>
      <x:c r="G8" s="45"/>
      <x:c r="H8" s="45"/>
    </x:row>
    <x:row r="9">
      <x:c r="A9" s="45"/>
      <x:c r="B9" s="45"/>
      <x:c r="C9" s="45"/>
      <x:c r="D9" s="45"/>
      <x:c r="E9" s="45"/>
      <x:c r="F9" s="45"/>
      <x:c r="G9" s="45"/>
      <x:c r="H9" s="45"/>
    </x:row>
    <x:row r="10">
      <x:c r="A10" s="45"/>
      <x:c r="B10" s="45"/>
      <x:c r="C10" s="45"/>
      <x:c r="D10" s="45"/>
      <x:c r="E10" s="45"/>
      <x:c r="F10" s="45"/>
      <x:c r="G10" s="45"/>
      <x:c r="H10" s="45"/>
    </x:row>
    <x:row r="11">
      <x:c r="A11" s="45"/>
      <x:c r="B11" s="45"/>
      <x:c r="C11" s="45"/>
      <x:c r="D11" s="45"/>
      <x:c r="E11" s="45"/>
      <x:c r="F11" s="45"/>
      <x:c r="G11" s="45"/>
      <x:c r="H11" s="45"/>
    </x:row>
  </x:sheetData>
  <x:mergeCells>
    <x:mergeCell ref="A1:H1"/>
    <x:mergeCell ref="A2:H2"/>
    <x:mergeCell ref="A3:H5"/>
  </x:mergeCells>
  <x:pageMargins left="0.7" right="0.7" top="0.75" bottom="0.75" header="0.3" footer="0.3"/>
</x:worksheet>
</file>

<file path=xl/worksheets/sheet19.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13" hidden="0" customWidth="1"/>
  </x:cols>
  <x:sheetData>
    <x:row r="1" ht="19.200000762939453" hidden="0" customHeight="1">
      <x:c r="A1" s="144" t="str">
        <x:v>ARCHIV / ERSETZT – Änderungen 4.4x Gesamt</x:v>
      </x:c>
      <x:c r="B1" s="144"/>
      <x:c r="C1" s="144"/>
      <x:c r="D1" s="144"/>
      <x:c r="E1" s="144"/>
      <x:c r="F1" s="144"/>
      <x:c r="G1" s="144"/>
      <x:c r="H1" s="144"/>
      <x:c r="I1" s="96"/>
      <x:c r="J1" s="96"/>
    </x:row>
    <x:row r="2"/>
    <x:row r="3" ht="15" hidden="0" customHeight="1">
      <x:c r="A3" s="141" t="str">
        <x:v>Dieser Zwischenstand wurde durch die vollständige Konsolidierung vom 30.08.2026 ersetzt. Maßgeblich sind: „GESAMT 4.4x Übersicht“, „Kartenimport Gesamt 4.4x“, „Neuro-Psych 4.4x“, „Änderungen Gesamt 4.4x“, „Ausschlüsse-Regeln 4.4x“ und „Quellen 4.4x“.</x:v>
      </x:c>
      <x:c r="B3" s="141"/>
      <x:c r="C3" s="141"/>
      <x:c r="D3" s="141"/>
      <x:c r="E3" s="141"/>
      <x:c r="F3" s="141"/>
      <x:c r="G3" s="141"/>
      <x:c r="H3" s="141"/>
      <x:c r="I3" s="101"/>
      <x:c r="J3" s="101"/>
    </x:row>
    <x:row r="4" ht="26.399999618530273" hidden="0" customHeight="1">
      <x:c r="A4" s="142"/>
      <x:c r="B4" s="142"/>
      <x:c r="C4" s="142"/>
      <x:c r="D4" s="142"/>
      <x:c r="E4" s="142"/>
      <x:c r="F4" s="142"/>
      <x:c r="G4" s="142"/>
      <x:c r="H4" s="142"/>
      <x:c r="I4" s="45"/>
      <x:c r="J4" s="45"/>
    </x:row>
    <x:row r="5" ht="15" hidden="0" customHeight="1">
      <x:c r="A5" s="142"/>
      <x:c r="B5" s="142"/>
      <x:c r="C5" s="142"/>
      <x:c r="D5" s="142"/>
      <x:c r="E5" s="142"/>
      <x:c r="F5" s="142"/>
      <x:c r="G5" s="142"/>
      <x:c r="H5" s="142"/>
      <x:c r="I5" s="45"/>
      <x:c r="J5" s="45"/>
    </x:row>
    <x:row r="6" ht="15" hidden="0" customHeight="1">
      <x:c r="A6" s="45"/>
      <x:c r="B6" s="45"/>
      <x:c r="C6" s="45"/>
      <x:c r="D6" s="45"/>
      <x:c r="E6" s="45"/>
      <x:c r="F6" s="45"/>
      <x:c r="G6" s="45"/>
      <x:c r="H6" s="45"/>
      <x:c r="I6" s="45"/>
      <x:c r="J6" s="45"/>
    </x:row>
    <x:row r="7" ht="15" hidden="0" customHeight="1">
      <x:c r="A7" s="45"/>
      <x:c r="B7" s="45"/>
      <x:c r="C7" s="45"/>
      <x:c r="D7" s="45"/>
      <x:c r="E7" s="45"/>
      <x:c r="F7" s="45"/>
      <x:c r="G7" s="45"/>
      <x:c r="H7" s="45"/>
      <x:c r="I7" s="45"/>
      <x:c r="J7" s="45"/>
    </x:row>
    <x:row r="8" ht="15" hidden="0" customHeight="1">
      <x:c r="A8" s="45"/>
      <x:c r="B8" s="45"/>
      <x:c r="C8" s="45"/>
      <x:c r="D8" s="45"/>
      <x:c r="E8" s="45"/>
      <x:c r="F8" s="45"/>
      <x:c r="G8" s="45"/>
      <x:c r="H8" s="45"/>
      <x:c r="I8" s="45"/>
      <x:c r="J8" s="45"/>
    </x:row>
    <x:row r="9" ht="15" hidden="0" customHeight="1">
      <x:c r="A9" s="45"/>
      <x:c r="B9" s="45"/>
      <x:c r="C9" s="45"/>
      <x:c r="D9" s="45"/>
      <x:c r="E9" s="45"/>
      <x:c r="F9" s="45"/>
      <x:c r="G9" s="45"/>
      <x:c r="H9" s="45"/>
      <x:c r="I9" s="45"/>
      <x:c r="J9" s="45"/>
    </x:row>
    <x:row r="10" ht="15" hidden="0" customHeight="1">
      <x:c r="A10" s="45"/>
      <x:c r="B10" s="45"/>
      <x:c r="C10" s="45"/>
      <x:c r="D10" s="45"/>
      <x:c r="E10" s="45"/>
      <x:c r="F10" s="45"/>
      <x:c r="G10" s="45"/>
      <x:c r="H10" s="45"/>
      <x:c r="I10" s="45"/>
      <x:c r="J10" s="45"/>
    </x:row>
    <x:row r="11" ht="15" hidden="0" customHeight="1">
      <x:c r="A11" s="45"/>
      <x:c r="B11" s="45"/>
      <x:c r="C11" s="45"/>
      <x:c r="D11" s="45"/>
      <x:c r="E11" s="45"/>
      <x:c r="F11" s="45"/>
      <x:c r="G11" s="45"/>
      <x:c r="H11" s="45"/>
      <x:c r="I11" s="45"/>
      <x:c r="J11" s="45"/>
    </x:row>
    <x:row r="12" ht="15" hidden="0" customHeight="1">
      <x:c r="A12" s="45"/>
      <x:c r="B12" s="45"/>
      <x:c r="C12" s="45"/>
      <x:c r="D12" s="45"/>
      <x:c r="E12" s="45"/>
      <x:c r="F12" s="45"/>
      <x:c r="G12" s="45"/>
      <x:c r="H12" s="45"/>
      <x:c r="I12" s="45"/>
      <x:c r="J12" s="45"/>
    </x:row>
    <x:row r="13" ht="15" hidden="0" customHeight="1">
      <x:c r="A13" s="45"/>
      <x:c r="B13" s="45"/>
      <x:c r="C13" s="45"/>
      <x:c r="D13" s="45"/>
      <x:c r="E13" s="45"/>
      <x:c r="F13" s="45"/>
      <x:c r="G13" s="45"/>
      <x:c r="H13" s="45"/>
      <x:c r="I13" s="45"/>
      <x:c r="J13" s="45"/>
    </x:row>
    <x:row r="14" ht="26.399999618530273" hidden="0" customHeight="1">
      <x:c r="A14" s="45"/>
      <x:c r="B14" s="45"/>
      <x:c r="C14" s="45"/>
      <x:c r="D14" s="45"/>
      <x:c r="E14" s="45"/>
      <x:c r="F14" s="45"/>
      <x:c r="G14" s="45"/>
      <x:c r="H14" s="45"/>
      <x:c r="I14" s="45"/>
      <x:c r="J14" s="45"/>
    </x:row>
    <x:row r="15" ht="15" hidden="0" customHeight="1">
      <x:c r="A15" s="45"/>
      <x:c r="B15" s="45"/>
      <x:c r="C15" s="45"/>
      <x:c r="D15" s="45"/>
      <x:c r="E15" s="45"/>
      <x:c r="F15" s="45"/>
      <x:c r="G15" s="45"/>
      <x:c r="H15" s="45"/>
      <x:c r="I15" s="45"/>
      <x:c r="J15" s="45"/>
    </x:row>
    <x:row r="16" ht="15" hidden="0" customHeight="1">
      <x:c r="A16" s="45"/>
      <x:c r="B16" s="45"/>
      <x:c r="C16" s="45"/>
      <x:c r="D16" s="45"/>
      <x:c r="E16" s="45"/>
      <x:c r="F16" s="45"/>
      <x:c r="G16" s="45"/>
      <x:c r="H16" s="45"/>
      <x:c r="I16" s="45"/>
      <x:c r="J16" s="45"/>
    </x:row>
    <x:row r="17" ht="15" hidden="0" customHeight="1">
      <x:c r="A17" s="45"/>
      <x:c r="B17" s="45"/>
      <x:c r="C17" s="45"/>
      <x:c r="D17" s="45"/>
      <x:c r="E17" s="45"/>
      <x:c r="F17" s="45"/>
      <x:c r="G17" s="45"/>
      <x:c r="H17" s="45"/>
      <x:c r="I17" s="45"/>
      <x:c r="J17" s="45"/>
    </x:row>
    <x:row r="18" ht="15" hidden="0" customHeight="1">
      <x:c r="A18" s="45"/>
      <x:c r="B18" s="45"/>
      <x:c r="C18" s="45"/>
      <x:c r="D18" s="45"/>
      <x:c r="E18" s="45"/>
      <x:c r="F18" s="45"/>
      <x:c r="G18" s="45"/>
      <x:c r="H18" s="45"/>
      <x:c r="I18" s="45"/>
      <x:c r="J18" s="45"/>
    </x:row>
    <x:row r="19" ht="15" hidden="0" customHeight="1">
      <x:c r="A19" s="45"/>
      <x:c r="B19" s="45"/>
      <x:c r="C19" s="45"/>
      <x:c r="D19" s="45"/>
      <x:c r="E19" s="45"/>
      <x:c r="F19" s="45"/>
      <x:c r="G19" s="45"/>
      <x:c r="H19" s="45"/>
      <x:c r="I19" s="45"/>
      <x:c r="J19" s="45"/>
    </x:row>
    <x:row r="20" ht="15" hidden="0" customHeight="1">
      <x:c r="A20" s="45"/>
      <x:c r="B20" s="45"/>
      <x:c r="C20" s="45"/>
      <x:c r="D20" s="45"/>
      <x:c r="E20" s="45"/>
      <x:c r="F20" s="45"/>
      <x:c r="G20" s="45"/>
      <x:c r="H20" s="45"/>
      <x:c r="I20" s="45"/>
      <x:c r="J20" s="45"/>
    </x:row>
    <x:row r="21" ht="15" hidden="0" customHeight="1">
      <x:c r="A21" s="45"/>
      <x:c r="B21" s="45"/>
      <x:c r="C21" s="45"/>
      <x:c r="D21" s="45"/>
      <x:c r="E21" s="45"/>
      <x:c r="F21" s="45"/>
      <x:c r="G21" s="45"/>
      <x:c r="H21" s="45"/>
      <x:c r="I21" s="45"/>
      <x:c r="J21" s="45"/>
    </x:row>
    <x:row r="22" ht="26.399999618530273" hidden="0" customHeight="1">
      <x:c r="A22" s="45"/>
      <x:c r="B22" s="45"/>
      <x:c r="C22" s="45"/>
      <x:c r="D22" s="45"/>
      <x:c r="E22" s="45"/>
      <x:c r="F22" s="45"/>
      <x:c r="G22" s="45"/>
      <x:c r="H22" s="45"/>
      <x:c r="I22" s="45"/>
      <x:c r="J22" s="45"/>
    </x:row>
    <x:row r="23" ht="15" hidden="0" customHeight="1">
      <x:c r="A23" s="45"/>
      <x:c r="B23" s="45"/>
      <x:c r="C23" s="45"/>
      <x:c r="D23" s="45"/>
      <x:c r="E23" s="45"/>
      <x:c r="F23" s="45"/>
      <x:c r="G23" s="45"/>
      <x:c r="H23" s="45"/>
      <x:c r="I23" s="45"/>
      <x:c r="J23" s="45"/>
    </x:row>
    <x:row r="24" ht="26.399999618530273" hidden="0" customHeight="1">
      <x:c r="A24" s="45"/>
      <x:c r="B24" s="45"/>
      <x:c r="C24" s="45"/>
      <x:c r="D24" s="45"/>
      <x:c r="E24" s="45"/>
      <x:c r="F24" s="45"/>
      <x:c r="G24" s="45"/>
      <x:c r="H24" s="45"/>
      <x:c r="I24" s="45"/>
      <x:c r="J24" s="45"/>
    </x:row>
    <x:row r="25" ht="15" hidden="0" customHeight="1">
      <x:c r="A25" s="45"/>
      <x:c r="B25" s="45"/>
      <x:c r="C25" s="45"/>
      <x:c r="D25" s="45"/>
      <x:c r="E25" s="45"/>
      <x:c r="F25" s="45"/>
      <x:c r="G25" s="45"/>
      <x:c r="H25" s="45"/>
      <x:c r="I25" s="45"/>
      <x:c r="J25" s="45"/>
    </x:row>
    <x:row r="26" ht="15" hidden="0" customHeight="1">
      <x:c r="A26" s="45"/>
      <x:c r="B26" s="45"/>
      <x:c r="C26" s="45"/>
      <x:c r="D26" s="45"/>
      <x:c r="E26" s="45"/>
      <x:c r="F26" s="45"/>
      <x:c r="G26" s="45"/>
      <x:c r="H26" s="45"/>
      <x:c r="I26" s="45"/>
      <x:c r="J26" s="45"/>
    </x:row>
    <x:row r="27" ht="15" hidden="0" customHeight="1">
      <x:c r="A27" s="45"/>
      <x:c r="B27" s="45"/>
      <x:c r="C27" s="45"/>
      <x:c r="D27" s="45"/>
      <x:c r="E27" s="45"/>
      <x:c r="F27" s="45"/>
      <x:c r="G27" s="45"/>
      <x:c r="H27" s="45"/>
      <x:c r="I27" s="45"/>
      <x:c r="J27" s="45"/>
    </x:row>
    <x:row r="28" ht="15" hidden="0" customHeight="1">
      <x:c r="A28" s="45"/>
      <x:c r="B28" s="45"/>
      <x:c r="C28" s="45"/>
      <x:c r="D28" s="45"/>
      <x:c r="E28" s="45"/>
      <x:c r="F28" s="45"/>
      <x:c r="G28" s="45"/>
      <x:c r="H28" s="45"/>
      <x:c r="I28" s="45"/>
      <x:c r="J28" s="45"/>
    </x:row>
    <x:row r="29" ht="26.399999618530273" hidden="0" customHeight="1">
      <x:c r="A29" s="45"/>
      <x:c r="B29" s="45"/>
      <x:c r="C29" s="45"/>
      <x:c r="D29" s="45"/>
      <x:c r="E29" s="45"/>
      <x:c r="F29" s="45"/>
      <x:c r="G29" s="45"/>
      <x:c r="H29" s="45"/>
      <x:c r="I29" s="45"/>
      <x:c r="J29" s="45"/>
    </x:row>
    <x:row r="30" ht="26.399999618530273" hidden="0" customHeight="1">
      <x:c r="A30" s="45"/>
      <x:c r="B30" s="45"/>
      <x:c r="C30" s="45"/>
      <x:c r="D30" s="45"/>
      <x:c r="E30" s="45"/>
      <x:c r="F30" s="45"/>
      <x:c r="G30" s="45"/>
      <x:c r="H30" s="45"/>
      <x:c r="I30" s="45"/>
      <x:c r="J30" s="45"/>
    </x:row>
    <x:row r="31" ht="26.399999618530273" hidden="0" customHeight="1">
      <x:c r="A31" s="45"/>
      <x:c r="B31" s="45"/>
      <x:c r="C31" s="45"/>
      <x:c r="D31" s="45"/>
      <x:c r="E31" s="45"/>
      <x:c r="F31" s="45"/>
      <x:c r="G31" s="45"/>
      <x:c r="H31" s="45"/>
      <x:c r="I31" s="45"/>
      <x:c r="J31" s="45"/>
    </x:row>
  </x:sheetData>
  <x:mergeCells>
    <x:mergeCell ref="A1:J1"/>
    <x:mergeCell ref="A1:H1"/>
    <x:mergeCell ref="A3:H5"/>
  </x:mergeCells>
  <x:conditionalFormatting sqref="E4:E31">
    <x:cfRule type="expression" dxfId="13" priority="1">
      <x:formula>ISNUMBER(SEARCH("Neuaufnahme",E4))</x:formula>
    </x:cfRule>
    <x:cfRule type="expression" dxfId="14" priority="2">
      <x:formula>OR(ISNUMBER(SEARCH("Entfernen",E4)),ISNUMBER(SEARCH("Ausschließen",E4)))</x:formula>
    </x:cfRule>
    <x:cfRule type="expression" dxfId="15" priority="3">
      <x:formula>ISNUMBER(SEARCH("Bestand",E4))</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6" max="6" width="16" hidden="0" customWidth="1"/>
    <x:col min="8" max="8" width="16" hidden="0" customWidth="1"/>
    <x:col min="10" max="10" width="13" hidden="0" customWidth="1"/>
    <x:col min="11" max="11" width="13" hidden="0" customWidth="1"/>
    <x:col min="18" max="18" width="13" hidden="0" customWidth="1"/>
    <x:col min="19" max="19" width="13" hidden="0" customWidth="1"/>
    <x:col min="24" max="24" width="13" hidden="0" customWidth="1"/>
    <x:col min="2" max="2" width="16" hidden="0" customWidth="1"/>
    <x:col min="4" max="4" width="16" hidden="0" customWidth="1"/>
    <x:col min="15" max="15" width="30" hidden="0" customWidth="1"/>
    <x:col min="16" max="16" width="30" hidden="0" customWidth="1"/>
    <x:col min="17" max="17" width="30" hidden="0" customWidth="1"/>
    <x:col min="20" max="20" width="30" hidden="0" customWidth="1"/>
    <x:col min="21" max="21" width="30" hidden="0" customWidth="1"/>
    <x:col min="22" max="22" width="30" hidden="0" customWidth="1"/>
    <x:col min="23" max="23" width="30" hidden="0" customWidth="1"/>
    <x:col min="25" max="25" width="30" hidden="0" customWidth="1"/>
    <x:col min="26" max="26" width="30" hidden="0" customWidth="1"/>
    <x:col min="3" max="3" width="16" hidden="0" customWidth="1"/>
    <x:col min="5" max="5" width="16" hidden="0" customWidth="1"/>
    <x:col min="7" max="7" width="16" hidden="0" customWidth="1"/>
    <x:col min="9" max="9" width="22" hidden="0" customWidth="1"/>
    <x:col min="12" max="12" width="26" hidden="0" customWidth="1"/>
    <x:col min="13" max="13" width="26" hidden="0" customWidth="1"/>
    <x:col min="14" max="14" width="26" hidden="0" customWidth="1"/>
  </x:cols>
  <x:sheetData>
    <x:row r="1" ht="19.200000762939453" hidden="0" customHeight="1">
      <x:c r="A1" s="144" t="str">
        <x:v>ARCHIV / ERSETZT – Medizin Ergänzungen 4.4x</x:v>
      </x:c>
      <x:c r="B1" s="144"/>
      <x:c r="C1" s="144"/>
      <x:c r="D1" s="144"/>
      <x:c r="E1" s="144"/>
      <x:c r="F1" s="144"/>
      <x:c r="G1" s="144"/>
      <x:c r="H1" s="144"/>
      <x:c r="I1" s="96"/>
      <x:c r="J1" s="96"/>
      <x:c r="K1" s="96"/>
      <x:c r="L1" s="96"/>
      <x:c r="M1" s="96"/>
      <x:c r="N1" s="96"/>
      <x:c r="O1" s="96"/>
      <x:c r="P1" s="96"/>
      <x:c r="Q1" s="96"/>
      <x:c r="R1" s="96"/>
      <x:c r="S1" s="96"/>
      <x:c r="T1" s="96"/>
      <x:c r="U1" s="96"/>
      <x:c r="V1" s="96"/>
      <x:c r="W1" s="96"/>
      <x:c r="X1" s="96"/>
      <x:c r="Y1" s="96"/>
      <x:c r="Z1" s="96"/>
    </x:row>
    <x:row r="2"/>
    <x:row r="3" ht="15" hidden="0" customHeight="1">
      <x:c r="A3" s="141" t="str">
        <x:v>Dieser Zwischenstand wurde durch die vollständige Konsolidierung vom 30.08.2026 ersetzt. Maßgeblich sind: „GESAMT 4.4x Übersicht“, „Kartenimport Gesamt 4.4x“, „Neuro-Psych 4.4x“, „Änderungen Gesamt 4.4x“, „Ausschlüsse-Regeln 4.4x“ und „Quellen 4.4x“.</x:v>
      </x:c>
      <x:c r="B3" s="141"/>
      <x:c r="C3" s="141"/>
      <x:c r="D3" s="141"/>
      <x:c r="E3" s="141"/>
      <x:c r="F3" s="141"/>
      <x:c r="G3" s="141"/>
      <x:c r="H3" s="141"/>
      <x:c r="I3" s="101"/>
      <x:c r="J3" s="101"/>
      <x:c r="K3" s="101"/>
      <x:c r="L3" s="101"/>
      <x:c r="M3" s="101"/>
      <x:c r="N3" s="101"/>
      <x:c r="O3" s="101"/>
      <x:c r="P3" s="101"/>
      <x:c r="Q3" s="101"/>
      <x:c r="R3" s="101"/>
      <x:c r="S3" s="101"/>
      <x:c r="T3" s="101"/>
      <x:c r="U3" s="101"/>
      <x:c r="V3" s="101"/>
      <x:c r="W3" s="101"/>
      <x:c r="X3" s="101"/>
      <x:c r="Y3" s="101"/>
      <x:c r="Z3" s="101"/>
    </x:row>
    <x:row r="4" ht="52.79999923706055" hidden="0" customHeight="1">
      <x:c r="A4" s="142"/>
      <x:c r="B4" s="142"/>
      <x:c r="C4" s="142"/>
      <x:c r="D4" s="142"/>
      <x:c r="E4" s="142"/>
      <x:c r="F4" s="142"/>
      <x:c r="G4" s="142"/>
      <x:c r="H4" s="142"/>
      <x:c r="I4" s="45"/>
      <x:c r="J4" s="45"/>
      <x:c r="K4" s="45"/>
      <x:c r="L4" s="45"/>
      <x:c r="M4" s="45"/>
      <x:c r="N4" s="45"/>
      <x:c r="O4" s="45"/>
      <x:c r="P4" s="45"/>
      <x:c r="Q4" s="45"/>
      <x:c r="R4" s="45"/>
      <x:c r="S4" s="45"/>
      <x:c r="T4" s="45"/>
      <x:c r="U4" s="45"/>
      <x:c r="V4" s="45"/>
      <x:c r="W4" s="45"/>
      <x:c r="X4" s="45"/>
      <x:c r="Y4" s="45"/>
      <x:c r="Z4" s="45"/>
    </x:row>
    <x:row r="5" ht="26.399999618530273" hidden="0" customHeight="1">
      <x:c r="A5" s="142"/>
      <x:c r="B5" s="142"/>
      <x:c r="C5" s="142"/>
      <x:c r="D5" s="142"/>
      <x:c r="E5" s="142"/>
      <x:c r="F5" s="142"/>
      <x:c r="G5" s="142"/>
      <x:c r="H5" s="142"/>
      <x:c r="I5" s="45"/>
      <x:c r="J5" s="45"/>
      <x:c r="K5" s="45"/>
      <x:c r="L5" s="45"/>
      <x:c r="M5" s="45"/>
      <x:c r="N5" s="45"/>
      <x:c r="O5" s="45"/>
      <x:c r="P5" s="45"/>
      <x:c r="Q5" s="45"/>
      <x:c r="R5" s="45"/>
      <x:c r="S5" s="45"/>
      <x:c r="T5" s="45"/>
      <x:c r="U5" s="45"/>
      <x:c r="V5" s="45"/>
      <x:c r="W5" s="45"/>
      <x:c r="X5" s="45"/>
      <x:c r="Y5" s="45"/>
      <x:c r="Z5" s="45"/>
    </x:row>
    <x:row r="6" ht="39.599998474121094" hidden="0" customHeight="1">
      <x:c r="A6" s="45"/>
      <x:c r="B6" s="45"/>
      <x:c r="C6" s="45"/>
      <x:c r="D6" s="45"/>
      <x:c r="E6" s="45"/>
      <x:c r="F6" s="45"/>
      <x:c r="G6" s="45"/>
      <x:c r="H6" s="45"/>
      <x:c r="I6" s="45"/>
      <x:c r="J6" s="45"/>
      <x:c r="K6" s="45"/>
      <x:c r="L6" s="45"/>
      <x:c r="M6" s="45"/>
      <x:c r="N6" s="45"/>
      <x:c r="O6" s="45"/>
      <x:c r="P6" s="45"/>
      <x:c r="Q6" s="45"/>
      <x:c r="R6" s="45"/>
      <x:c r="S6" s="45"/>
      <x:c r="T6" s="45"/>
      <x:c r="U6" s="45"/>
      <x:c r="V6" s="45"/>
      <x:c r="W6" s="45"/>
      <x:c r="X6" s="45"/>
      <x:c r="Y6" s="45"/>
      <x:c r="Z6" s="45"/>
    </x:row>
    <x:row r="7" ht="39.599998474121094" hidden="0" customHeight="1">
      <x:c r="A7" s="45"/>
      <x:c r="B7" s="45"/>
      <x:c r="C7" s="45"/>
      <x:c r="D7" s="45"/>
      <x:c r="E7" s="45"/>
      <x:c r="F7" s="45"/>
      <x:c r="G7" s="45"/>
      <x:c r="H7" s="45"/>
      <x:c r="I7" s="45"/>
      <x:c r="J7" s="45"/>
      <x:c r="K7" s="45"/>
      <x:c r="L7" s="45"/>
      <x:c r="M7" s="45"/>
      <x:c r="N7" s="45"/>
      <x:c r="O7" s="45"/>
      <x:c r="P7" s="45"/>
      <x:c r="Q7" s="45"/>
      <x:c r="R7" s="45"/>
      <x:c r="S7" s="45"/>
      <x:c r="T7" s="45"/>
      <x:c r="U7" s="45"/>
      <x:c r="V7" s="45"/>
      <x:c r="W7" s="45"/>
      <x:c r="X7" s="45"/>
      <x:c r="Y7" s="45"/>
      <x:c r="Z7" s="45"/>
    </x:row>
    <x:row r="8" ht="26.399999618530273" hidden="0" customHeight="1">
      <x:c r="A8" s="45"/>
      <x:c r="B8" s="45"/>
      <x:c r="C8" s="45"/>
      <x:c r="D8" s="45"/>
      <x:c r="E8" s="45"/>
      <x:c r="F8" s="45"/>
      <x:c r="G8" s="45"/>
      <x:c r="H8" s="45"/>
      <x:c r="I8" s="45"/>
      <x:c r="J8" s="45"/>
      <x:c r="K8" s="45"/>
      <x:c r="L8" s="45"/>
      <x:c r="M8" s="45"/>
      <x:c r="N8" s="45"/>
      <x:c r="O8" s="45"/>
      <x:c r="P8" s="45"/>
      <x:c r="Q8" s="45"/>
      <x:c r="R8" s="45"/>
      <x:c r="S8" s="45"/>
      <x:c r="T8" s="45"/>
      <x:c r="U8" s="45"/>
      <x:c r="V8" s="45"/>
      <x:c r="W8" s="45"/>
      <x:c r="X8" s="45"/>
      <x:c r="Y8" s="45"/>
      <x:c r="Z8" s="45"/>
    </x:row>
    <x:row r="9" ht="39.599998474121094" hidden="0" customHeight="1">
      <x:c r="A9" s="45"/>
      <x:c r="B9" s="45"/>
      <x:c r="C9" s="45"/>
      <x:c r="D9" s="45"/>
      <x:c r="E9" s="45"/>
      <x:c r="F9" s="45"/>
      <x:c r="G9" s="45"/>
      <x:c r="H9" s="45"/>
      <x:c r="I9" s="45"/>
      <x:c r="J9" s="45"/>
      <x:c r="K9" s="45"/>
      <x:c r="L9" s="45"/>
      <x:c r="M9" s="45"/>
      <x:c r="N9" s="45"/>
      <x:c r="O9" s="45"/>
      <x:c r="P9" s="45"/>
      <x:c r="Q9" s="45"/>
      <x:c r="R9" s="45"/>
      <x:c r="S9" s="45"/>
      <x:c r="T9" s="45"/>
      <x:c r="U9" s="45"/>
      <x:c r="V9" s="45"/>
      <x:c r="W9" s="45"/>
      <x:c r="X9" s="45"/>
      <x:c r="Y9" s="45"/>
      <x:c r="Z9" s="45"/>
    </x:row>
    <x:row r="10" ht="66" hidden="0" customHeight="1">
      <x:c r="A10" s="45"/>
      <x:c r="B10" s="45"/>
      <x:c r="C10" s="45"/>
      <x:c r="D10" s="45"/>
      <x:c r="E10" s="45"/>
      <x:c r="F10" s="45"/>
      <x:c r="G10" s="45"/>
      <x:c r="H10" s="45"/>
      <x:c r="I10" s="45"/>
      <x:c r="J10" s="45"/>
      <x:c r="K10" s="45"/>
      <x:c r="L10" s="45"/>
      <x:c r="M10" s="45"/>
      <x:c r="N10" s="45"/>
      <x:c r="O10" s="45"/>
      <x:c r="P10" s="45"/>
      <x:c r="Q10" s="45"/>
      <x:c r="R10" s="45"/>
      <x:c r="S10" s="45"/>
      <x:c r="T10" s="45"/>
      <x:c r="U10" s="45"/>
      <x:c r="V10" s="45"/>
      <x:c r="W10" s="45"/>
      <x:c r="X10" s="45"/>
      <x:c r="Y10" s="45"/>
      <x:c r="Z10" s="45"/>
    </x:row>
    <x:row r="11" ht="26.399999618530273" hidden="0" customHeight="1">
      <x:c r="A11" s="45"/>
      <x:c r="B11" s="45"/>
      <x:c r="C11" s="45"/>
      <x:c r="D11" s="45"/>
      <x:c r="E11" s="45"/>
      <x:c r="F11" s="45"/>
      <x:c r="G11" s="45"/>
      <x:c r="H11" s="45"/>
      <x:c r="I11" s="45"/>
      <x:c r="J11" s="45"/>
      <x:c r="K11" s="45"/>
      <x:c r="L11" s="45"/>
      <x:c r="M11" s="45"/>
      <x:c r="N11" s="45"/>
      <x:c r="O11" s="45"/>
      <x:c r="P11" s="45"/>
      <x:c r="Q11" s="45"/>
      <x:c r="R11" s="45"/>
      <x:c r="S11" s="45"/>
      <x:c r="T11" s="45"/>
      <x:c r="U11" s="45"/>
      <x:c r="V11" s="45"/>
      <x:c r="W11" s="45"/>
      <x:c r="X11" s="45"/>
      <x:c r="Y11" s="45"/>
      <x:c r="Z11" s="45"/>
    </x:row>
  </x:sheetData>
  <x:mergeCells>
    <x:mergeCell ref="A1:Z1"/>
    <x:mergeCell ref="A1:H1"/>
    <x:mergeCell ref="A3:H5"/>
  </x:mergeCells>
  <x:pageMargins left="0.7" right="0.7" top="0.75" bottom="0.75" header="0.3" footer="0.3"/>
</x:worksheet>
</file>

<file path=xl/worksheets/sheet21.xml><?xml version="1.0" encoding="utf-8"?>
<x:worksheet xmlns:x="http://schemas.openxmlformats.org/spreadsheetml/2006/main">
  <x:sheetFormatPr defaultRowHeight="15"/>
  <x:cols>
    <x:col min="1" max="1" width="28" hidden="0" customWidth="1"/>
    <x:col min="6" max="6" width="16" hidden="0" customWidth="1"/>
    <x:col min="8" max="8" width="16" hidden="0" customWidth="1"/>
    <x:col min="10" max="10" width="13" hidden="0" customWidth="1"/>
    <x:col min="11" max="11" width="13" hidden="0" customWidth="1"/>
    <x:col min="18" max="18" width="13" hidden="0" customWidth="1"/>
    <x:col min="19" max="19" width="13" hidden="0" customWidth="1"/>
    <x:col min="24" max="24" width="13" hidden="0" customWidth="1"/>
    <x:col min="2" max="2" width="16" hidden="0" customWidth="1"/>
    <x:col min="4" max="4" width="16" hidden="0" customWidth="1"/>
    <x:col min="15" max="15" width="30" hidden="0" customWidth="1"/>
    <x:col min="16" max="16" width="30" hidden="0" customWidth="1"/>
    <x:col min="17" max="17" width="30" hidden="0" customWidth="1"/>
    <x:col min="20" max="20" width="30" hidden="0" customWidth="1"/>
    <x:col min="21" max="21" width="30" hidden="0" customWidth="1"/>
    <x:col min="22" max="22" width="30" hidden="0" customWidth="1"/>
    <x:col min="23" max="23" width="30" hidden="0" customWidth="1"/>
    <x:col min="25" max="25" width="30" hidden="0" customWidth="1"/>
    <x:col min="26" max="26" width="30" hidden="0" customWidth="1"/>
    <x:col min="3" max="3" width="16" hidden="0" customWidth="1"/>
    <x:col min="5" max="5" width="16" hidden="0" customWidth="1"/>
    <x:col min="7" max="7" width="16" hidden="0" customWidth="1"/>
    <x:col min="9" max="9" width="22" hidden="0" customWidth="1"/>
    <x:col min="12" max="12" width="26" hidden="0" customWidth="1"/>
    <x:col min="13" max="13" width="26" hidden="0" customWidth="1"/>
    <x:col min="14" max="14" width="26" hidden="0" customWidth="1"/>
  </x:cols>
  <x:sheetData>
    <x:row r="1" ht="19.200000762939453" hidden="0" customHeight="1">
      <x:c r="A1" s="144" t="str">
        <x:v>ARCHIV / ERSETZT – LTA+Teilhabe 4.4x</x:v>
      </x:c>
      <x:c r="B1" s="144"/>
      <x:c r="C1" s="144"/>
      <x:c r="D1" s="144"/>
      <x:c r="E1" s="144"/>
      <x:c r="F1" s="144"/>
      <x:c r="G1" s="144"/>
      <x:c r="H1" s="144"/>
      <x:c r="I1" s="96"/>
      <x:c r="J1" s="96"/>
      <x:c r="K1" s="96"/>
      <x:c r="L1" s="96"/>
      <x:c r="M1" s="96"/>
      <x:c r="N1" s="96"/>
      <x:c r="O1" s="96"/>
      <x:c r="P1" s="96"/>
      <x:c r="Q1" s="96"/>
      <x:c r="R1" s="96"/>
      <x:c r="S1" s="96"/>
      <x:c r="T1" s="96"/>
      <x:c r="U1" s="96"/>
      <x:c r="V1" s="96"/>
      <x:c r="W1" s="96"/>
      <x:c r="X1" s="96"/>
      <x:c r="Y1" s="96"/>
      <x:c r="Z1" s="96"/>
    </x:row>
    <x:row r="2"/>
    <x:row r="3" ht="15" hidden="0" customHeight="1">
      <x:c r="A3" s="141" t="str">
        <x:v>Dieser Zwischenstand wurde durch die vollständige Konsolidierung vom 30.08.2026 ersetzt. Maßgeblich sind: „GESAMT 4.4x Übersicht“, „Kartenimport Gesamt 4.4x“, „Neuro-Psych 4.4x“, „Änderungen Gesamt 4.4x“, „Ausschlüsse-Regeln 4.4x“ und „Quellen 4.4x“.</x:v>
      </x:c>
      <x:c r="B3" s="141"/>
      <x:c r="C3" s="141"/>
      <x:c r="D3" s="141"/>
      <x:c r="E3" s="141"/>
      <x:c r="F3" s="141"/>
      <x:c r="G3" s="141"/>
      <x:c r="H3" s="141"/>
      <x:c r="I3" s="101"/>
      <x:c r="J3" s="101"/>
      <x:c r="K3" s="101"/>
      <x:c r="L3" s="101"/>
      <x:c r="M3" s="101"/>
      <x:c r="N3" s="101"/>
      <x:c r="O3" s="101"/>
      <x:c r="P3" s="101"/>
      <x:c r="Q3" s="101"/>
      <x:c r="R3" s="101"/>
      <x:c r="S3" s="101"/>
      <x:c r="T3" s="101"/>
      <x:c r="U3" s="101"/>
      <x:c r="V3" s="101"/>
      <x:c r="W3" s="101"/>
      <x:c r="X3" s="101"/>
      <x:c r="Y3" s="101"/>
      <x:c r="Z3" s="101"/>
    </x:row>
    <x:row r="4" ht="39.599998474121094" hidden="0" customHeight="1">
      <x:c r="A4" s="142"/>
      <x:c r="B4" s="142"/>
      <x:c r="C4" s="142"/>
      <x:c r="D4" s="142"/>
      <x:c r="E4" s="142"/>
      <x:c r="F4" s="142"/>
      <x:c r="G4" s="142"/>
      <x:c r="H4" s="142"/>
      <x:c r="I4" s="45"/>
      <x:c r="J4" s="45"/>
      <x:c r="K4" s="45"/>
      <x:c r="L4" s="45"/>
      <x:c r="M4" s="45"/>
      <x:c r="N4" s="45"/>
      <x:c r="O4" s="45"/>
      <x:c r="P4" s="45"/>
      <x:c r="Q4" s="45"/>
      <x:c r="R4" s="45"/>
      <x:c r="S4" s="45"/>
      <x:c r="T4" s="45"/>
      <x:c r="U4" s="45"/>
      <x:c r="V4" s="45"/>
      <x:c r="W4" s="45"/>
      <x:c r="X4" s="45"/>
      <x:c r="Y4" s="45"/>
      <x:c r="Z4" s="45"/>
    </x:row>
    <x:row r="5" ht="52.79999923706055" hidden="0" customHeight="1">
      <x:c r="A5" s="142"/>
      <x:c r="B5" s="142"/>
      <x:c r="C5" s="142"/>
      <x:c r="D5" s="142"/>
      <x:c r="E5" s="142"/>
      <x:c r="F5" s="142"/>
      <x:c r="G5" s="142"/>
      <x:c r="H5" s="142"/>
      <x:c r="I5" s="45"/>
      <x:c r="J5" s="45"/>
      <x:c r="K5" s="45"/>
      <x:c r="L5" s="45"/>
      <x:c r="M5" s="45"/>
      <x:c r="N5" s="45"/>
      <x:c r="O5" s="45"/>
      <x:c r="P5" s="45"/>
      <x:c r="Q5" s="45"/>
      <x:c r="R5" s="45"/>
      <x:c r="S5" s="45"/>
      <x:c r="T5" s="45"/>
      <x:c r="U5" s="45"/>
      <x:c r="V5" s="45"/>
      <x:c r="W5" s="45"/>
      <x:c r="X5" s="45"/>
      <x:c r="Y5" s="45"/>
      <x:c r="Z5" s="45"/>
    </x:row>
    <x:row r="6" ht="52.79999923706055" hidden="0" customHeight="1">
      <x:c r="A6" s="45"/>
      <x:c r="B6" s="45"/>
      <x:c r="C6" s="45"/>
      <x:c r="D6" s="45"/>
      <x:c r="E6" s="45"/>
      <x:c r="F6" s="45"/>
      <x:c r="G6" s="45"/>
      <x:c r="H6" s="45"/>
      <x:c r="I6" s="45"/>
      <x:c r="J6" s="45"/>
      <x:c r="K6" s="45"/>
      <x:c r="L6" s="45"/>
      <x:c r="M6" s="45"/>
      <x:c r="N6" s="45"/>
      <x:c r="O6" s="45"/>
      <x:c r="P6" s="45"/>
      <x:c r="Q6" s="45"/>
      <x:c r="R6" s="45"/>
      <x:c r="S6" s="45"/>
      <x:c r="T6" s="45"/>
      <x:c r="U6" s="45"/>
      <x:c r="V6" s="45"/>
      <x:c r="W6" s="45"/>
      <x:c r="X6" s="45"/>
      <x:c r="Y6" s="45"/>
      <x:c r="Z6" s="45"/>
    </x:row>
    <x:row r="7" ht="52.79999923706055" hidden="0" customHeight="1">
      <x:c r="A7" s="45"/>
      <x:c r="B7" s="45"/>
      <x:c r="C7" s="45"/>
      <x:c r="D7" s="45"/>
      <x:c r="E7" s="45"/>
      <x:c r="F7" s="45"/>
      <x:c r="G7" s="45"/>
      <x:c r="H7" s="45"/>
      <x:c r="I7" s="45"/>
      <x:c r="J7" s="45"/>
      <x:c r="K7" s="45"/>
      <x:c r="L7" s="45"/>
      <x:c r="M7" s="45"/>
      <x:c r="N7" s="45"/>
      <x:c r="O7" s="45"/>
      <x:c r="P7" s="45"/>
      <x:c r="Q7" s="45"/>
      <x:c r="R7" s="45"/>
      <x:c r="S7" s="45"/>
      <x:c r="T7" s="45"/>
      <x:c r="U7" s="45"/>
      <x:c r="V7" s="45"/>
      <x:c r="W7" s="45"/>
      <x:c r="X7" s="45"/>
      <x:c r="Y7" s="45"/>
      <x:c r="Z7" s="45"/>
    </x:row>
    <x:row r="8" ht="26.399999618530273" hidden="0" customHeight="1">
      <x:c r="A8" s="45"/>
      <x:c r="B8" s="45"/>
      <x:c r="C8" s="45"/>
      <x:c r="D8" s="45"/>
      <x:c r="E8" s="45"/>
      <x:c r="F8" s="45"/>
      <x:c r="G8" s="45"/>
      <x:c r="H8" s="45"/>
      <x:c r="I8" s="45"/>
      <x:c r="J8" s="45"/>
      <x:c r="K8" s="45"/>
      <x:c r="L8" s="45"/>
      <x:c r="M8" s="45"/>
      <x:c r="N8" s="45"/>
      <x:c r="O8" s="45"/>
      <x:c r="P8" s="45"/>
      <x:c r="Q8" s="45"/>
      <x:c r="R8" s="45"/>
      <x:c r="S8" s="45"/>
      <x:c r="T8" s="45"/>
      <x:c r="U8" s="45"/>
      <x:c r="V8" s="45"/>
      <x:c r="W8" s="45"/>
      <x:c r="X8" s="45"/>
      <x:c r="Y8" s="45"/>
      <x:c r="Z8" s="45"/>
    </x:row>
    <x:row r="9" ht="66" hidden="0" customHeight="1">
      <x:c r="A9" s="45"/>
      <x:c r="B9" s="45"/>
      <x:c r="C9" s="45"/>
      <x:c r="D9" s="45"/>
      <x:c r="E9" s="45"/>
      <x:c r="F9" s="45"/>
      <x:c r="G9" s="45"/>
      <x:c r="H9" s="45"/>
      <x:c r="I9" s="45"/>
      <x:c r="J9" s="45"/>
      <x:c r="K9" s="45"/>
      <x:c r="L9" s="45"/>
      <x:c r="M9" s="45"/>
      <x:c r="N9" s="45"/>
      <x:c r="O9" s="45"/>
      <x:c r="P9" s="45"/>
      <x:c r="Q9" s="45"/>
      <x:c r="R9" s="45"/>
      <x:c r="S9" s="45"/>
      <x:c r="T9" s="45"/>
      <x:c r="U9" s="45"/>
      <x:c r="V9" s="45"/>
      <x:c r="W9" s="45"/>
      <x:c r="X9" s="45"/>
      <x:c r="Y9" s="45"/>
      <x:c r="Z9" s="45"/>
    </x:row>
    <x:row r="10" ht="52.79999923706055" hidden="0" customHeight="1">
      <x:c r="A10" s="45"/>
      <x:c r="B10" s="45"/>
      <x:c r="C10" s="45"/>
      <x:c r="D10" s="45"/>
      <x:c r="E10" s="45"/>
      <x:c r="F10" s="45"/>
      <x:c r="G10" s="45"/>
      <x:c r="H10" s="45"/>
      <x:c r="I10" s="45"/>
      <x:c r="J10" s="45"/>
      <x:c r="K10" s="45"/>
      <x:c r="L10" s="45"/>
      <x:c r="M10" s="45"/>
      <x:c r="N10" s="45"/>
      <x:c r="O10" s="45"/>
      <x:c r="P10" s="45"/>
      <x:c r="Q10" s="45"/>
      <x:c r="R10" s="45"/>
      <x:c r="S10" s="45"/>
      <x:c r="T10" s="45"/>
      <x:c r="U10" s="45"/>
      <x:c r="V10" s="45"/>
      <x:c r="W10" s="45"/>
      <x:c r="X10" s="45"/>
      <x:c r="Y10" s="45"/>
      <x:c r="Z10" s="45"/>
    </x:row>
    <x:row r="11" ht="39.599998474121094" hidden="0" customHeight="1">
      <x:c r="A11" s="45"/>
      <x:c r="B11" s="45"/>
      <x:c r="C11" s="45"/>
      <x:c r="D11" s="45"/>
      <x:c r="E11" s="45"/>
      <x:c r="F11" s="45"/>
      <x:c r="G11" s="45"/>
      <x:c r="H11" s="45"/>
      <x:c r="I11" s="45"/>
      <x:c r="J11" s="45"/>
      <x:c r="K11" s="45"/>
      <x:c r="L11" s="45"/>
      <x:c r="M11" s="45"/>
      <x:c r="N11" s="45"/>
      <x:c r="O11" s="45"/>
      <x:c r="P11" s="45"/>
      <x:c r="Q11" s="45"/>
      <x:c r="R11" s="45"/>
      <x:c r="S11" s="45"/>
      <x:c r="T11" s="45"/>
      <x:c r="U11" s="45"/>
      <x:c r="V11" s="45"/>
      <x:c r="W11" s="45"/>
      <x:c r="X11" s="45"/>
      <x:c r="Y11" s="45"/>
      <x:c r="Z11" s="45"/>
    </x:row>
    <x:row r="12" ht="66" hidden="0" customHeight="1">
      <x:c r="A12" s="45"/>
      <x:c r="B12" s="45"/>
      <x:c r="C12" s="45"/>
      <x:c r="D12" s="45"/>
      <x:c r="E12" s="45"/>
      <x:c r="F12" s="45"/>
      <x:c r="G12" s="45"/>
      <x:c r="H12" s="45"/>
      <x:c r="I12" s="45"/>
      <x:c r="J12" s="45"/>
      <x:c r="K12" s="45"/>
      <x:c r="L12" s="45"/>
      <x:c r="M12" s="45"/>
      <x:c r="N12" s="45"/>
      <x:c r="O12" s="45"/>
      <x:c r="P12" s="45"/>
      <x:c r="Q12" s="45"/>
      <x:c r="R12" s="45"/>
      <x:c r="S12" s="45"/>
      <x:c r="T12" s="45"/>
      <x:c r="U12" s="45"/>
      <x:c r="V12" s="45"/>
      <x:c r="W12" s="45"/>
      <x:c r="X12" s="45"/>
      <x:c r="Y12" s="45"/>
      <x:c r="Z12" s="45"/>
    </x:row>
  </x:sheetData>
  <x:mergeCells>
    <x:mergeCell ref="A1:Z1"/>
    <x:mergeCell ref="A1:H1"/>
    <x:mergeCell ref="A3:H5"/>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19.200000762939453" hidden="0" customHeight="1">
      <x:c r="A1" s="144" t="str">
        <x:v>ARCHIV / ERSETZT – QA Geodaten 4.4x</x:v>
      </x:c>
      <x:c r="B1" s="144"/>
      <x:c r="C1" s="144"/>
      <x:c r="D1" s="144"/>
      <x:c r="E1" s="144"/>
      <x:c r="F1" s="146"/>
      <x:c r="G1" s="146"/>
      <x:c r="H1" s="146"/>
    </x:row>
    <x:row r="2"/>
    <x:row r="3" ht="15" hidden="0" customHeight="1">
      <x:c r="A3" s="141" t="str">
        <x:v>Dieser Zwischenstand wurde durch die vollständige Konsolidierung vom 30.08.2026 ersetzt. Maßgeblich sind: „GESAMT 4.4x Übersicht“, „Kartenimport Gesamt 4.4x“, „Neuro-Psych 4.4x“, „Änderungen Gesamt 4.4x“, „Ausschlüsse-Regeln 4.4x“ und „Quellen 4.4x“.</x:v>
      </x:c>
      <x:c r="B3" s="141"/>
      <x:c r="C3" s="141"/>
      <x:c r="D3" s="141"/>
      <x:c r="E3" s="141"/>
      <x:c r="F3" s="140"/>
      <x:c r="G3" s="140"/>
      <x:c r="H3" s="140"/>
    </x:row>
    <x:row r="4" ht="15" hidden="0" customHeight="1">
      <x:c r="A4" s="142"/>
      <x:c r="B4" s="142"/>
      <x:c r="C4" s="142"/>
      <x:c r="D4" s="142"/>
      <x:c r="E4" s="142"/>
      <x:c r="F4" s="140"/>
      <x:c r="G4" s="140"/>
      <x:c r="H4" s="140"/>
    </x:row>
    <x:row r="5" ht="15" hidden="0" customHeight="1">
      <x:c r="A5" s="142"/>
      <x:c r="B5" s="142"/>
      <x:c r="C5" s="142"/>
      <x:c r="D5" s="142"/>
      <x:c r="E5" s="142"/>
      <x:c r="F5" s="140"/>
      <x:c r="G5" s="140"/>
      <x:c r="H5" s="140"/>
    </x:row>
    <x:row r="6" ht="15" hidden="0" customHeight="1">
      <x:c r="A6" s="45"/>
      <x:c r="B6" s="45"/>
      <x:c r="C6" s="45"/>
      <x:c r="D6" s="45"/>
      <x:c r="E6" s="45"/>
    </x:row>
    <x:row r="7" ht="15" hidden="0" customHeight="1">
      <x:c r="A7" s="45"/>
      <x:c r="B7" s="45"/>
      <x:c r="C7" s="45"/>
      <x:c r="D7" s="45"/>
      <x:c r="E7" s="45"/>
    </x:row>
    <x:row r="8" ht="15" hidden="0" customHeight="1">
      <x:c r="A8" s="45"/>
      <x:c r="B8" s="45"/>
      <x:c r="C8" s="45"/>
      <x:c r="D8" s="45"/>
      <x:c r="E8" s="45"/>
    </x:row>
    <x:row r="9" ht="15" hidden="0" customHeight="1">
      <x:c r="A9" s="45"/>
      <x:c r="B9" s="45"/>
      <x:c r="C9" s="45"/>
      <x:c r="D9" s="45"/>
      <x:c r="E9" s="45"/>
    </x:row>
    <x:row r="10" ht="15" hidden="0" customHeight="1">
      <x:c r="A10" s="45"/>
      <x:c r="B10" s="45"/>
      <x:c r="C10" s="45"/>
      <x:c r="D10" s="45"/>
      <x:c r="E10" s="45"/>
    </x:row>
    <x:row r="11" ht="26.399999618530273" hidden="0" customHeight="1">
      <x:c r="A11" s="45"/>
      <x:c r="B11" s="45"/>
      <x:c r="C11" s="45"/>
      <x:c r="D11" s="45"/>
      <x:c r="E11" s="45"/>
    </x:row>
    <x:row r="12" ht="15" hidden="0" customHeight="1">
      <x:c r="A12" s="45"/>
      <x:c r="B12" s="45"/>
      <x:c r="C12" s="45"/>
      <x:c r="D12" s="45"/>
      <x:c r="E12" s="45"/>
    </x:row>
    <x:row r="13" ht="15" hidden="0" customHeight="1">
      <x:c r="A13" s="45"/>
      <x:c r="B13" s="45"/>
      <x:c r="C13" s="45"/>
      <x:c r="D13" s="45"/>
      <x:c r="E13" s="45"/>
    </x:row>
    <x:row r="14" ht="15" hidden="0" customHeight="1">
      <x:c r="A14" s="45"/>
      <x:c r="B14" s="45"/>
      <x:c r="C14" s="45"/>
      <x:c r="D14" s="45"/>
      <x:c r="E14" s="45"/>
    </x:row>
  </x:sheetData>
  <x:mergeCells>
    <x:mergeCell ref="A1:E1"/>
    <x:mergeCell ref="A1:H1"/>
    <x:mergeCell ref="A3:H5"/>
  </x:mergeCells>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22" hidden="0" customWidth="1"/>
    <x:col min="3" max="3" width="55" hidden="0" customWidth="1"/>
    <x:col min="4" max="4" width="40" hidden="0" customWidth="1"/>
    <x:col min="5" max="5" width="13" hidden="0" customWidth="1"/>
  </x:cols>
  <x:sheetData>
    <x:row r="1" ht="28" hidden="0" customHeight="1">
      <x:c r="A1" s="124" t="str">
        <x:v>ARCHIV / ERSETZT – Quellen 4.4x</x:v>
      </x:c>
      <x:c r="B1" s="124"/>
      <x:c r="C1" s="124"/>
      <x:c r="D1" s="121"/>
      <x:c r="E1" s="121"/>
      <x:c r="F1" s="113"/>
      <x:c r="G1" s="113"/>
      <x:c r="H1" s="113"/>
      <x:c r="I1" s="113"/>
      <x:c r="J1" s="113"/>
      <x:c r="K1" s="113"/>
      <x:c r="L1" s="113"/>
      <x:c r="M1" s="113"/>
      <x:c r="N1" s="113"/>
      <x:c r="O1" s="113"/>
      <x:c r="P1" s="113"/>
      <x:c r="Q1" s="113"/>
      <x:c r="R1" s="113"/>
      <x:c r="S1" s="113"/>
      <x:c r="T1" s="113"/>
      <x:c r="U1" s="113"/>
      <x:c r="V1" s="113"/>
      <x:c r="W1" s="113"/>
      <x:c r="X1" s="113"/>
      <x:c r="Y1" s="113"/>
      <x:c r="Z1" s="113"/>
      <x:c r="AA1" s="113"/>
      <x:c r="AB1" s="113"/>
      <x:c r="AC1" s="113"/>
      <x:c r="AD1" s="113"/>
      <x:c r="AE1" s="113"/>
    </x:row>
    <x:row r="2">
      <x:c r="A2" s="113"/>
      <x:c r="B2" s="113"/>
      <x:c r="C2" s="113"/>
      <x:c r="D2" s="113"/>
      <x:c r="E2" s="113"/>
      <x:c r="F2" s="113"/>
      <x:c r="G2" s="113"/>
      <x:c r="H2" s="113"/>
      <x:c r="I2" s="113"/>
      <x:c r="J2" s="113"/>
      <x:c r="K2" s="113"/>
      <x:c r="L2" s="113"/>
      <x:c r="M2" s="113"/>
      <x:c r="N2" s="113"/>
      <x:c r="O2" s="113"/>
      <x:c r="P2" s="113"/>
      <x:c r="Q2" s="113"/>
      <x:c r="R2" s="113"/>
      <x:c r="S2" s="113"/>
      <x:c r="T2" s="113"/>
      <x:c r="U2" s="113"/>
      <x:c r="V2" s="113"/>
      <x:c r="W2" s="113"/>
      <x:c r="X2" s="113"/>
      <x:c r="Y2" s="113"/>
      <x:c r="Z2" s="113"/>
      <x:c r="AA2" s="113"/>
      <x:c r="AB2" s="113"/>
      <x:c r="AC2" s="113"/>
      <x:c r="AD2" s="113"/>
      <x:c r="AE2" s="113"/>
    </x:row>
    <x:row r="3" ht="30" hidden="0" customHeight="1">
      <x:c r="A3" s="134" t="str">
        <x:v>Thema / Einrichtung</x:v>
      </x:c>
      <x:c r="B3" s="134" t="str">
        <x:v>Quellentyp</x:v>
      </x:c>
      <x:c r="C3" s="134" t="str">
        <x:v>URL</x:v>
      </x:c>
      <x:c r="D3" s="131" t="str">
        <x:v>Verwendet für</x:v>
      </x:c>
      <x:c r="E3" s="131" t="str">
        <x:v>Prüfdatum</x:v>
      </x:c>
      <x:c r="F3" s="113"/>
      <x:c r="G3" s="113"/>
      <x:c r="H3" s="113"/>
      <x:c r="I3" s="113"/>
      <x:c r="J3" s="113"/>
      <x:c r="K3" s="113"/>
      <x:c r="L3" s="113"/>
      <x:c r="M3" s="113"/>
      <x:c r="N3" s="113"/>
      <x:c r="O3" s="113"/>
      <x:c r="P3" s="113"/>
      <x:c r="Q3" s="113"/>
      <x:c r="R3" s="113"/>
      <x:c r="S3" s="113"/>
      <x:c r="T3" s="113"/>
      <x:c r="U3" s="113"/>
      <x:c r="V3" s="113"/>
      <x:c r="W3" s="113"/>
      <x:c r="X3" s="113"/>
      <x:c r="Y3" s="113"/>
      <x:c r="Z3" s="113"/>
      <x:c r="AA3" s="113"/>
      <x:c r="AB3" s="113"/>
      <x:c r="AC3" s="113"/>
      <x:c r="AD3" s="113"/>
      <x:c r="AE3" s="113"/>
    </x:row>
    <x:row r="4" ht="15" hidden="0" customHeight="1">
      <x:c r="A4" s="116" t="str">
        <x:v>Schmerztherapiezentrum Bad Mergentheim</x:v>
      </x:c>
      <x:c r="B4" s="116" t="str">
        <x:v>Primärquelle</x:v>
      </x:c>
      <x:c r="C4" s="116" t="str">
        <x:v>https://www.schmerzklinik.com/patienten</x:v>
      </x:c>
      <x:c r="D4" s="116" t="str">
        <x:v>Adresse, Kontakt, BG-/Kostenträgerbezug</x:v>
      </x:c>
      <x:c r="E4" s="116" t="str">
        <x:v>2026-08-30</x:v>
      </x:c>
      <x:c r="F4" s="113"/>
      <x:c r="G4" s="113"/>
      <x:c r="H4" s="113"/>
      <x:c r="I4" s="113"/>
      <x:c r="J4" s="113"/>
      <x:c r="K4" s="113"/>
      <x:c r="L4" s="113"/>
      <x:c r="M4" s="113"/>
      <x:c r="N4" s="113"/>
      <x:c r="O4" s="113"/>
      <x:c r="P4" s="113"/>
      <x:c r="Q4" s="113"/>
      <x:c r="R4" s="113"/>
      <x:c r="S4" s="113"/>
      <x:c r="T4" s="113"/>
      <x:c r="U4" s="113"/>
      <x:c r="V4" s="113"/>
      <x:c r="W4" s="113"/>
      <x:c r="X4" s="113"/>
      <x:c r="Y4" s="113"/>
      <x:c r="Z4" s="113"/>
      <x:c r="AA4" s="113"/>
      <x:c r="AB4" s="113"/>
      <x:c r="AC4" s="113"/>
      <x:c r="AD4" s="113"/>
      <x:c r="AE4" s="113"/>
    </x:row>
    <x:row r="5" ht="15" hidden="0" customHeight="1">
      <x:c r="A5" s="116" t="str">
        <x:v>Schmerzpraxis Bad Mergentheim</x:v>
      </x:c>
      <x:c r="B5" s="116" t="str">
        <x:v>Primärquelle</x:v>
      </x:c>
      <x:c r="C5" s="116" t="str">
        <x:v>https://www.schmerzklinik.com/schmerzpraxis</x:v>
      </x:c>
      <x:c r="D5" s="116" t="str">
        <x:v>Ambulanter Standort und BG-Patienten</x:v>
      </x:c>
      <x:c r="E5" s="116" t="str">
        <x:v>2026-08-30</x:v>
      </x:c>
      <x:c r="F5" s="113"/>
      <x:c r="G5" s="113"/>
      <x:c r="H5" s="113"/>
      <x:c r="I5" s="113"/>
      <x:c r="J5" s="113"/>
      <x:c r="K5" s="113"/>
      <x:c r="L5" s="113"/>
      <x:c r="M5" s="113"/>
      <x:c r="N5" s="113"/>
      <x:c r="O5" s="113"/>
      <x:c r="P5" s="113"/>
      <x:c r="Q5" s="113"/>
      <x:c r="R5" s="113"/>
      <x:c r="S5" s="113"/>
      <x:c r="T5" s="113"/>
      <x:c r="U5" s="113"/>
      <x:c r="V5" s="113"/>
      <x:c r="W5" s="113"/>
      <x:c r="X5" s="113"/>
      <x:c r="Y5" s="113"/>
      <x:c r="Z5" s="113"/>
      <x:c r="AA5" s="113"/>
      <x:c r="AB5" s="113"/>
      <x:c r="AC5" s="113"/>
      <x:c r="AD5" s="113"/>
      <x:c r="AE5" s="113"/>
    </x:row>
    <x:row r="6" ht="15" hidden="0" customHeight="1">
      <x:c r="A6" s="116" t="str">
        <x:v>Nowackanlage Karlsruhe</x:v>
      </x:c>
      <x:c r="B6" s="116" t="str">
        <x:v>Primärquelle</x:v>
      </x:c>
      <x:c r="C6" s="116" t="str">
        <x:v>https://www.neurologie-psychiatrie-karlsruhe.de/impressum/</x:v>
      </x:c>
      <x:c r="D6" s="116" t="str">
        <x:v>Adresse, Kontakt, Ärzteteam</x:v>
      </x:c>
      <x:c r="E6" s="116" t="str">
        <x:v>2026-08-30</x:v>
      </x:c>
      <x:c r="F6" s="113"/>
      <x:c r="G6" s="113"/>
      <x:c r="H6" s="113"/>
      <x:c r="I6" s="113"/>
      <x:c r="J6" s="113"/>
      <x:c r="K6" s="113"/>
      <x:c r="L6" s="113"/>
      <x:c r="M6" s="113"/>
      <x:c r="N6" s="113"/>
      <x:c r="O6" s="113"/>
      <x:c r="P6" s="113"/>
      <x:c r="Q6" s="113"/>
      <x:c r="R6" s="113"/>
      <x:c r="S6" s="113"/>
      <x:c r="T6" s="113"/>
      <x:c r="U6" s="113"/>
      <x:c r="V6" s="113"/>
      <x:c r="W6" s="113"/>
      <x:c r="X6" s="113"/>
      <x:c r="Y6" s="113"/>
      <x:c r="Z6" s="113"/>
      <x:c r="AA6" s="113"/>
      <x:c r="AB6" s="113"/>
      <x:c r="AC6" s="113"/>
      <x:c r="AD6" s="113"/>
      <x:c r="AE6" s="113"/>
    </x:row>
    <x:row r="7" ht="15" hidden="0" customHeight="1">
      <x:c r="A7" s="116" t="str">
        <x:v>Nervenheilkunde Weinheim</x:v>
      </x:c>
      <x:c r="B7" s="116" t="str">
        <x:v>Primärquelle</x:v>
      </x:c>
      <x:c r="C7" s="116" t="str">
        <x:v>https://www.nervenheilkunde-weinheim.de/</x:v>
      </x:c>
      <x:c r="D7" s="116" t="str">
        <x:v>Adresse, Kontakt, Fachgebiete</x:v>
      </x:c>
      <x:c r="E7" s="116" t="str">
        <x:v>2026-08-30</x:v>
      </x:c>
      <x:c r="F7" s="113"/>
      <x:c r="G7" s="113"/>
      <x:c r="H7" s="113"/>
      <x:c r="I7" s="113"/>
      <x:c r="J7" s="113"/>
      <x:c r="K7" s="113"/>
      <x:c r="L7" s="113"/>
      <x:c r="M7" s="113"/>
      <x:c r="N7" s="113"/>
      <x:c r="O7" s="113"/>
      <x:c r="P7" s="113"/>
      <x:c r="Q7" s="113"/>
      <x:c r="R7" s="113"/>
      <x:c r="S7" s="113"/>
      <x:c r="T7" s="113"/>
      <x:c r="U7" s="113"/>
      <x:c r="V7" s="113"/>
      <x:c r="W7" s="113"/>
      <x:c r="X7" s="113"/>
      <x:c r="Y7" s="113"/>
      <x:c r="Z7" s="113"/>
      <x:c r="AA7" s="113"/>
      <x:c r="AB7" s="113"/>
      <x:c r="AC7" s="113"/>
      <x:c r="AD7" s="113"/>
      <x:c r="AE7" s="113"/>
    </x:row>
    <x:row r="8" ht="15" hidden="0" customHeight="1">
      <x:c r="A8" s="116" t="str">
        <x:v>Praxis-Zentrum Worms</x:v>
      </x:c>
      <x:c r="B8" s="116" t="str">
        <x:v>Primärquelle</x:v>
      </x:c>
      <x:c r="C8" s="116" t="str">
        <x:v>https://www.np-worms.de/</x:v>
      </x:c>
      <x:c r="D8" s="116" t="str">
        <x:v>Adresse, Kontakt, Fachgebiete</x:v>
      </x:c>
      <x:c r="E8" s="116" t="str">
        <x:v>2026-08-30</x:v>
      </x:c>
      <x:c r="F8" s="113"/>
      <x:c r="G8" s="113"/>
      <x:c r="H8" s="113"/>
      <x:c r="I8" s="113"/>
      <x:c r="J8" s="113"/>
      <x:c r="K8" s="113"/>
      <x:c r="L8" s="113"/>
      <x:c r="M8" s="113"/>
      <x:c r="N8" s="113"/>
      <x:c r="O8" s="113"/>
      <x:c r="P8" s="113"/>
      <x:c r="Q8" s="113"/>
      <x:c r="R8" s="113"/>
      <x:c r="S8" s="113"/>
      <x:c r="T8" s="113"/>
      <x:c r="U8" s="113"/>
      <x:c r="V8" s="113"/>
      <x:c r="W8" s="113"/>
      <x:c r="X8" s="113"/>
      <x:c r="Y8" s="113"/>
      <x:c r="Z8" s="113"/>
      <x:c r="AA8" s="113"/>
      <x:c r="AB8" s="113"/>
      <x:c r="AC8" s="113"/>
      <x:c r="AD8" s="113"/>
      <x:c r="AE8" s="113"/>
    </x:row>
    <x:row r="9" ht="15" hidden="0" customHeight="1">
      <x:c r="A9" s="116" t="str">
        <x:v>Neuropraxis Wertheim</x:v>
      </x:c>
      <x:c r="B9" s="116" t="str">
        <x:v>Primärquelle</x:v>
      </x:c>
      <x:c r="C9" s="116" t="str">
        <x:v>https://www.neuropraxis-wertheim.de/kontakt</x:v>
      </x:c>
      <x:c r="D9" s="116" t="str">
        <x:v>Bestandsabgleich, Kontakt</x:v>
      </x:c>
      <x:c r="E9" s="116" t="str">
        <x:v>2026-08-30</x:v>
      </x:c>
      <x:c r="F9" s="113"/>
      <x:c r="G9" s="113"/>
      <x:c r="H9" s="113"/>
      <x:c r="I9" s="113"/>
      <x:c r="J9" s="113"/>
      <x:c r="K9" s="113"/>
      <x:c r="L9" s="113"/>
      <x:c r="M9" s="113"/>
      <x:c r="N9" s="113"/>
      <x:c r="O9" s="113"/>
      <x:c r="P9" s="113"/>
      <x:c r="Q9" s="113"/>
      <x:c r="R9" s="113"/>
      <x:c r="S9" s="113"/>
      <x:c r="T9" s="113"/>
      <x:c r="U9" s="113"/>
      <x:c r="V9" s="113"/>
      <x:c r="W9" s="113"/>
      <x:c r="X9" s="113"/>
      <x:c r="Y9" s="113"/>
      <x:c r="Z9" s="113"/>
      <x:c r="AA9" s="113"/>
      <x:c r="AB9" s="113"/>
      <x:c r="AC9" s="113"/>
      <x:c r="AD9" s="113"/>
      <x:c r="AE9" s="113"/>
    </x:row>
    <x:row r="10" ht="15" hidden="0" customHeight="1">
      <x:c r="A10" s="116" t="str">
        <x:v>NervenDocks Buchen</x:v>
      </x:c>
      <x:c r="B10" s="116" t="str">
        <x:v>Primärquelle</x:v>
      </x:c>
      <x:c r="C10" s="116" t="str">
        <x:v>https://www.nervendocks.de/</x:v>
      </x:c>
      <x:c r="D10" s="116" t="str">
        <x:v>Bestandsabgleich, Kontakt</x:v>
      </x:c>
      <x:c r="E10" s="116" t="str">
        <x:v>2026-08-30</x:v>
      </x:c>
      <x:c r="F10" s="113"/>
      <x:c r="G10" s="113"/>
      <x:c r="H10" s="113"/>
      <x:c r="I10" s="113"/>
      <x:c r="J10" s="113"/>
      <x:c r="K10" s="113"/>
      <x:c r="L10" s="113"/>
      <x:c r="M10" s="113"/>
      <x:c r="N10" s="113"/>
      <x:c r="O10" s="113"/>
      <x:c r="P10" s="113"/>
      <x:c r="Q10" s="113"/>
      <x:c r="R10" s="113"/>
      <x:c r="S10" s="113"/>
      <x:c r="T10" s="113"/>
      <x:c r="U10" s="113"/>
      <x:c r="V10" s="113"/>
      <x:c r="W10" s="113"/>
      <x:c r="X10" s="113"/>
      <x:c r="Y10" s="113"/>
      <x:c r="Z10" s="113"/>
      <x:c r="AA10" s="113"/>
      <x:c r="AB10" s="113"/>
      <x:c r="AC10" s="113"/>
      <x:c r="AD10" s="113"/>
      <x:c r="AE10" s="113"/>
    </x:row>
    <x:row r="11" ht="15" hidden="0" customHeight="1">
      <x:c r="A11" s="116" t="str">
        <x:v>Praxis Dr. Jürgen Lang</x:v>
      </x:c>
      <x:c r="B11" s="116" t="str">
        <x:v>Primärquelle</x:v>
      </x:c>
      <x:c r="C11" s="116" t="str">
        <x:v>https://www.dr-juergen-lang.de/</x:v>
      </x:c>
      <x:c r="D11" s="116" t="str">
        <x:v>Taubertal-Ergänzung</x:v>
      </x:c>
      <x:c r="E11" s="116" t="str">
        <x:v>2026-08-30</x:v>
      </x:c>
      <x:c r="F11" s="113"/>
      <x:c r="G11" s="113"/>
      <x:c r="H11" s="113"/>
      <x:c r="I11" s="113"/>
      <x:c r="J11" s="113"/>
      <x:c r="K11" s="113"/>
      <x:c r="L11" s="113"/>
      <x:c r="M11" s="113"/>
      <x:c r="N11" s="113"/>
      <x:c r="O11" s="113"/>
      <x:c r="P11" s="113"/>
      <x:c r="Q11" s="113"/>
      <x:c r="R11" s="113"/>
      <x:c r="S11" s="113"/>
      <x:c r="T11" s="113"/>
      <x:c r="U11" s="113"/>
      <x:c r="V11" s="113"/>
      <x:c r="W11" s="113"/>
      <x:c r="X11" s="113"/>
      <x:c r="Y11" s="113"/>
      <x:c r="Z11" s="113"/>
      <x:c r="AA11" s="113"/>
      <x:c r="AB11" s="113"/>
      <x:c r="AC11" s="113"/>
      <x:c r="AD11" s="113"/>
      <x:c r="AE11" s="113"/>
    </x:row>
    <x:row r="12" ht="15" hidden="0" customHeight="1">
      <x:c r="A12" s="116" t="str">
        <x:v>MVZ Neuro Würzburg</x:v>
      </x:c>
      <x:c r="B12" s="116" t="str">
        <x:v>Primärquelle</x:v>
      </x:c>
      <x:c r="C12" s="116" t="str">
        <x:v>https://www.mvz-neuro.de/</x:v>
      </x:c>
      <x:c r="D12" s="116" t="str">
        <x:v>Unterfranken-Ergänzung</x:v>
      </x:c>
      <x:c r="E12" s="116" t="str">
        <x:v>2026-08-30</x:v>
      </x:c>
      <x:c r="F12" s="113"/>
      <x:c r="G12" s="113"/>
      <x:c r="H12" s="113"/>
      <x:c r="I12" s="113"/>
      <x:c r="J12" s="113"/>
      <x:c r="K12" s="113"/>
      <x:c r="L12" s="113"/>
      <x:c r="M12" s="113"/>
      <x:c r="N12" s="113"/>
      <x:c r="O12" s="113"/>
      <x:c r="P12" s="113"/>
      <x:c r="Q12" s="113"/>
      <x:c r="R12" s="113"/>
      <x:c r="S12" s="113"/>
      <x:c r="T12" s="113"/>
      <x:c r="U12" s="113"/>
      <x:c r="V12" s="113"/>
      <x:c r="W12" s="113"/>
      <x:c r="X12" s="113"/>
      <x:c r="Y12" s="113"/>
      <x:c r="Z12" s="113"/>
      <x:c r="AA12" s="113"/>
      <x:c r="AB12" s="113"/>
      <x:c r="AC12" s="113"/>
      <x:c r="AD12" s="113"/>
      <x:c r="AE12" s="113"/>
    </x:row>
    <x:row r="13" ht="15" hidden="0" customHeight="1">
      <x:c r="A13" s="116" t="str">
        <x:v>meditz Würzburg</x:v>
      </x:c>
      <x:c r="B13" s="116" t="str">
        <x:v>Primärquelle</x:v>
      </x:c>
      <x:c r="C13" s="116" t="str">
        <x:v>https://www.meditz-wuerzburg.de/de/kontakt</x:v>
      </x:c>
      <x:c r="D13" s="116" t="str">
        <x:v>Unterfranken-Ergänzung, Kontakt</x:v>
      </x:c>
      <x:c r="E13" s="116" t="str">
        <x:v>2026-08-30</x:v>
      </x:c>
      <x:c r="F13" s="113"/>
      <x:c r="G13" s="113"/>
      <x:c r="H13" s="113"/>
      <x:c r="I13" s="113"/>
      <x:c r="J13" s="113"/>
      <x:c r="K13" s="113"/>
      <x:c r="L13" s="113"/>
      <x:c r="M13" s="113"/>
      <x:c r="N13" s="113"/>
      <x:c r="O13" s="113"/>
      <x:c r="P13" s="113"/>
      <x:c r="Q13" s="113"/>
      <x:c r="R13" s="113"/>
      <x:c r="S13" s="113"/>
      <x:c r="T13" s="113"/>
      <x:c r="U13" s="113"/>
      <x:c r="V13" s="113"/>
      <x:c r="W13" s="113"/>
      <x:c r="X13" s="113"/>
      <x:c r="Y13" s="113"/>
      <x:c r="Z13" s="113"/>
      <x:c r="AA13" s="113"/>
      <x:c r="AB13" s="113"/>
      <x:c r="AC13" s="113"/>
      <x:c r="AD13" s="113"/>
      <x:c r="AE13" s="113"/>
    </x:row>
    <x:row r="14" ht="15" hidden="0" customHeight="1">
      <x:c r="A14" s="116" t="str">
        <x:v>Nervenärzte Schweinfurt</x:v>
      </x:c>
      <x:c r="B14" s="116" t="str">
        <x:v>Primärquelle</x:v>
      </x:c>
      <x:c r="C14" s="116" t="str">
        <x:v>https://nervenaerzte-schweinfurt.de/</x:v>
      </x:c>
      <x:c r="D14" s="116" t="str">
        <x:v>Unterfranken-Ergänzung</x:v>
      </x:c>
      <x:c r="E14" s="116" t="str">
        <x:v>2026-08-30</x:v>
      </x:c>
      <x:c r="F14" s="113"/>
      <x:c r="G14" s="113"/>
      <x:c r="H14" s="113"/>
      <x:c r="I14" s="113"/>
      <x:c r="J14" s="113"/>
      <x:c r="K14" s="113"/>
      <x:c r="L14" s="113"/>
      <x:c r="M14" s="113"/>
      <x:c r="N14" s="113"/>
      <x:c r="O14" s="113"/>
      <x:c r="P14" s="113"/>
      <x:c r="Q14" s="113"/>
      <x:c r="R14" s="113"/>
      <x:c r="S14" s="113"/>
      <x:c r="T14" s="113"/>
      <x:c r="U14" s="113"/>
      <x:c r="V14" s="113"/>
      <x:c r="W14" s="113"/>
      <x:c r="X14" s="113"/>
      <x:c r="Y14" s="113"/>
      <x:c r="Z14" s="113"/>
      <x:c r="AA14" s="113"/>
      <x:c r="AB14" s="113"/>
      <x:c r="AC14" s="113"/>
      <x:c r="AD14" s="113"/>
      <x:c r="AE14" s="113"/>
    </x:row>
    <x:row r="15" ht="15" hidden="0" customHeight="1">
      <x:c r="A15" s="116" t="str">
        <x:v>BFW Frankfurt Bad Vilbel</x:v>
      </x:c>
      <x:c r="B15" s="116" t="str">
        <x:v>Primärquelle</x:v>
      </x:c>
      <x:c r="C15" s="116" t="str">
        <x:v>https://bfw-frankfurt.de/infos-links/kontakte</x:v>
      </x:c>
      <x:c r="D15" s="116" t="str">
        <x:v>Adresse, Kontakt, BG-Ansprechpartner</x:v>
      </x:c>
      <x:c r="E15" s="116" t="str">
        <x:v>2026-08-30</x:v>
      </x:c>
      <x:c r="F15" s="113"/>
      <x:c r="G15" s="113"/>
      <x:c r="H15" s="113"/>
      <x:c r="I15" s="113"/>
      <x:c r="J15" s="113"/>
      <x:c r="K15" s="113"/>
      <x:c r="L15" s="113"/>
      <x:c r="M15" s="113"/>
      <x:c r="N15" s="113"/>
      <x:c r="O15" s="113"/>
      <x:c r="P15" s="113"/>
      <x:c r="Q15" s="113"/>
      <x:c r="R15" s="113"/>
      <x:c r="S15" s="113"/>
      <x:c r="T15" s="113"/>
      <x:c r="U15" s="113"/>
      <x:c r="V15" s="113"/>
      <x:c r="W15" s="113"/>
      <x:c r="X15" s="113"/>
      <x:c r="Y15" s="113"/>
      <x:c r="Z15" s="113"/>
      <x:c r="AA15" s="113"/>
      <x:c r="AB15" s="113"/>
      <x:c r="AC15" s="113"/>
      <x:c r="AD15" s="113"/>
      <x:c r="AE15" s="113"/>
    </x:row>
    <x:row r="16" ht="15" hidden="0" customHeight="1">
      <x:c r="A16" s="116" t="str">
        <x:v>BFW Frankfurt Anfahrt</x:v>
      </x:c>
      <x:c r="B16" s="116" t="str">
        <x:v>Primärquelle</x:v>
      </x:c>
      <x:c r="C16" s="116" t="str">
        <x:v>https://bfw-frankfurt.de/infos-links/ihr-weg-zu-uns/</x:v>
      </x:c>
      <x:c r="D16" s="116" t="str">
        <x:v>Standort Bad Vilbel</x:v>
      </x:c>
      <x:c r="E16" s="116" t="str">
        <x:v>2026-08-30</x:v>
      </x:c>
      <x:c r="F16" s="113"/>
      <x:c r="G16" s="113"/>
      <x:c r="H16" s="113"/>
      <x:c r="I16" s="113"/>
      <x:c r="J16" s="113"/>
      <x:c r="K16" s="113"/>
      <x:c r="L16" s="113"/>
      <x:c r="M16" s="113"/>
      <x:c r="N16" s="113"/>
      <x:c r="O16" s="113"/>
      <x:c r="P16" s="113"/>
      <x:c r="Q16" s="113"/>
      <x:c r="R16" s="113"/>
      <x:c r="S16" s="113"/>
      <x:c r="T16" s="113"/>
      <x:c r="U16" s="113"/>
      <x:c r="V16" s="113"/>
      <x:c r="W16" s="113"/>
      <x:c r="X16" s="113"/>
      <x:c r="Y16" s="113"/>
      <x:c r="Z16" s="113"/>
      <x:c r="AA16" s="113"/>
      <x:c r="AB16" s="113"/>
      <x:c r="AC16" s="113"/>
      <x:c r="AD16" s="113"/>
      <x:c r="AE16" s="113"/>
    </x:row>
    <x:row r="17" ht="15" hidden="0" customHeight="1">
      <x:c r="A17" s="116" t="str">
        <x:v>Fahrschule Zawatzky</x:v>
      </x:c>
      <x:c r="B17" s="116" t="str">
        <x:v>Primärquelle</x:v>
      </x:c>
      <x:c r="C17" s="116" t="str">
        <x:v>https://zawatzky.de/fahrschule/kontakt/</x:v>
      </x:c>
      <x:c r="D17" s="116" t="str">
        <x:v>Adresse, Kontakt</x:v>
      </x:c>
      <x:c r="E17" s="116" t="str">
        <x:v>2026-08-30</x:v>
      </x:c>
      <x:c r="F17" s="113"/>
      <x:c r="G17" s="113"/>
      <x:c r="H17" s="113"/>
      <x:c r="I17" s="113"/>
      <x:c r="J17" s="113"/>
      <x:c r="K17" s="113"/>
      <x:c r="L17" s="113"/>
      <x:c r="M17" s="113"/>
      <x:c r="N17" s="113"/>
      <x:c r="O17" s="113"/>
      <x:c r="P17" s="113"/>
      <x:c r="Q17" s="113"/>
      <x:c r="R17" s="113"/>
      <x:c r="S17" s="113"/>
      <x:c r="T17" s="113"/>
      <x:c r="U17" s="113"/>
      <x:c r="V17" s="113"/>
      <x:c r="W17" s="113"/>
      <x:c r="X17" s="113"/>
      <x:c r="Y17" s="113"/>
      <x:c r="Z17" s="113"/>
      <x:c r="AA17" s="113"/>
      <x:c r="AB17" s="113"/>
      <x:c r="AC17" s="113"/>
      <x:c r="AD17" s="113"/>
      <x:c r="AE17" s="113"/>
    </x:row>
    <x:row r="18" ht="15" hidden="0" customHeight="1">
      <x:c r="A18" s="116" t="str">
        <x:v>Mobilcenter Zawatzky</x:v>
      </x:c>
      <x:c r="B18" s="116" t="str">
        <x:v>Primärquelle</x:v>
      </x:c>
      <x:c r="C18" s="116" t="str">
        <x:v>https://zawatzky.de/standorte/</x:v>
      </x:c>
      <x:c r="D18" s="116" t="str">
        <x:v>Trennung Fahrschule/Umbau</x:v>
      </x:c>
      <x:c r="E18" s="116" t="str">
        <x:v>2026-08-30</x:v>
      </x:c>
      <x:c r="F18" s="113"/>
      <x:c r="G18" s="113"/>
      <x:c r="H18" s="113"/>
      <x:c r="I18" s="113"/>
      <x:c r="J18" s="113"/>
      <x:c r="K18" s="113"/>
      <x:c r="L18" s="113"/>
      <x:c r="M18" s="113"/>
      <x:c r="N18" s="113"/>
      <x:c r="O18" s="113"/>
      <x:c r="P18" s="113"/>
      <x:c r="Q18" s="113"/>
      <x:c r="R18" s="113"/>
      <x:c r="S18" s="113"/>
      <x:c r="T18" s="113"/>
      <x:c r="U18" s="113"/>
      <x:c r="V18" s="113"/>
      <x:c r="W18" s="113"/>
      <x:c r="X18" s="113"/>
      <x:c r="Y18" s="113"/>
      <x:c r="Z18" s="113"/>
      <x:c r="AA18" s="113"/>
      <x:c r="AB18" s="113"/>
      <x:c r="AC18" s="113"/>
      <x:c r="AD18" s="113"/>
      <x:c r="AE18" s="113"/>
    </x:row>
    <x:row r="19" ht="15" hidden="0" customHeight="1">
      <x:c r="A19" s="116" t="str">
        <x:v>Fahrschule Klaus</x:v>
      </x:c>
      <x:c r="B19" s="116" t="str">
        <x:v>Primärquelle</x:v>
      </x:c>
      <x:c r="C19" s="116" t="str">
        <x:v>https://www.fahrschuleklaus.de/</x:v>
      </x:c>
      <x:c r="D19" s="116" t="str">
        <x:v>Standort Ludwigshafen</x:v>
      </x:c>
      <x:c r="E19" s="116" t="str">
        <x:v>2026-08-30</x:v>
      </x:c>
      <x:c r="F19" s="113"/>
      <x:c r="G19" s="113"/>
      <x:c r="H19" s="113"/>
      <x:c r="I19" s="113"/>
      <x:c r="J19" s="113"/>
      <x:c r="K19" s="113"/>
      <x:c r="L19" s="113"/>
      <x:c r="M19" s="113"/>
      <x:c r="N19" s="113"/>
      <x:c r="O19" s="113"/>
      <x:c r="P19" s="113"/>
      <x:c r="Q19" s="113"/>
      <x:c r="R19" s="113"/>
      <x:c r="S19" s="113"/>
      <x:c r="T19" s="113"/>
      <x:c r="U19" s="113"/>
      <x:c r="V19" s="113"/>
      <x:c r="W19" s="113"/>
      <x:c r="X19" s="113"/>
      <x:c r="Y19" s="113"/>
      <x:c r="Z19" s="113"/>
      <x:c r="AA19" s="113"/>
      <x:c r="AB19" s="113"/>
      <x:c r="AC19" s="113"/>
      <x:c r="AD19" s="113"/>
      <x:c r="AE19" s="113"/>
    </x:row>
    <x:row r="20" ht="15" hidden="0" customHeight="1">
      <x:c r="A20" s="116" t="str">
        <x:v>pebb gmbh</x:v>
      </x:c>
      <x:c r="B20" s="116" t="str">
        <x:v>Primärquelle</x:v>
      </x:c>
      <x:c r="C20" s="116" t="str">
        <x:v>https://www.pebb.de/kontakt/impressum/</x:v>
      </x:c>
      <x:c r="D20" s="116" t="str">
        <x:v>Adresse, Kontakt</x:v>
      </x:c>
      <x:c r="E20" s="116" t="str">
        <x:v>2026-08-30</x:v>
      </x:c>
      <x:c r="F20" s="113"/>
      <x:c r="G20" s="113"/>
      <x:c r="H20" s="113"/>
      <x:c r="I20" s="113"/>
      <x:c r="J20" s="113"/>
      <x:c r="K20" s="113"/>
      <x:c r="L20" s="113"/>
      <x:c r="M20" s="113"/>
      <x:c r="N20" s="113"/>
      <x:c r="O20" s="113"/>
      <x:c r="P20" s="113"/>
      <x:c r="Q20" s="113"/>
      <x:c r="R20" s="113"/>
      <x:c r="S20" s="113"/>
      <x:c r="T20" s="113"/>
      <x:c r="U20" s="113"/>
      <x:c r="V20" s="113"/>
      <x:c r="W20" s="113"/>
      <x:c r="X20" s="113"/>
      <x:c r="Y20" s="113"/>
      <x:c r="Z20" s="113"/>
      <x:c r="AA20" s="113"/>
      <x:c r="AB20" s="113"/>
      <x:c r="AC20" s="113"/>
      <x:c r="AD20" s="113"/>
      <x:c r="AE20" s="113"/>
    </x:row>
    <x:row r="21">
      <x:c r="A21" s="116" t="str">
        <x:v>pebb zwei gmbh</x:v>
      </x:c>
      <x:c r="B21" s="116" t="str">
        <x:v>Primärquelle</x:v>
      </x:c>
      <x:c r="C21" s="116" t="str">
        <x:v>https://www.pebbzwei.de/standorte/rheinland-pfalz-saarland/</x:v>
      </x:c>
      <x:c r="D21" s="116" t="str">
        <x:v>Adresse, Kontakt, separater Standortdatensatz</x:v>
      </x:c>
      <x:c r="E21" s="116" t="str">
        <x:v>2026-08-30</x:v>
      </x:c>
      <x:c r="F21" s="113"/>
      <x:c r="G21" s="113"/>
      <x:c r="H21" s="113"/>
      <x:c r="I21" s="113"/>
      <x:c r="J21" s="113"/>
      <x:c r="K21" s="113"/>
      <x:c r="L21" s="113"/>
      <x:c r="M21" s="113"/>
      <x:c r="N21" s="113"/>
      <x:c r="O21" s="113"/>
      <x:c r="P21" s="113"/>
      <x:c r="Q21" s="113"/>
      <x:c r="R21" s="113"/>
      <x:c r="S21" s="113"/>
      <x:c r="T21" s="113"/>
      <x:c r="U21" s="113"/>
      <x:c r="V21" s="113"/>
      <x:c r="W21" s="113"/>
      <x:c r="X21" s="113"/>
      <x:c r="Y21" s="113"/>
      <x:c r="Z21" s="113"/>
      <x:c r="AA21" s="113"/>
      <x:c r="AB21" s="113"/>
      <x:c r="AC21" s="113"/>
      <x:c r="AD21" s="113"/>
      <x:c r="AE21" s="113"/>
    </x:row>
    <x:row r="22">
      <x:c r="A22" s="116" t="str">
        <x:v>reha assist</x:v>
      </x:c>
      <x:c r="B22" s="116" t="str">
        <x:v>Primärquelle</x:v>
      </x:c>
      <x:c r="C22" s="116" t="str">
        <x:v>https://www.reha-assist.com/pflegeberatung/</x:v>
      </x:c>
      <x:c r="D22" s="116" t="str">
        <x:v>Pflegeberatung und Leistungen</x:v>
      </x:c>
      <x:c r="E22" s="116" t="str">
        <x:v>2026-08-30</x:v>
      </x:c>
      <x:c r="F22" s="113"/>
      <x:c r="G22" s="113"/>
      <x:c r="H22" s="113"/>
      <x:c r="I22" s="113"/>
      <x:c r="J22" s="113"/>
      <x:c r="K22" s="113"/>
      <x:c r="L22" s="113"/>
      <x:c r="M22" s="113"/>
      <x:c r="N22" s="113"/>
      <x:c r="O22" s="113"/>
      <x:c r="P22" s="113"/>
      <x:c r="Q22" s="113"/>
      <x:c r="R22" s="113"/>
      <x:c r="S22" s="113"/>
      <x:c r="T22" s="113"/>
      <x:c r="U22" s="113"/>
      <x:c r="V22" s="113"/>
      <x:c r="W22" s="113"/>
      <x:c r="X22" s="113"/>
      <x:c r="Y22" s="113"/>
      <x:c r="Z22" s="113"/>
      <x:c r="AA22" s="113"/>
      <x:c r="AB22" s="113"/>
      <x:c r="AC22" s="113"/>
      <x:c r="AD22" s="113"/>
      <x:c r="AE22" s="113"/>
    </x:row>
    <x:row r="23">
      <x:c r="A23" s="116" t="str">
        <x:v>reha assist Kontakt</x:v>
      </x:c>
      <x:c r="B23" s="116" t="str">
        <x:v>Primärquelle</x:v>
      </x:c>
      <x:c r="C23" s="116" t="str">
        <x:v>https://www.reha-assist.com/kontakt/</x:v>
      </x:c>
      <x:c r="D23" s="116" t="str">
        <x:v>Adresse, Telefon, Fax, E-Mail</x:v>
      </x:c>
      <x:c r="E23" s="116" t="str">
        <x:v>2026-08-30</x:v>
      </x:c>
      <x:c r="F23" s="113"/>
      <x:c r="G23" s="113"/>
      <x:c r="H23" s="113"/>
      <x:c r="I23" s="113"/>
      <x:c r="J23" s="113"/>
      <x:c r="K23" s="113"/>
      <x:c r="L23" s="113"/>
      <x:c r="M23" s="113"/>
      <x:c r="N23" s="113"/>
      <x:c r="O23" s="113"/>
      <x:c r="P23" s="113"/>
      <x:c r="Q23" s="113"/>
      <x:c r="R23" s="113"/>
      <x:c r="S23" s="113"/>
      <x:c r="T23" s="113"/>
      <x:c r="U23" s="113"/>
      <x:c r="V23" s="113"/>
      <x:c r="W23" s="113"/>
      <x:c r="X23" s="113"/>
      <x:c r="Y23" s="113"/>
      <x:c r="Z23" s="113"/>
      <x:c r="AA23" s="113"/>
      <x:c r="AB23" s="113"/>
      <x:c r="AC23" s="113"/>
      <x:c r="AD23" s="113"/>
      <x:c r="AE23" s="113"/>
    </x:row>
    <x:row r="24">
      <x:c r="A24" s="116" t="str">
        <x:v>Stephanuswerk Isny</x:v>
      </x:c>
      <x:c r="B24" s="116" t="str">
        <x:v>Primärquelle</x:v>
      </x:c>
      <x:c r="C24" s="116" t="str">
        <x:v>https://www.stephanuswerk-isny.de/bildungszentrum/</x:v>
      </x:c>
      <x:c r="D24" s="116" t="str">
        <x:v>Phase E/LTA-Kategorisierung</x:v>
      </x:c>
      <x:c r="E24" s="116" t="str">
        <x:v>2026-08-30</x:v>
      </x:c>
      <x:c r="F24" s="113"/>
      <x:c r="G24" s="113"/>
      <x:c r="H24" s="113"/>
      <x:c r="I24" s="113"/>
      <x:c r="J24" s="113"/>
      <x:c r="K24" s="113"/>
      <x:c r="L24" s="113"/>
      <x:c r="M24" s="113"/>
      <x:c r="N24" s="113"/>
      <x:c r="O24" s="113"/>
      <x:c r="P24" s="113"/>
      <x:c r="Q24" s="113"/>
      <x:c r="R24" s="113"/>
      <x:c r="S24" s="113"/>
      <x:c r="T24" s="113"/>
      <x:c r="U24" s="113"/>
      <x:c r="V24" s="113"/>
      <x:c r="W24" s="113"/>
      <x:c r="X24" s="113"/>
      <x:c r="Y24" s="113"/>
      <x:c r="Z24" s="113"/>
      <x:c r="AA24" s="113"/>
      <x:c r="AB24" s="113"/>
      <x:c r="AC24" s="113"/>
      <x:c r="AD24" s="113"/>
      <x:c r="AE24" s="113"/>
    </x:row>
    <x:row r="25">
      <x:c r="A25" s="116" t="str">
        <x:v>Limburgerhof St. Anastasia</x:v>
      </x:c>
      <x:c r="B25" s="116" t="str">
        <x:v>Primärquelle</x:v>
      </x:c>
      <x:c r="C25" s="116" t="str">
        <x:v>https://www.caritas-speyer.de/standorte/caritas-altenzentren/st-anastasia</x:v>
      </x:c>
      <x:c r="D25" s="116" t="str">
        <x:v>Phase F und Kontakt</x:v>
      </x:c>
      <x:c r="E25" s="116" t="str">
        <x:v>2026-08-30</x:v>
      </x:c>
      <x:c r="F25" s="113"/>
      <x:c r="G25" s="113"/>
      <x:c r="H25" s="113"/>
      <x:c r="I25" s="113"/>
      <x:c r="J25" s="113"/>
      <x:c r="K25" s="113"/>
      <x:c r="L25" s="113"/>
      <x:c r="M25" s="113"/>
      <x:c r="N25" s="113"/>
      <x:c r="O25" s="113"/>
      <x:c r="P25" s="113"/>
      <x:c r="Q25" s="113"/>
      <x:c r="R25" s="113"/>
      <x:c r="S25" s="113"/>
      <x:c r="T25" s="113"/>
      <x:c r="U25" s="113"/>
      <x:c r="V25" s="113"/>
      <x:c r="W25" s="113"/>
      <x:c r="X25" s="113"/>
      <x:c r="Y25" s="113"/>
      <x:c r="Z25" s="113"/>
      <x:c r="AA25" s="113"/>
      <x:c r="AB25" s="113"/>
      <x:c r="AC25" s="113"/>
      <x:c r="AD25" s="113"/>
      <x:c r="AE25" s="113"/>
    </x:row>
    <x:row r="26">
      <x:c r="A26" s="116" t="str">
        <x:v>Geo: Nowackanlage 15</x:v>
      </x:c>
      <x:c r="B26" s="116" t="str">
        <x:v>Adress-/Kartenquelle</x:v>
      </x:c>
      <x:c r="C26" s="116" t="str">
        <x:v>https://www.auskunft.de/</x:v>
      </x:c>
      <x:c r="D26" s="116" t="str">
        <x:v>adressbezogene Koordinate</x:v>
      </x:c>
      <x:c r="E26" s="116" t="str">
        <x:v>2026-08-30</x:v>
      </x:c>
      <x:c r="F26" s="113"/>
      <x:c r="G26" s="113"/>
      <x:c r="H26" s="113"/>
      <x:c r="I26" s="113"/>
      <x:c r="J26" s="113"/>
      <x:c r="K26" s="113"/>
      <x:c r="L26" s="113"/>
      <x:c r="M26" s="113"/>
      <x:c r="N26" s="113"/>
      <x:c r="O26" s="113"/>
      <x:c r="P26" s="113"/>
      <x:c r="Q26" s="113"/>
      <x:c r="R26" s="113"/>
      <x:c r="S26" s="113"/>
      <x:c r="T26" s="113"/>
      <x:c r="U26" s="113"/>
      <x:c r="V26" s="113"/>
      <x:c r="W26" s="113"/>
      <x:c r="X26" s="113"/>
      <x:c r="Y26" s="113"/>
      <x:c r="Z26" s="113"/>
      <x:c r="AA26" s="113"/>
      <x:c r="AB26" s="113"/>
      <x:c r="AC26" s="113"/>
      <x:c r="AD26" s="113"/>
      <x:c r="AE26" s="113"/>
    </x:row>
    <x:row r="27">
      <x:c r="A27" s="116" t="str">
        <x:v>Geo: reha assist / Kleinbahnstraße 27</x:v>
      </x:c>
      <x:c r="B27" s="116" t="str">
        <x:v>OSM-basierte Kartenquelle</x:v>
      </x:c>
      <x:c r="C27" s="116" t="str">
        <x:v>https://mapcarta.com/de/W101037140</x:v>
      </x:c>
      <x:c r="D27" s="116" t="str">
        <x:v>Gebäudekoordinate</x:v>
      </x:c>
      <x:c r="E27" s="116" t="str">
        <x:v>2026-08-30</x:v>
      </x:c>
      <x:c r="F27" s="113"/>
      <x:c r="G27" s="113"/>
      <x:c r="H27" s="113"/>
      <x:c r="I27" s="113"/>
      <x:c r="J27" s="113"/>
      <x:c r="K27" s="113"/>
      <x:c r="L27" s="113"/>
      <x:c r="M27" s="113"/>
      <x:c r="N27" s="113"/>
      <x:c r="O27" s="113"/>
      <x:c r="P27" s="113"/>
      <x:c r="Q27" s="113"/>
      <x:c r="R27" s="113"/>
      <x:c r="S27" s="113"/>
      <x:c r="T27" s="113"/>
      <x:c r="U27" s="113"/>
      <x:c r="V27" s="113"/>
      <x:c r="W27" s="113"/>
      <x:c r="X27" s="113"/>
      <x:c r="Y27" s="113"/>
      <x:c r="Z27" s="113"/>
      <x:c r="AA27" s="113"/>
      <x:c r="AB27" s="113"/>
      <x:c r="AC27" s="113"/>
      <x:c r="AD27" s="113"/>
      <x:c r="AE27" s="113"/>
    </x:row>
    <x:row r="28">
      <x:c r="A28" s="113"/>
      <x:c r="B28" s="113"/>
      <x:c r="C28" s="113"/>
      <x:c r="D28" s="113"/>
      <x:c r="E28" s="113"/>
      <x:c r="F28" s="113"/>
      <x:c r="G28" s="113"/>
      <x:c r="H28" s="113"/>
      <x:c r="I28" s="113"/>
      <x:c r="J28" s="113"/>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row>
    <x:row r="29">
      <x:c r="A29" s="113"/>
      <x:c r="B29" s="113"/>
      <x:c r="C29" s="113"/>
      <x:c r="D29" s="113"/>
      <x:c r="E29" s="113"/>
      <x:c r="F29" s="113"/>
      <x:c r="G29" s="113"/>
      <x:c r="H29" s="113"/>
      <x:c r="I29" s="113"/>
      <x:c r="J29" s="113"/>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row>
    <x:row r="30">
      <x:c r="A30" s="113"/>
      <x:c r="B30" s="113"/>
      <x:c r="C30" s="113"/>
      <x:c r="D30" s="113"/>
      <x:c r="E30" s="113"/>
      <x:c r="F30" s="113"/>
      <x:c r="G30" s="113"/>
      <x:c r="H30" s="113"/>
      <x:c r="I30" s="113"/>
      <x:c r="J30" s="113"/>
      <x:c r="K30" s="113"/>
      <x:c r="L30" s="113"/>
      <x:c r="M30" s="113"/>
      <x:c r="N30" s="113"/>
      <x:c r="O30" s="113"/>
      <x:c r="P30" s="113"/>
      <x:c r="Q30" s="113"/>
      <x:c r="R30" s="113"/>
      <x:c r="S30" s="113"/>
      <x:c r="T30" s="113"/>
      <x:c r="U30" s="113"/>
      <x:c r="V30" s="113"/>
      <x:c r="W30" s="113"/>
      <x:c r="X30" s="113"/>
      <x:c r="Y30" s="113"/>
      <x:c r="Z30" s="113"/>
      <x:c r="AA30" s="113"/>
      <x:c r="AB30" s="113"/>
      <x:c r="AC30" s="113"/>
      <x:c r="AD30" s="113"/>
      <x:c r="AE30" s="113"/>
    </x:row>
    <x:row r="31">
      <x:c r="A31" s="113"/>
      <x:c r="B31" s="113"/>
      <x:c r="C31" s="113"/>
      <x:c r="D31" s="113"/>
      <x:c r="E31" s="113"/>
      <x:c r="F31" s="113"/>
      <x:c r="G31" s="113"/>
      <x:c r="H31" s="113"/>
      <x:c r="I31" s="113"/>
      <x:c r="J31" s="113"/>
      <x:c r="K31" s="113"/>
      <x:c r="L31" s="113"/>
      <x:c r="M31" s="113"/>
      <x:c r="N31" s="113"/>
      <x:c r="O31" s="113"/>
      <x:c r="P31" s="113"/>
      <x:c r="Q31" s="113"/>
      <x:c r="R31" s="113"/>
      <x:c r="S31" s="113"/>
      <x:c r="T31" s="113"/>
      <x:c r="U31" s="113"/>
      <x:c r="V31" s="113"/>
      <x:c r="W31" s="113"/>
      <x:c r="X31" s="113"/>
      <x:c r="Y31" s="113"/>
      <x:c r="Z31" s="113"/>
      <x:c r="AA31" s="113"/>
      <x:c r="AB31" s="113"/>
      <x:c r="AC31" s="113"/>
      <x:c r="AD31" s="113"/>
      <x:c r="AE31" s="113"/>
    </x:row>
    <x:row r="32">
      <x:c r="A32" s="113"/>
      <x:c r="B32" s="113"/>
      <x:c r="C32" s="113"/>
      <x:c r="D32" s="113"/>
      <x:c r="E32" s="113"/>
      <x:c r="F32" s="113"/>
      <x:c r="G32" s="113"/>
      <x:c r="H32" s="113"/>
      <x:c r="I32" s="113"/>
      <x:c r="J32" s="113"/>
      <x:c r="K32" s="113"/>
      <x:c r="L32" s="113"/>
      <x:c r="M32" s="113"/>
      <x:c r="N32" s="113"/>
      <x:c r="O32" s="113"/>
      <x:c r="P32" s="113"/>
      <x:c r="Q32" s="113"/>
      <x:c r="R32" s="113"/>
      <x:c r="S32" s="113"/>
      <x:c r="T32" s="113"/>
      <x:c r="U32" s="113"/>
      <x:c r="V32" s="113"/>
      <x:c r="W32" s="113"/>
      <x:c r="X32" s="113"/>
      <x:c r="Y32" s="113"/>
      <x:c r="Z32" s="113"/>
      <x:c r="AA32" s="113"/>
      <x:c r="AB32" s="113"/>
      <x:c r="AC32" s="113"/>
      <x:c r="AD32" s="113"/>
      <x:c r="AE32" s="113"/>
    </x:row>
    <x:row r="33">
      <x:c r="A33" s="113"/>
      <x:c r="B33" s="113"/>
      <x:c r="C33" s="113"/>
      <x:c r="D33" s="113"/>
      <x:c r="E33" s="113"/>
      <x:c r="F33" s="113"/>
      <x:c r="G33" s="113"/>
      <x:c r="H33" s="113"/>
      <x:c r="I33" s="113"/>
      <x:c r="J33" s="113"/>
      <x:c r="K33" s="113"/>
      <x:c r="L33" s="113"/>
      <x:c r="M33" s="113"/>
      <x:c r="N33" s="113"/>
      <x:c r="O33" s="113"/>
      <x:c r="P33" s="113"/>
      <x:c r="Q33" s="113"/>
      <x:c r="R33" s="113"/>
      <x:c r="S33" s="113"/>
      <x:c r="T33" s="113"/>
      <x:c r="U33" s="113"/>
      <x:c r="V33" s="113"/>
      <x:c r="W33" s="113"/>
      <x:c r="X33" s="113"/>
      <x:c r="Y33" s="113"/>
      <x:c r="Z33" s="113"/>
      <x:c r="AA33" s="113"/>
      <x:c r="AB33" s="113"/>
      <x:c r="AC33" s="113"/>
      <x:c r="AD33" s="113"/>
      <x:c r="AE33" s="113"/>
    </x:row>
    <x:row r="34">
      <x:c r="A34" s="113"/>
      <x:c r="B34" s="113"/>
      <x:c r="C34" s="113"/>
      <x:c r="D34" s="113"/>
      <x:c r="E34" s="113"/>
      <x:c r="F34" s="113"/>
      <x:c r="G34" s="113"/>
      <x:c r="H34" s="113"/>
      <x:c r="I34" s="113"/>
      <x:c r="J34" s="113"/>
      <x:c r="K34" s="113"/>
      <x:c r="L34" s="113"/>
      <x:c r="M34" s="113"/>
      <x:c r="N34" s="113"/>
      <x:c r="O34" s="113"/>
      <x:c r="P34" s="113"/>
      <x:c r="Q34" s="113"/>
      <x:c r="R34" s="113"/>
      <x:c r="S34" s="113"/>
      <x:c r="T34" s="113"/>
      <x:c r="U34" s="113"/>
      <x:c r="V34" s="113"/>
      <x:c r="W34" s="113"/>
      <x:c r="X34" s="113"/>
      <x:c r="Y34" s="113"/>
      <x:c r="Z34" s="113"/>
      <x:c r="AA34" s="113"/>
      <x:c r="AB34" s="113"/>
      <x:c r="AC34" s="113"/>
      <x:c r="AD34" s="113"/>
      <x:c r="AE34" s="113"/>
    </x:row>
    <x:row r="35">
      <x:c r="A35" s="113"/>
      <x:c r="B35" s="113"/>
      <x:c r="C35" s="113"/>
      <x:c r="D35" s="113"/>
      <x:c r="E35" s="113"/>
      <x:c r="F35" s="113"/>
      <x:c r="G35" s="113"/>
      <x:c r="H35" s="113"/>
      <x:c r="I35" s="113"/>
      <x:c r="J35" s="113"/>
      <x:c r="K35" s="113"/>
      <x:c r="L35" s="113"/>
      <x:c r="M35" s="113"/>
      <x:c r="N35" s="113"/>
      <x:c r="O35" s="113"/>
      <x:c r="P35" s="113"/>
      <x:c r="Q35" s="113"/>
      <x:c r="R35" s="113"/>
      <x:c r="S35" s="113"/>
      <x:c r="T35" s="113"/>
      <x:c r="U35" s="113"/>
      <x:c r="V35" s="113"/>
      <x:c r="W35" s="113"/>
      <x:c r="X35" s="113"/>
      <x:c r="Y35" s="113"/>
      <x:c r="Z35" s="113"/>
      <x:c r="AA35" s="113"/>
      <x:c r="AB35" s="113"/>
      <x:c r="AC35" s="113"/>
      <x:c r="AD35" s="113"/>
      <x:c r="AE35" s="113"/>
    </x:row>
    <x:row r="36">
      <x:c r="A36" s="113"/>
      <x:c r="B36" s="113"/>
      <x:c r="C36" s="113"/>
      <x:c r="D36" s="113"/>
      <x:c r="E36" s="113"/>
      <x:c r="F36" s="113"/>
      <x:c r="G36" s="113"/>
      <x:c r="H36" s="113"/>
      <x:c r="I36" s="113"/>
      <x:c r="J36" s="113"/>
      <x:c r="K36" s="113"/>
      <x:c r="L36" s="113"/>
      <x:c r="M36" s="113"/>
      <x:c r="N36" s="113"/>
      <x:c r="O36" s="113"/>
      <x:c r="P36" s="113"/>
      <x:c r="Q36" s="113"/>
      <x:c r="R36" s="113"/>
      <x:c r="S36" s="113"/>
      <x:c r="T36" s="113"/>
      <x:c r="U36" s="113"/>
      <x:c r="V36" s="113"/>
      <x:c r="W36" s="113"/>
      <x:c r="X36" s="113"/>
      <x:c r="Y36" s="113"/>
      <x:c r="Z36" s="113"/>
      <x:c r="AA36" s="113"/>
      <x:c r="AB36" s="113"/>
      <x:c r="AC36" s="113"/>
      <x:c r="AD36" s="113"/>
      <x:c r="AE36" s="113"/>
    </x:row>
    <x:row r="37">
      <x:c r="A37" s="113"/>
      <x:c r="B37" s="113"/>
      <x:c r="C37" s="113"/>
      <x:c r="D37" s="113"/>
      <x:c r="E37" s="113"/>
      <x:c r="F37" s="113"/>
      <x:c r="G37" s="113"/>
      <x:c r="H37" s="113"/>
      <x:c r="I37" s="113"/>
      <x:c r="J37" s="113"/>
      <x:c r="K37" s="113"/>
      <x:c r="L37" s="113"/>
      <x:c r="M37" s="113"/>
      <x:c r="N37" s="113"/>
      <x:c r="O37" s="113"/>
      <x:c r="P37" s="113"/>
      <x:c r="Q37" s="113"/>
      <x:c r="R37" s="113"/>
      <x:c r="S37" s="113"/>
      <x:c r="T37" s="113"/>
      <x:c r="U37" s="113"/>
      <x:c r="V37" s="113"/>
      <x:c r="W37" s="113"/>
      <x:c r="X37" s="113"/>
      <x:c r="Y37" s="113"/>
      <x:c r="Z37" s="113"/>
      <x:c r="AA37" s="113"/>
      <x:c r="AB37" s="113"/>
      <x:c r="AC37" s="113"/>
      <x:c r="AD37" s="113"/>
      <x:c r="AE37" s="113"/>
    </x:row>
    <x:row r="38">
      <x:c r="A38" s="113"/>
      <x:c r="B38" s="113"/>
      <x:c r="C38" s="113"/>
      <x:c r="D38" s="113"/>
      <x:c r="E38" s="113"/>
      <x:c r="F38" s="113"/>
      <x:c r="G38" s="113"/>
      <x:c r="H38" s="113"/>
      <x:c r="I38" s="113"/>
      <x:c r="J38" s="113"/>
      <x:c r="K38" s="113"/>
      <x:c r="L38" s="113"/>
      <x:c r="M38" s="113"/>
      <x:c r="N38" s="113"/>
      <x:c r="O38" s="113"/>
      <x:c r="P38" s="113"/>
      <x:c r="Q38" s="113"/>
      <x:c r="R38" s="113"/>
      <x:c r="S38" s="113"/>
      <x:c r="T38" s="113"/>
      <x:c r="U38" s="113"/>
      <x:c r="V38" s="113"/>
      <x:c r="W38" s="113"/>
      <x:c r="X38" s="113"/>
      <x:c r="Y38" s="113"/>
      <x:c r="Z38" s="113"/>
      <x:c r="AA38" s="113"/>
      <x:c r="AB38" s="113"/>
      <x:c r="AC38" s="113"/>
      <x:c r="AD38" s="113"/>
      <x:c r="AE38" s="113"/>
    </x:row>
    <x:row r="39">
      <x:c r="A39" s="113"/>
      <x:c r="B39" s="113"/>
      <x:c r="C39" s="113"/>
      <x:c r="D39" s="113"/>
      <x:c r="E39" s="113"/>
      <x:c r="F39" s="113"/>
      <x:c r="G39" s="113"/>
      <x:c r="H39" s="113"/>
      <x:c r="I39" s="113"/>
      <x:c r="J39" s="113"/>
      <x:c r="K39" s="113"/>
      <x:c r="L39" s="113"/>
      <x:c r="M39" s="113"/>
      <x:c r="N39" s="113"/>
      <x:c r="O39" s="113"/>
      <x:c r="P39" s="113"/>
      <x:c r="Q39" s="113"/>
      <x:c r="R39" s="113"/>
      <x:c r="S39" s="113"/>
      <x:c r="T39" s="113"/>
      <x:c r="U39" s="113"/>
      <x:c r="V39" s="113"/>
      <x:c r="W39" s="113"/>
      <x:c r="X39" s="113"/>
      <x:c r="Y39" s="113"/>
      <x:c r="Z39" s="113"/>
      <x:c r="AA39" s="113"/>
      <x:c r="AB39" s="113"/>
      <x:c r="AC39" s="113"/>
      <x:c r="AD39" s="113"/>
      <x:c r="AE39" s="113"/>
    </x:row>
    <x:row r="40">
      <x:c r="A40" s="113"/>
      <x:c r="B40" s="113"/>
      <x:c r="C40" s="113"/>
      <x:c r="D40" s="113"/>
      <x:c r="E40" s="113"/>
      <x:c r="F40" s="113"/>
      <x:c r="G40" s="113"/>
      <x:c r="H40" s="113"/>
      <x:c r="I40" s="113"/>
      <x:c r="J40" s="113"/>
      <x:c r="K40" s="113"/>
      <x:c r="L40" s="113"/>
      <x:c r="M40" s="113"/>
      <x:c r="N40" s="113"/>
      <x:c r="O40" s="113"/>
      <x:c r="P40" s="113"/>
      <x:c r="Q40" s="113"/>
      <x:c r="R40" s="113"/>
      <x:c r="S40" s="113"/>
      <x:c r="T40" s="113"/>
      <x:c r="U40" s="113"/>
      <x:c r="V40" s="113"/>
      <x:c r="W40" s="113"/>
      <x:c r="X40" s="113"/>
      <x:c r="Y40" s="113"/>
      <x:c r="Z40" s="113"/>
      <x:c r="AA40" s="113"/>
      <x:c r="AB40" s="113"/>
      <x:c r="AC40" s="113"/>
      <x:c r="AD40" s="113"/>
      <x:c r="AE40" s="113"/>
    </x:row>
    <x:row r="41">
      <x:c r="A41" s="113"/>
      <x:c r="B41" s="113"/>
      <x:c r="C41" s="113"/>
      <x:c r="D41" s="113"/>
      <x:c r="E41" s="113"/>
      <x:c r="F41" s="113"/>
      <x:c r="G41" s="113"/>
      <x:c r="H41" s="113"/>
      <x:c r="I41" s="113"/>
      <x:c r="J41" s="113"/>
      <x:c r="K41" s="113"/>
      <x:c r="L41" s="113"/>
      <x:c r="M41" s="113"/>
      <x:c r="N41" s="113"/>
      <x:c r="O41" s="113"/>
      <x:c r="P41" s="113"/>
      <x:c r="Q41" s="113"/>
      <x:c r="R41" s="113"/>
      <x:c r="S41" s="113"/>
      <x:c r="T41" s="113"/>
      <x:c r="U41" s="113"/>
      <x:c r="V41" s="113"/>
      <x:c r="W41" s="113"/>
      <x:c r="X41" s="113"/>
      <x:c r="Y41" s="113"/>
      <x:c r="Z41" s="113"/>
      <x:c r="AA41" s="113"/>
      <x:c r="AB41" s="113"/>
      <x:c r="AC41" s="113"/>
      <x:c r="AD41" s="113"/>
      <x:c r="AE41" s="113"/>
    </x:row>
    <x:row r="42">
      <x:c r="A42" s="113"/>
      <x:c r="B42" s="113"/>
      <x:c r="C42" s="113"/>
      <x:c r="D42" s="113"/>
      <x:c r="E42" s="113"/>
      <x:c r="F42" s="113"/>
      <x:c r="G42" s="113"/>
      <x:c r="H42" s="113"/>
      <x:c r="I42" s="113"/>
      <x:c r="J42" s="113"/>
      <x:c r="K42" s="113"/>
      <x:c r="L42" s="113"/>
      <x:c r="M42" s="113"/>
      <x:c r="N42" s="113"/>
      <x:c r="O42" s="113"/>
      <x:c r="P42" s="113"/>
      <x:c r="Q42" s="113"/>
      <x:c r="R42" s="113"/>
      <x:c r="S42" s="113"/>
      <x:c r="T42" s="113"/>
      <x:c r="U42" s="113"/>
      <x:c r="V42" s="113"/>
      <x:c r="W42" s="113"/>
      <x:c r="X42" s="113"/>
      <x:c r="Y42" s="113"/>
      <x:c r="Z42" s="113"/>
      <x:c r="AA42" s="113"/>
      <x:c r="AB42" s="113"/>
      <x:c r="AC42" s="113"/>
      <x:c r="AD42" s="113"/>
      <x:c r="AE42" s="113"/>
    </x:row>
    <x:row r="43">
      <x:c r="A43" s="113"/>
      <x:c r="B43" s="113"/>
      <x:c r="C43" s="113"/>
      <x:c r="D43" s="113"/>
      <x:c r="E43" s="113"/>
      <x:c r="F43" s="113"/>
      <x:c r="G43" s="113"/>
      <x:c r="H43" s="113"/>
      <x:c r="I43" s="113"/>
      <x:c r="J43" s="113"/>
      <x:c r="K43" s="113"/>
      <x:c r="L43" s="113"/>
      <x:c r="M43" s="113"/>
      <x:c r="N43" s="113"/>
      <x:c r="O43" s="113"/>
      <x:c r="P43" s="113"/>
      <x:c r="Q43" s="113"/>
      <x:c r="R43" s="113"/>
      <x:c r="S43" s="113"/>
      <x:c r="T43" s="113"/>
      <x:c r="U43" s="113"/>
      <x:c r="V43" s="113"/>
      <x:c r="W43" s="113"/>
      <x:c r="X43" s="113"/>
      <x:c r="Y43" s="113"/>
      <x:c r="Z43" s="113"/>
      <x:c r="AA43" s="113"/>
      <x:c r="AB43" s="113"/>
      <x:c r="AC43" s="113"/>
      <x:c r="AD43" s="113"/>
      <x:c r="AE43" s="113"/>
    </x:row>
    <x:row r="44">
      <x:c r="A44" s="113"/>
      <x:c r="B44" s="113"/>
      <x:c r="C44" s="113"/>
      <x:c r="D44" s="113"/>
      <x:c r="E44" s="113"/>
      <x:c r="F44" s="113"/>
      <x:c r="G44" s="113"/>
      <x:c r="H44" s="113"/>
      <x:c r="I44" s="113"/>
      <x:c r="J44" s="113"/>
      <x:c r="K44" s="113"/>
      <x:c r="L44" s="113"/>
      <x:c r="M44" s="113"/>
      <x:c r="N44" s="113"/>
      <x:c r="O44" s="113"/>
      <x:c r="P44" s="113"/>
      <x:c r="Q44" s="113"/>
      <x:c r="R44" s="113"/>
      <x:c r="S44" s="113"/>
      <x:c r="T44" s="113"/>
      <x:c r="U44" s="113"/>
      <x:c r="V44" s="113"/>
      <x:c r="W44" s="113"/>
      <x:c r="X44" s="113"/>
      <x:c r="Y44" s="113"/>
      <x:c r="Z44" s="113"/>
      <x:c r="AA44" s="113"/>
      <x:c r="AB44" s="113"/>
      <x:c r="AC44" s="113"/>
      <x:c r="AD44" s="113"/>
      <x:c r="AE44" s="113"/>
    </x:row>
    <x:row r="45">
      <x:c r="A45" s="113"/>
      <x:c r="B45" s="113"/>
      <x:c r="C45" s="113"/>
      <x:c r="D45" s="113"/>
      <x:c r="E45" s="113"/>
      <x:c r="F45" s="113"/>
      <x:c r="G45" s="113"/>
      <x:c r="H45" s="113"/>
      <x:c r="I45" s="113"/>
      <x:c r="J45" s="113"/>
      <x:c r="K45" s="113"/>
      <x:c r="L45" s="113"/>
      <x:c r="M45" s="113"/>
      <x:c r="N45" s="113"/>
      <x:c r="O45" s="113"/>
      <x:c r="P45" s="113"/>
      <x:c r="Q45" s="113"/>
      <x:c r="R45" s="113"/>
      <x:c r="S45" s="113"/>
      <x:c r="T45" s="113"/>
      <x:c r="U45" s="113"/>
      <x:c r="V45" s="113"/>
      <x:c r="W45" s="113"/>
      <x:c r="X45" s="113"/>
      <x:c r="Y45" s="113"/>
      <x:c r="Z45" s="113"/>
      <x:c r="AA45" s="113"/>
      <x:c r="AB45" s="113"/>
      <x:c r="AC45" s="113"/>
      <x:c r="AD45" s="113"/>
      <x:c r="AE45" s="113"/>
    </x:row>
    <x:row r="46">
      <x:c r="A46" s="113"/>
      <x:c r="B46" s="113"/>
      <x:c r="C46" s="113"/>
      <x:c r="D46" s="113"/>
      <x:c r="E46" s="113"/>
      <x:c r="F46" s="113"/>
      <x:c r="G46" s="113"/>
      <x:c r="H46" s="113"/>
      <x:c r="I46" s="113"/>
      <x:c r="J46" s="113"/>
      <x:c r="K46" s="113"/>
      <x:c r="L46" s="113"/>
      <x:c r="M46" s="113"/>
      <x:c r="N46" s="113"/>
      <x:c r="O46" s="113"/>
      <x:c r="P46" s="113"/>
      <x:c r="Q46" s="113"/>
      <x:c r="R46" s="113"/>
      <x:c r="S46" s="113"/>
      <x:c r="T46" s="113"/>
      <x:c r="U46" s="113"/>
      <x:c r="V46" s="113"/>
      <x:c r="W46" s="113"/>
      <x:c r="X46" s="113"/>
      <x:c r="Y46" s="113"/>
      <x:c r="Z46" s="113"/>
      <x:c r="AA46" s="113"/>
      <x:c r="AB46" s="113"/>
      <x:c r="AC46" s="113"/>
      <x:c r="AD46" s="113"/>
      <x:c r="AE46" s="113"/>
    </x:row>
    <x:row r="47">
      <x:c r="A47" s="113"/>
      <x:c r="B47" s="113"/>
      <x:c r="C47" s="113"/>
      <x:c r="D47" s="113"/>
      <x:c r="E47" s="113"/>
      <x:c r="F47" s="113"/>
      <x:c r="G47" s="113"/>
      <x:c r="H47" s="113"/>
      <x:c r="I47" s="113"/>
      <x:c r="J47" s="113"/>
      <x:c r="K47" s="113"/>
      <x:c r="L47" s="113"/>
      <x:c r="M47" s="113"/>
      <x:c r="N47" s="113"/>
      <x:c r="O47" s="113"/>
      <x:c r="P47" s="113"/>
      <x:c r="Q47" s="113"/>
      <x:c r="R47" s="113"/>
      <x:c r="S47" s="113"/>
      <x:c r="T47" s="113"/>
      <x:c r="U47" s="113"/>
      <x:c r="V47" s="113"/>
      <x:c r="W47" s="113"/>
      <x:c r="X47" s="113"/>
      <x:c r="Y47" s="113"/>
      <x:c r="Z47" s="113"/>
      <x:c r="AA47" s="113"/>
      <x:c r="AB47" s="113"/>
      <x:c r="AC47" s="113"/>
      <x:c r="AD47" s="113"/>
      <x:c r="AE47" s="113"/>
    </x:row>
    <x:row r="48">
      <x:c r="A48" s="113"/>
      <x:c r="B48" s="113"/>
      <x:c r="C48" s="113"/>
      <x:c r="D48" s="113"/>
      <x:c r="E48" s="113"/>
      <x:c r="F48" s="113"/>
      <x:c r="G48" s="113"/>
      <x:c r="H48" s="113"/>
      <x:c r="I48" s="113"/>
      <x:c r="J48" s="113"/>
      <x:c r="K48" s="113"/>
      <x:c r="L48" s="113"/>
      <x:c r="M48" s="113"/>
      <x:c r="N48" s="113"/>
      <x:c r="O48" s="113"/>
      <x:c r="P48" s="113"/>
      <x:c r="Q48" s="113"/>
      <x:c r="R48" s="113"/>
      <x:c r="S48" s="113"/>
      <x:c r="T48" s="113"/>
      <x:c r="U48" s="113"/>
      <x:c r="V48" s="113"/>
      <x:c r="W48" s="113"/>
      <x:c r="X48" s="113"/>
      <x:c r="Y48" s="113"/>
      <x:c r="Z48" s="113"/>
      <x:c r="AA48" s="113"/>
      <x:c r="AB48" s="113"/>
      <x:c r="AC48" s="113"/>
      <x:c r="AD48" s="113"/>
      <x:c r="AE48" s="113"/>
    </x:row>
    <x:row r="49">
      <x:c r="A49" s="113"/>
      <x:c r="B49" s="113"/>
      <x:c r="C49" s="113"/>
      <x:c r="D49" s="113"/>
      <x:c r="E49" s="113"/>
      <x:c r="F49" s="113"/>
      <x:c r="G49" s="113"/>
      <x:c r="H49" s="113"/>
      <x:c r="I49" s="113"/>
      <x:c r="J49" s="113"/>
      <x:c r="K49" s="113"/>
      <x:c r="L49" s="113"/>
      <x:c r="M49" s="113"/>
      <x:c r="N49" s="113"/>
      <x:c r="O49" s="113"/>
      <x:c r="P49" s="113"/>
      <x:c r="Q49" s="113"/>
      <x:c r="R49" s="113"/>
      <x:c r="S49" s="113"/>
      <x:c r="T49" s="113"/>
      <x:c r="U49" s="113"/>
      <x:c r="V49" s="113"/>
      <x:c r="W49" s="113"/>
      <x:c r="X49" s="113"/>
      <x:c r="Y49" s="113"/>
      <x:c r="Z49" s="113"/>
      <x:c r="AA49" s="113"/>
      <x:c r="AB49" s="113"/>
      <x:c r="AC49" s="113"/>
      <x:c r="AD49" s="113"/>
      <x:c r="AE49" s="113"/>
    </x:row>
    <x:row r="50">
      <x:c r="A50" s="113"/>
      <x:c r="B50" s="113"/>
      <x:c r="C50" s="113"/>
      <x:c r="D50" s="113"/>
      <x:c r="E50" s="113"/>
      <x:c r="F50" s="113"/>
      <x:c r="G50" s="113"/>
      <x:c r="H50" s="113"/>
      <x:c r="I50" s="113"/>
      <x:c r="J50" s="113"/>
      <x:c r="K50" s="113"/>
      <x:c r="L50" s="113"/>
      <x:c r="M50" s="113"/>
      <x:c r="N50" s="113"/>
      <x:c r="O50" s="113"/>
      <x:c r="P50" s="113"/>
      <x:c r="Q50" s="113"/>
      <x:c r="R50" s="113"/>
      <x:c r="S50" s="113"/>
      <x:c r="T50" s="113"/>
      <x:c r="U50" s="113"/>
      <x:c r="V50" s="113"/>
      <x:c r="W50" s="113"/>
      <x:c r="X50" s="113"/>
      <x:c r="Y50" s="113"/>
      <x:c r="Z50" s="113"/>
      <x:c r="AA50" s="113"/>
      <x:c r="AB50" s="113"/>
      <x:c r="AC50" s="113"/>
      <x:c r="AD50" s="113"/>
      <x:c r="AE50" s="113"/>
    </x:row>
    <x:row r="51">
      <x:c r="A51" s="113"/>
      <x:c r="B51" s="113"/>
      <x:c r="C51" s="113"/>
      <x:c r="D51" s="113"/>
      <x:c r="E51" s="113"/>
      <x:c r="F51" s="113"/>
      <x:c r="G51" s="113"/>
      <x:c r="H51" s="113"/>
      <x:c r="I51" s="113"/>
      <x:c r="J51" s="113"/>
      <x:c r="K51" s="113"/>
      <x:c r="L51" s="113"/>
      <x:c r="M51" s="113"/>
      <x:c r="N51" s="113"/>
      <x:c r="O51" s="113"/>
      <x:c r="P51" s="113"/>
      <x:c r="Q51" s="113"/>
      <x:c r="R51" s="113"/>
      <x:c r="S51" s="113"/>
      <x:c r="T51" s="113"/>
      <x:c r="U51" s="113"/>
      <x:c r="V51" s="113"/>
      <x:c r="W51" s="113"/>
      <x:c r="X51" s="113"/>
      <x:c r="Y51" s="113"/>
      <x:c r="Z51" s="113"/>
      <x:c r="AA51" s="113"/>
      <x:c r="AB51" s="113"/>
      <x:c r="AC51" s="113"/>
      <x:c r="AD51" s="113"/>
      <x:c r="AE51" s="113"/>
    </x:row>
    <x:row r="52">
      <x:c r="A52" s="113"/>
      <x:c r="B52" s="113"/>
      <x:c r="C52" s="113"/>
      <x:c r="D52" s="113"/>
      <x:c r="E52" s="113"/>
      <x:c r="F52" s="113"/>
      <x:c r="G52" s="113"/>
      <x:c r="H52" s="113"/>
      <x:c r="I52" s="113"/>
      <x:c r="J52" s="113"/>
      <x:c r="K52" s="113"/>
      <x:c r="L52" s="113"/>
      <x:c r="M52" s="113"/>
      <x:c r="N52" s="113"/>
      <x:c r="O52" s="113"/>
      <x:c r="P52" s="113"/>
      <x:c r="Q52" s="113"/>
      <x:c r="R52" s="113"/>
      <x:c r="S52" s="113"/>
      <x:c r="T52" s="113"/>
      <x:c r="U52" s="113"/>
      <x:c r="V52" s="113"/>
      <x:c r="W52" s="113"/>
      <x:c r="X52" s="113"/>
      <x:c r="Y52" s="113"/>
      <x:c r="Z52" s="113"/>
      <x:c r="AA52" s="113"/>
      <x:c r="AB52" s="113"/>
      <x:c r="AC52" s="113"/>
      <x:c r="AD52" s="113"/>
      <x:c r="AE52" s="113"/>
    </x:row>
    <x:row r="53">
      <x:c r="A53" s="113"/>
      <x:c r="B53" s="113"/>
      <x:c r="C53" s="113"/>
      <x:c r="D53" s="113"/>
      <x:c r="E53" s="113"/>
      <x:c r="F53" s="113"/>
      <x:c r="G53" s="113"/>
      <x:c r="H53" s="113"/>
      <x:c r="I53" s="113"/>
      <x:c r="J53" s="113"/>
      <x:c r="K53" s="113"/>
      <x:c r="L53" s="113"/>
      <x:c r="M53" s="113"/>
      <x:c r="N53" s="113"/>
      <x:c r="O53" s="113"/>
      <x:c r="P53" s="113"/>
      <x:c r="Q53" s="113"/>
      <x:c r="R53" s="113"/>
      <x:c r="S53" s="113"/>
      <x:c r="T53" s="113"/>
      <x:c r="U53" s="113"/>
      <x:c r="V53" s="113"/>
      <x:c r="W53" s="113"/>
      <x:c r="X53" s="113"/>
      <x:c r="Y53" s="113"/>
      <x:c r="Z53" s="113"/>
      <x:c r="AA53" s="113"/>
      <x:c r="AB53" s="113"/>
      <x:c r="AC53" s="113"/>
      <x:c r="AD53" s="113"/>
      <x:c r="AE53" s="113"/>
    </x:row>
    <x:row r="54">
      <x:c r="A54" s="113"/>
      <x:c r="B54" s="113"/>
      <x:c r="C54" s="113"/>
      <x:c r="D54" s="113"/>
      <x:c r="E54" s="113"/>
      <x:c r="F54" s="113"/>
      <x:c r="G54" s="113"/>
      <x:c r="H54" s="113"/>
      <x:c r="I54" s="113"/>
      <x:c r="J54" s="113"/>
      <x:c r="K54" s="113"/>
      <x:c r="L54" s="113"/>
      <x:c r="M54" s="113"/>
      <x:c r="N54" s="113"/>
      <x:c r="O54" s="113"/>
      <x:c r="P54" s="113"/>
      <x:c r="Q54" s="113"/>
      <x:c r="R54" s="113"/>
      <x:c r="S54" s="113"/>
      <x:c r="T54" s="113"/>
      <x:c r="U54" s="113"/>
      <x:c r="V54" s="113"/>
      <x:c r="W54" s="113"/>
      <x:c r="X54" s="113"/>
      <x:c r="Y54" s="113"/>
      <x:c r="Z54" s="113"/>
      <x:c r="AA54" s="113"/>
      <x:c r="AB54" s="113"/>
      <x:c r="AC54" s="113"/>
      <x:c r="AD54" s="113"/>
      <x:c r="AE54" s="113"/>
    </x:row>
    <x:row r="55">
      <x:c r="A55" s="113"/>
      <x:c r="B55" s="113"/>
      <x:c r="C55" s="113"/>
      <x:c r="D55" s="113"/>
      <x:c r="E55" s="113"/>
      <x:c r="F55" s="113"/>
      <x:c r="G55" s="113"/>
      <x:c r="H55" s="113"/>
      <x:c r="I55" s="113"/>
      <x:c r="J55" s="113"/>
      <x:c r="K55" s="113"/>
      <x:c r="L55" s="113"/>
      <x:c r="M55" s="113"/>
      <x:c r="N55" s="113"/>
      <x:c r="O55" s="113"/>
      <x:c r="P55" s="113"/>
      <x:c r="Q55" s="113"/>
      <x:c r="R55" s="113"/>
      <x:c r="S55" s="113"/>
      <x:c r="T55" s="113"/>
      <x:c r="U55" s="113"/>
      <x:c r="V55" s="113"/>
      <x:c r="W55" s="113"/>
      <x:c r="X55" s="113"/>
      <x:c r="Y55" s="113"/>
      <x:c r="Z55" s="113"/>
      <x:c r="AA55" s="113"/>
      <x:c r="AB55" s="113"/>
      <x:c r="AC55" s="113"/>
      <x:c r="AD55" s="113"/>
      <x:c r="AE55" s="113"/>
    </x:row>
    <x:row r="56">
      <x:c r="A56" s="113"/>
      <x:c r="B56" s="113"/>
      <x:c r="C56" s="113"/>
      <x:c r="D56" s="113"/>
      <x:c r="E56" s="113"/>
      <x:c r="F56" s="113"/>
      <x:c r="G56" s="113"/>
      <x:c r="H56" s="113"/>
      <x:c r="I56" s="113"/>
      <x:c r="J56" s="113"/>
      <x:c r="K56" s="113"/>
      <x:c r="L56" s="113"/>
      <x:c r="M56" s="113"/>
      <x:c r="N56" s="113"/>
      <x:c r="O56" s="113"/>
      <x:c r="P56" s="113"/>
      <x:c r="Q56" s="113"/>
      <x:c r="R56" s="113"/>
      <x:c r="S56" s="113"/>
      <x:c r="T56" s="113"/>
      <x:c r="U56" s="113"/>
      <x:c r="V56" s="113"/>
      <x:c r="W56" s="113"/>
      <x:c r="X56" s="113"/>
      <x:c r="Y56" s="113"/>
      <x:c r="Z56" s="113"/>
      <x:c r="AA56" s="113"/>
      <x:c r="AB56" s="113"/>
      <x:c r="AC56" s="113"/>
      <x:c r="AD56" s="113"/>
      <x:c r="AE56" s="113"/>
    </x:row>
    <x:row r="57">
      <x:c r="A57" s="113"/>
      <x:c r="B57" s="113"/>
      <x:c r="C57" s="113"/>
      <x:c r="D57" s="113"/>
      <x:c r="E57" s="113"/>
      <x:c r="F57" s="113"/>
      <x:c r="G57" s="113"/>
      <x:c r="H57" s="113"/>
      <x:c r="I57" s="113"/>
      <x:c r="J57" s="113"/>
      <x:c r="K57" s="113"/>
      <x:c r="L57" s="113"/>
      <x:c r="M57" s="113"/>
      <x:c r="N57" s="113"/>
      <x:c r="O57" s="113"/>
      <x:c r="P57" s="113"/>
      <x:c r="Q57" s="113"/>
      <x:c r="R57" s="113"/>
      <x:c r="S57" s="113"/>
      <x:c r="T57" s="113"/>
      <x:c r="U57" s="113"/>
      <x:c r="V57" s="113"/>
      <x:c r="W57" s="113"/>
      <x:c r="X57" s="113"/>
      <x:c r="Y57" s="113"/>
      <x:c r="Z57" s="113"/>
      <x:c r="AA57" s="113"/>
      <x:c r="AB57" s="113"/>
      <x:c r="AC57" s="113"/>
      <x:c r="AD57" s="113"/>
      <x:c r="AE57" s="113"/>
    </x:row>
    <x:row r="58">
      <x:c r="A58" s="113"/>
      <x:c r="B58" s="113"/>
      <x:c r="C58" s="113"/>
      <x:c r="D58" s="113"/>
      <x:c r="E58" s="113"/>
      <x:c r="F58" s="113"/>
      <x:c r="G58" s="113"/>
      <x:c r="H58" s="113"/>
      <x:c r="I58" s="113"/>
      <x:c r="J58" s="113"/>
      <x:c r="K58" s="113"/>
      <x:c r="L58" s="113"/>
      <x:c r="M58" s="113"/>
      <x:c r="N58" s="113"/>
      <x:c r="O58" s="113"/>
      <x:c r="P58" s="113"/>
      <x:c r="Q58" s="113"/>
      <x:c r="R58" s="113"/>
      <x:c r="S58" s="113"/>
      <x:c r="T58" s="113"/>
      <x:c r="U58" s="113"/>
      <x:c r="V58" s="113"/>
      <x:c r="W58" s="113"/>
      <x:c r="X58" s="113"/>
      <x:c r="Y58" s="113"/>
      <x:c r="Z58" s="113"/>
      <x:c r="AA58" s="113"/>
      <x:c r="AB58" s="113"/>
      <x:c r="AC58" s="113"/>
      <x:c r="AD58" s="113"/>
      <x:c r="AE58" s="113"/>
    </x:row>
    <x:row r="59">
      <x:c r="A59" s="113"/>
      <x:c r="B59" s="113"/>
      <x:c r="C59" s="113"/>
      <x:c r="D59" s="113"/>
      <x:c r="E59" s="113"/>
      <x:c r="F59" s="113"/>
      <x:c r="G59" s="113"/>
      <x:c r="H59" s="113"/>
      <x:c r="I59" s="113"/>
      <x:c r="J59" s="113"/>
      <x:c r="K59" s="113"/>
      <x:c r="L59" s="113"/>
      <x:c r="M59" s="113"/>
      <x:c r="N59" s="113"/>
      <x:c r="O59" s="113"/>
      <x:c r="P59" s="113"/>
      <x:c r="Q59" s="113"/>
      <x:c r="R59" s="113"/>
      <x:c r="S59" s="113"/>
      <x:c r="T59" s="113"/>
      <x:c r="U59" s="113"/>
      <x:c r="V59" s="113"/>
      <x:c r="W59" s="113"/>
      <x:c r="X59" s="113"/>
      <x:c r="Y59" s="113"/>
      <x:c r="Z59" s="113"/>
      <x:c r="AA59" s="113"/>
      <x:c r="AB59" s="113"/>
      <x:c r="AC59" s="113"/>
      <x:c r="AD59" s="113"/>
      <x:c r="AE59" s="113"/>
    </x:row>
    <x:row r="60">
      <x:c r="A60" s="113"/>
      <x:c r="B60" s="113"/>
      <x:c r="C60" s="113"/>
      <x:c r="D60" s="113"/>
      <x:c r="E60" s="113"/>
      <x:c r="F60" s="113"/>
      <x:c r="G60" s="113"/>
      <x:c r="H60" s="113"/>
      <x:c r="I60" s="113"/>
      <x:c r="J60" s="113"/>
      <x:c r="K60" s="113"/>
      <x:c r="L60" s="113"/>
      <x:c r="M60" s="113"/>
      <x:c r="N60" s="113"/>
      <x:c r="O60" s="113"/>
      <x:c r="P60" s="113"/>
      <x:c r="Q60" s="113"/>
      <x:c r="R60" s="113"/>
      <x:c r="S60" s="113"/>
      <x:c r="T60" s="113"/>
      <x:c r="U60" s="113"/>
      <x:c r="V60" s="113"/>
      <x:c r="W60" s="113"/>
      <x:c r="X60" s="113"/>
      <x:c r="Y60" s="113"/>
      <x:c r="Z60" s="113"/>
      <x:c r="AA60" s="113"/>
      <x:c r="AB60" s="113"/>
      <x:c r="AC60" s="113"/>
      <x:c r="AD60" s="113"/>
      <x:c r="AE60" s="113"/>
    </x:row>
    <x:row r="61">
      <x:c r="A61" s="113"/>
      <x:c r="B61" s="113"/>
      <x:c r="C61" s="113"/>
      <x:c r="D61" s="113"/>
      <x:c r="E61" s="113"/>
      <x:c r="F61" s="113"/>
      <x:c r="G61" s="113"/>
      <x:c r="H61" s="113"/>
      <x:c r="I61" s="113"/>
      <x:c r="J61" s="113"/>
      <x:c r="K61" s="113"/>
      <x:c r="L61" s="113"/>
      <x:c r="M61" s="113"/>
      <x:c r="N61" s="113"/>
      <x:c r="O61" s="113"/>
      <x:c r="P61" s="113"/>
      <x:c r="Q61" s="113"/>
      <x:c r="R61" s="113"/>
      <x:c r="S61" s="113"/>
      <x:c r="T61" s="113"/>
      <x:c r="U61" s="113"/>
      <x:c r="V61" s="113"/>
      <x:c r="W61" s="113"/>
      <x:c r="X61" s="113"/>
      <x:c r="Y61" s="113"/>
      <x:c r="Z61" s="113"/>
      <x:c r="AA61" s="113"/>
      <x:c r="AB61" s="113"/>
      <x:c r="AC61" s="113"/>
      <x:c r="AD61" s="113"/>
      <x:c r="AE61" s="113"/>
    </x:row>
    <x:row r="62">
      <x:c r="A62" s="113"/>
      <x:c r="B62" s="113"/>
      <x:c r="C62" s="113"/>
      <x:c r="D62" s="113"/>
      <x:c r="E62" s="113"/>
      <x:c r="F62" s="113"/>
      <x:c r="G62" s="113"/>
      <x:c r="H62" s="113"/>
      <x:c r="I62" s="113"/>
      <x:c r="J62" s="113"/>
      <x:c r="K62" s="113"/>
      <x:c r="L62" s="113"/>
      <x:c r="M62" s="113"/>
      <x:c r="N62" s="113"/>
      <x:c r="O62" s="113"/>
      <x:c r="P62" s="113"/>
      <x:c r="Q62" s="113"/>
      <x:c r="R62" s="113"/>
      <x:c r="S62" s="113"/>
      <x:c r="T62" s="113"/>
      <x:c r="U62" s="113"/>
      <x:c r="V62" s="113"/>
      <x:c r="W62" s="113"/>
      <x:c r="X62" s="113"/>
      <x:c r="Y62" s="113"/>
      <x:c r="Z62" s="113"/>
      <x:c r="AA62" s="113"/>
      <x:c r="AB62" s="113"/>
      <x:c r="AC62" s="113"/>
      <x:c r="AD62" s="113"/>
      <x:c r="AE62" s="113"/>
    </x:row>
    <x:row r="63">
      <x:c r="A63" s="113"/>
      <x:c r="B63" s="113"/>
      <x:c r="C63" s="113"/>
      <x:c r="D63" s="113"/>
      <x:c r="E63" s="113"/>
      <x:c r="F63" s="113"/>
      <x:c r="G63" s="113"/>
      <x:c r="H63" s="113"/>
      <x:c r="I63" s="113"/>
      <x:c r="J63" s="113"/>
      <x:c r="K63" s="113"/>
      <x:c r="L63" s="113"/>
      <x:c r="M63" s="113"/>
      <x:c r="N63" s="113"/>
      <x:c r="O63" s="113"/>
      <x:c r="P63" s="113"/>
      <x:c r="Q63" s="113"/>
      <x:c r="R63" s="113"/>
      <x:c r="S63" s="113"/>
      <x:c r="T63" s="113"/>
      <x:c r="U63" s="113"/>
      <x:c r="V63" s="113"/>
      <x:c r="W63" s="113"/>
      <x:c r="X63" s="113"/>
      <x:c r="Y63" s="113"/>
      <x:c r="Z63" s="113"/>
      <x:c r="AA63" s="113"/>
      <x:c r="AB63" s="113"/>
      <x:c r="AC63" s="113"/>
      <x:c r="AD63" s="113"/>
      <x:c r="AE63" s="113"/>
    </x:row>
    <x:row r="64">
      <x:c r="A64" s="113"/>
      <x:c r="B64" s="113"/>
      <x:c r="C64" s="113"/>
      <x:c r="D64" s="113"/>
      <x:c r="E64" s="113"/>
      <x:c r="F64" s="113"/>
      <x:c r="G64" s="113"/>
      <x:c r="H64" s="113"/>
      <x:c r="I64" s="113"/>
      <x:c r="J64" s="113"/>
      <x:c r="K64" s="113"/>
      <x:c r="L64" s="113"/>
      <x:c r="M64" s="113"/>
      <x:c r="N64" s="113"/>
      <x:c r="O64" s="113"/>
      <x:c r="P64" s="113"/>
      <x:c r="Q64" s="113"/>
      <x:c r="R64" s="113"/>
      <x:c r="S64" s="113"/>
      <x:c r="T64" s="113"/>
      <x:c r="U64" s="113"/>
      <x:c r="V64" s="113"/>
      <x:c r="W64" s="113"/>
      <x:c r="X64" s="113"/>
      <x:c r="Y64" s="113"/>
      <x:c r="Z64" s="113"/>
      <x:c r="AA64" s="113"/>
      <x:c r="AB64" s="113"/>
      <x:c r="AC64" s="113"/>
      <x:c r="AD64" s="113"/>
      <x:c r="AE64" s="113"/>
    </x:row>
    <x:row r="65">
      <x:c r="A65" s="113"/>
      <x:c r="B65" s="113"/>
      <x:c r="C65" s="113"/>
      <x:c r="D65" s="113"/>
      <x:c r="E65" s="113"/>
      <x:c r="F65" s="113"/>
      <x:c r="G65" s="113"/>
      <x:c r="H65" s="113"/>
      <x:c r="I65" s="113"/>
      <x:c r="J65" s="113"/>
      <x:c r="K65" s="113"/>
      <x:c r="L65" s="113"/>
      <x:c r="M65" s="113"/>
      <x:c r="N65" s="113"/>
      <x:c r="O65" s="113"/>
      <x:c r="P65" s="113"/>
      <x:c r="Q65" s="113"/>
      <x:c r="R65" s="113"/>
      <x:c r="S65" s="113"/>
      <x:c r="T65" s="113"/>
      <x:c r="U65" s="113"/>
      <x:c r="V65" s="113"/>
      <x:c r="W65" s="113"/>
      <x:c r="X65" s="113"/>
      <x:c r="Y65" s="113"/>
      <x:c r="Z65" s="113"/>
      <x:c r="AA65" s="113"/>
      <x:c r="AB65" s="113"/>
      <x:c r="AC65" s="113"/>
      <x:c r="AD65" s="113"/>
      <x:c r="AE65" s="113"/>
    </x:row>
    <x:row r="66">
      <x:c r="A66" s="113"/>
      <x:c r="B66" s="113"/>
      <x:c r="C66" s="113"/>
      <x:c r="D66" s="113"/>
      <x:c r="E66" s="113"/>
      <x:c r="F66" s="113"/>
      <x:c r="G66" s="113"/>
      <x:c r="H66" s="113"/>
      <x:c r="I66" s="113"/>
      <x:c r="J66" s="113"/>
      <x:c r="K66" s="113"/>
      <x:c r="L66" s="113"/>
      <x:c r="M66" s="113"/>
      <x:c r="N66" s="113"/>
      <x:c r="O66" s="113"/>
      <x:c r="P66" s="113"/>
      <x:c r="Q66" s="113"/>
      <x:c r="R66" s="113"/>
      <x:c r="S66" s="113"/>
      <x:c r="T66" s="113"/>
      <x:c r="U66" s="113"/>
      <x:c r="V66" s="113"/>
      <x:c r="W66" s="113"/>
      <x:c r="X66" s="113"/>
      <x:c r="Y66" s="113"/>
      <x:c r="Z66" s="113"/>
      <x:c r="AA66" s="113"/>
      <x:c r="AB66" s="113"/>
      <x:c r="AC66" s="113"/>
      <x:c r="AD66" s="113"/>
      <x:c r="AE66" s="113"/>
    </x:row>
    <x:row r="67">
      <x:c r="A67" s="113"/>
      <x:c r="B67" s="113"/>
      <x:c r="C67" s="113"/>
      <x:c r="D67" s="113"/>
      <x:c r="E67" s="113"/>
      <x:c r="F67" s="113"/>
      <x:c r="G67" s="113"/>
      <x:c r="H67" s="113"/>
      <x:c r="I67" s="113"/>
      <x:c r="J67" s="113"/>
      <x:c r="K67" s="113"/>
      <x:c r="L67" s="113"/>
      <x:c r="M67" s="113"/>
      <x:c r="N67" s="113"/>
      <x:c r="O67" s="113"/>
      <x:c r="P67" s="113"/>
      <x:c r="Q67" s="113"/>
      <x:c r="R67" s="113"/>
      <x:c r="S67" s="113"/>
      <x:c r="T67" s="113"/>
      <x:c r="U67" s="113"/>
      <x:c r="V67" s="113"/>
      <x:c r="W67" s="113"/>
      <x:c r="X67" s="113"/>
      <x:c r="Y67" s="113"/>
      <x:c r="Z67" s="113"/>
      <x:c r="AA67" s="113"/>
      <x:c r="AB67" s="113"/>
      <x:c r="AC67" s="113"/>
      <x:c r="AD67" s="113"/>
      <x:c r="AE67" s="113"/>
    </x:row>
    <x:row r="68">
      <x:c r="A68" s="113"/>
      <x:c r="B68" s="113"/>
      <x:c r="C68" s="113"/>
      <x:c r="D68" s="113"/>
      <x:c r="E68" s="113"/>
      <x:c r="F68" s="113"/>
      <x:c r="G68" s="113"/>
      <x:c r="H68" s="113"/>
      <x:c r="I68" s="113"/>
      <x:c r="J68" s="113"/>
      <x:c r="K68" s="113"/>
      <x:c r="L68" s="113"/>
      <x:c r="M68" s="113"/>
      <x:c r="N68" s="113"/>
      <x:c r="O68" s="113"/>
      <x:c r="P68" s="113"/>
      <x:c r="Q68" s="113"/>
      <x:c r="R68" s="113"/>
      <x:c r="S68" s="113"/>
      <x:c r="T68" s="113"/>
      <x:c r="U68" s="113"/>
      <x:c r="V68" s="113"/>
      <x:c r="W68" s="113"/>
      <x:c r="X68" s="113"/>
      <x:c r="Y68" s="113"/>
      <x:c r="Z68" s="113"/>
      <x:c r="AA68" s="113"/>
      <x:c r="AB68" s="113"/>
      <x:c r="AC68" s="113"/>
      <x:c r="AD68" s="113"/>
      <x:c r="AE68" s="113"/>
    </x:row>
    <x:row r="69">
      <x:c r="A69" s="113"/>
      <x:c r="B69" s="113"/>
      <x:c r="C69" s="113"/>
      <x:c r="D69" s="113"/>
      <x:c r="E69" s="113"/>
      <x:c r="F69" s="113"/>
      <x:c r="G69" s="113"/>
      <x:c r="H69" s="113"/>
      <x:c r="I69" s="113"/>
      <x:c r="J69" s="113"/>
      <x:c r="K69" s="113"/>
      <x:c r="L69" s="113"/>
      <x:c r="M69" s="113"/>
      <x:c r="N69" s="113"/>
      <x:c r="O69" s="113"/>
      <x:c r="P69" s="113"/>
      <x:c r="Q69" s="113"/>
      <x:c r="R69" s="113"/>
      <x:c r="S69" s="113"/>
      <x:c r="T69" s="113"/>
      <x:c r="U69" s="113"/>
      <x:c r="V69" s="113"/>
      <x:c r="W69" s="113"/>
      <x:c r="X69" s="113"/>
      <x:c r="Y69" s="113"/>
      <x:c r="Z69" s="113"/>
      <x:c r="AA69" s="113"/>
      <x:c r="AB69" s="113"/>
      <x:c r="AC69" s="113"/>
      <x:c r="AD69" s="113"/>
      <x:c r="AE69" s="113"/>
    </x:row>
    <x:row r="70">
      <x:c r="A70" s="113"/>
      <x:c r="B70" s="113"/>
      <x:c r="C70" s="113"/>
      <x:c r="D70" s="113"/>
      <x:c r="E70" s="113"/>
      <x:c r="F70" s="113"/>
      <x:c r="G70" s="113"/>
      <x:c r="H70" s="113"/>
      <x:c r="I70" s="113"/>
      <x:c r="J70" s="113"/>
      <x:c r="K70" s="113"/>
      <x:c r="L70" s="113"/>
      <x:c r="M70" s="113"/>
      <x:c r="N70" s="113"/>
      <x:c r="O70" s="113"/>
      <x:c r="P70" s="113"/>
      <x:c r="Q70" s="113"/>
      <x:c r="R70" s="113"/>
      <x:c r="S70" s="113"/>
      <x:c r="T70" s="113"/>
      <x:c r="U70" s="113"/>
      <x:c r="V70" s="113"/>
      <x:c r="W70" s="113"/>
      <x:c r="X70" s="113"/>
      <x:c r="Y70" s="113"/>
      <x:c r="Z70" s="113"/>
      <x:c r="AA70" s="113"/>
      <x:c r="AB70" s="113"/>
      <x:c r="AC70" s="113"/>
      <x:c r="AD70" s="113"/>
      <x:c r="AE70" s="113"/>
    </x:row>
    <x:row r="71">
      <x:c r="A71" s="113"/>
      <x:c r="B71" s="113"/>
      <x:c r="C71" s="113"/>
      <x:c r="D71" s="113"/>
      <x:c r="E71" s="113"/>
      <x:c r="F71" s="113"/>
      <x:c r="G71" s="113"/>
      <x:c r="H71" s="113"/>
      <x:c r="I71" s="113"/>
      <x:c r="J71" s="113"/>
      <x:c r="K71" s="113"/>
      <x:c r="L71" s="113"/>
      <x:c r="M71" s="113"/>
      <x:c r="N71" s="113"/>
      <x:c r="O71" s="113"/>
      <x:c r="P71" s="113"/>
      <x:c r="Q71" s="113"/>
      <x:c r="R71" s="113"/>
      <x:c r="S71" s="113"/>
      <x:c r="T71" s="113"/>
      <x:c r="U71" s="113"/>
      <x:c r="V71" s="113"/>
      <x:c r="W71" s="113"/>
      <x:c r="X71" s="113"/>
      <x:c r="Y71" s="113"/>
      <x:c r="Z71" s="113"/>
      <x:c r="AA71" s="113"/>
      <x:c r="AB71" s="113"/>
      <x:c r="AC71" s="113"/>
      <x:c r="AD71" s="113"/>
      <x:c r="AE71" s="113"/>
    </x:row>
    <x:row r="72">
      <x:c r="A72" s="113"/>
      <x:c r="B72" s="113"/>
      <x:c r="C72" s="113"/>
      <x:c r="D72" s="113"/>
      <x:c r="E72" s="113"/>
      <x:c r="F72" s="113"/>
      <x:c r="G72" s="113"/>
      <x:c r="H72" s="113"/>
      <x:c r="I72" s="113"/>
      <x:c r="J72" s="113"/>
      <x:c r="K72" s="113"/>
      <x:c r="L72" s="113"/>
      <x:c r="M72" s="113"/>
      <x:c r="N72" s="113"/>
      <x:c r="O72" s="113"/>
      <x:c r="P72" s="113"/>
      <x:c r="Q72" s="113"/>
      <x:c r="R72" s="113"/>
      <x:c r="S72" s="113"/>
      <x:c r="T72" s="113"/>
      <x:c r="U72" s="113"/>
      <x:c r="V72" s="113"/>
      <x:c r="W72" s="113"/>
      <x:c r="X72" s="113"/>
      <x:c r="Y72" s="113"/>
      <x:c r="Z72" s="113"/>
      <x:c r="AA72" s="113"/>
      <x:c r="AB72" s="113"/>
      <x:c r="AC72" s="113"/>
      <x:c r="AD72" s="113"/>
      <x:c r="AE72" s="113"/>
    </x:row>
    <x:row r="73">
      <x:c r="A73" s="113"/>
      <x:c r="B73" s="113"/>
      <x:c r="C73" s="113"/>
      <x:c r="D73" s="113"/>
      <x:c r="E73" s="113"/>
      <x:c r="F73" s="113"/>
      <x:c r="G73" s="113"/>
      <x:c r="H73" s="113"/>
      <x:c r="I73" s="113"/>
      <x:c r="J73" s="113"/>
      <x:c r="K73" s="113"/>
      <x:c r="L73" s="113"/>
      <x:c r="M73" s="113"/>
      <x:c r="N73" s="113"/>
      <x:c r="O73" s="113"/>
      <x:c r="P73" s="113"/>
      <x:c r="Q73" s="113"/>
      <x:c r="R73" s="113"/>
      <x:c r="S73" s="113"/>
      <x:c r="T73" s="113"/>
      <x:c r="U73" s="113"/>
      <x:c r="V73" s="113"/>
      <x:c r="W73" s="113"/>
      <x:c r="X73" s="113"/>
      <x:c r="Y73" s="113"/>
      <x:c r="Z73" s="113"/>
      <x:c r="AA73" s="113"/>
      <x:c r="AB73" s="113"/>
      <x:c r="AC73" s="113"/>
      <x:c r="AD73" s="113"/>
      <x:c r="AE73" s="113"/>
    </x:row>
    <x:row r="74">
      <x:c r="A74" s="113"/>
      <x:c r="B74" s="113"/>
      <x:c r="C74" s="113"/>
      <x:c r="D74" s="113"/>
      <x:c r="E74" s="113"/>
      <x:c r="F74" s="113"/>
      <x:c r="G74" s="113"/>
      <x:c r="H74" s="113"/>
      <x:c r="I74" s="113"/>
      <x:c r="J74" s="113"/>
      <x:c r="K74" s="113"/>
      <x:c r="L74" s="113"/>
      <x:c r="M74" s="113"/>
      <x:c r="N74" s="113"/>
      <x:c r="O74" s="113"/>
      <x:c r="P74" s="113"/>
      <x:c r="Q74" s="113"/>
      <x:c r="R74" s="113"/>
      <x:c r="S74" s="113"/>
      <x:c r="T74" s="113"/>
      <x:c r="U74" s="113"/>
      <x:c r="V74" s="113"/>
      <x:c r="W74" s="113"/>
      <x:c r="X74" s="113"/>
      <x:c r="Y74" s="113"/>
      <x:c r="Z74" s="113"/>
      <x:c r="AA74" s="113"/>
      <x:c r="AB74" s="113"/>
      <x:c r="AC74" s="113"/>
      <x:c r="AD74" s="113"/>
      <x:c r="AE74" s="113"/>
    </x:row>
    <x:row r="75">
      <x:c r="A75" s="113"/>
      <x:c r="B75" s="113"/>
      <x:c r="C75" s="113"/>
      <x:c r="D75" s="113"/>
      <x:c r="E75" s="113"/>
      <x:c r="F75" s="113"/>
      <x:c r="G75" s="113"/>
      <x:c r="H75" s="113"/>
      <x:c r="I75" s="113"/>
      <x:c r="J75" s="113"/>
      <x:c r="K75" s="113"/>
      <x:c r="L75" s="113"/>
      <x:c r="M75" s="113"/>
      <x:c r="N75" s="113"/>
      <x:c r="O75" s="113"/>
      <x:c r="P75" s="113"/>
      <x:c r="Q75" s="113"/>
      <x:c r="R75" s="113"/>
      <x:c r="S75" s="113"/>
      <x:c r="T75" s="113"/>
      <x:c r="U75" s="113"/>
      <x:c r="V75" s="113"/>
      <x:c r="W75" s="113"/>
      <x:c r="X75" s="113"/>
      <x:c r="Y75" s="113"/>
      <x:c r="Z75" s="113"/>
      <x:c r="AA75" s="113"/>
      <x:c r="AB75" s="113"/>
      <x:c r="AC75" s="113"/>
      <x:c r="AD75" s="113"/>
      <x:c r="AE75" s="113"/>
    </x:row>
    <x:row r="76">
      <x:c r="A76" s="113"/>
      <x:c r="B76" s="113"/>
      <x:c r="C76" s="113"/>
      <x:c r="D76" s="113"/>
      <x:c r="E76" s="113"/>
      <x:c r="F76" s="113"/>
      <x:c r="G76" s="113"/>
      <x:c r="H76" s="113"/>
      <x:c r="I76" s="113"/>
      <x:c r="J76" s="113"/>
      <x:c r="K76" s="113"/>
      <x:c r="L76" s="113"/>
      <x:c r="M76" s="113"/>
      <x:c r="N76" s="113"/>
      <x:c r="O76" s="113"/>
      <x:c r="P76" s="113"/>
      <x:c r="Q76" s="113"/>
      <x:c r="R76" s="113"/>
      <x:c r="S76" s="113"/>
      <x:c r="T76" s="113"/>
      <x:c r="U76" s="113"/>
      <x:c r="V76" s="113"/>
      <x:c r="W76" s="113"/>
      <x:c r="X76" s="113"/>
      <x:c r="Y76" s="113"/>
      <x:c r="Z76" s="113"/>
      <x:c r="AA76" s="113"/>
      <x:c r="AB76" s="113"/>
      <x:c r="AC76" s="113"/>
      <x:c r="AD76" s="113"/>
      <x:c r="AE76" s="113"/>
    </x:row>
    <x:row r="77">
      <x:c r="A77" s="113"/>
      <x:c r="B77" s="113"/>
      <x:c r="C77" s="113"/>
      <x:c r="D77" s="113"/>
      <x:c r="E77" s="113"/>
      <x:c r="F77" s="113"/>
      <x:c r="G77" s="113"/>
      <x:c r="H77" s="113"/>
      <x:c r="I77" s="113"/>
      <x:c r="J77" s="113"/>
      <x:c r="K77" s="113"/>
      <x:c r="L77" s="113"/>
      <x:c r="M77" s="113"/>
      <x:c r="N77" s="113"/>
      <x:c r="O77" s="113"/>
      <x:c r="P77" s="113"/>
      <x:c r="Q77" s="113"/>
      <x:c r="R77" s="113"/>
      <x:c r="S77" s="113"/>
      <x:c r="T77" s="113"/>
      <x:c r="U77" s="113"/>
      <x:c r="V77" s="113"/>
      <x:c r="W77" s="113"/>
      <x:c r="X77" s="113"/>
      <x:c r="Y77" s="113"/>
      <x:c r="Z77" s="113"/>
      <x:c r="AA77" s="113"/>
      <x:c r="AB77" s="113"/>
      <x:c r="AC77" s="113"/>
      <x:c r="AD77" s="113"/>
      <x:c r="AE77" s="113"/>
    </x:row>
    <x:row r="78">
      <x:c r="A78" s="113"/>
      <x:c r="B78" s="113"/>
      <x:c r="C78" s="113"/>
      <x:c r="D78" s="113"/>
      <x:c r="E78" s="113"/>
      <x:c r="F78" s="113"/>
      <x:c r="G78" s="113"/>
      <x:c r="H78" s="113"/>
      <x:c r="I78" s="113"/>
      <x:c r="J78" s="113"/>
      <x:c r="K78" s="113"/>
      <x:c r="L78" s="113"/>
      <x:c r="M78" s="113"/>
      <x:c r="N78" s="113"/>
      <x:c r="O78" s="113"/>
      <x:c r="P78" s="113"/>
      <x:c r="Q78" s="113"/>
      <x:c r="R78" s="113"/>
      <x:c r="S78" s="113"/>
      <x:c r="T78" s="113"/>
      <x:c r="U78" s="113"/>
      <x:c r="V78" s="113"/>
      <x:c r="W78" s="113"/>
      <x:c r="X78" s="113"/>
      <x:c r="Y78" s="113"/>
      <x:c r="Z78" s="113"/>
      <x:c r="AA78" s="113"/>
      <x:c r="AB78" s="113"/>
      <x:c r="AC78" s="113"/>
      <x:c r="AD78" s="113"/>
      <x:c r="AE78" s="113"/>
    </x:row>
    <x:row r="79">
      <x:c r="A79" s="113"/>
      <x:c r="B79" s="113"/>
      <x:c r="C79" s="113"/>
      <x:c r="D79" s="113"/>
      <x:c r="E79" s="113"/>
      <x:c r="F79" s="113"/>
      <x:c r="G79" s="113"/>
      <x:c r="H79" s="113"/>
      <x:c r="I79" s="113"/>
      <x:c r="J79" s="113"/>
      <x:c r="K79" s="113"/>
      <x:c r="L79" s="113"/>
      <x:c r="M79" s="113"/>
      <x:c r="N79" s="113"/>
      <x:c r="O79" s="113"/>
      <x:c r="P79" s="113"/>
      <x:c r="Q79" s="113"/>
      <x:c r="R79" s="113"/>
      <x:c r="S79" s="113"/>
      <x:c r="T79" s="113"/>
      <x:c r="U79" s="113"/>
      <x:c r="V79" s="113"/>
      <x:c r="W79" s="113"/>
      <x:c r="X79" s="113"/>
      <x:c r="Y79" s="113"/>
      <x:c r="Z79" s="113"/>
      <x:c r="AA79" s="113"/>
      <x:c r="AB79" s="113"/>
      <x:c r="AC79" s="113"/>
      <x:c r="AD79" s="113"/>
      <x:c r="AE79" s="113"/>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C1"/>
    <x:mergeCell ref="A1:E1"/>
  </x:mergeCells>
  <x:pageMargins left="0.7" right="0.7" top="0.75" bottom="0.75" header="0.3" footer="0.3"/>
  <x:tableParts count="1">
    <x:tablePart xmlns:r="http://schemas.openxmlformats.org/officeDocument/2006/relationships" r:id="R6455ea78b6ef4e83"/>
  </x:tableParts>
</x:worksheet>
</file>

<file path=xl/worksheets/sheet24.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22" hidden="0" customWidth="1"/>
    <x:col min="10" max="10" width="20" hidden="0" customWidth="1"/>
    <x:col min="11" max="11" width="14" hidden="0" customWidth="1"/>
    <x:col min="12" max="12" width="22" hidden="0" customWidth="1"/>
    <x:col min="13" max="13" width="30" hidden="0" customWidth="1"/>
    <x:col min="14" max="14" width="42" hidden="0" customWidth="1"/>
    <x:col min="15" max="15" width="28" hidden="0" customWidth="1"/>
    <x:col min="16" max="16" width="52" hidden="0" customWidth="1"/>
    <x:col min="17" max="17" width="34" hidden="0" customWidth="1"/>
    <x:col min="18" max="18" width="14" hidden="0" customWidth="1"/>
    <x:col min="19" max="19" width="14" hidden="0" customWidth="1"/>
    <x:col min="20" max="20" width="38" hidden="0" customWidth="1"/>
    <x:col min="21" max="21" width="30" hidden="0" customWidth="1"/>
    <x:col min="22" max="22" width="46" hidden="0" customWidth="1"/>
    <x:col min="23" max="23" width="38" hidden="0" customWidth="1"/>
    <x:col min="24" max="24" width="13" hidden="0" customWidth="1"/>
    <x:col min="25" max="25" width="60" hidden="0" customWidth="1"/>
    <x:col min="26" max="26" width="52" hidden="0" customWidth="1"/>
  </x:cols>
  <x:sheetData>
    <x:row r="1" ht="19.200000762939453" hidden="0" customHeight="1">
      <x:c r="A1" s="144" t="str">
        <x:v>ARCHIV / ERSETZT – Gesamt Kartenimport 4.4x</x:v>
      </x:c>
      <x:c r="B1" s="144"/>
      <x:c r="C1" s="144"/>
      <x:c r="D1" s="144"/>
      <x:c r="E1" s="144"/>
      <x:c r="F1" s="144"/>
      <x:c r="G1" s="144"/>
      <x:c r="H1" s="144"/>
      <x:c r="I1" s="96"/>
      <x:c r="J1" s="96"/>
      <x:c r="K1" s="96"/>
      <x:c r="L1" s="96"/>
      <x:c r="M1" s="96"/>
      <x:c r="N1" s="96"/>
      <x:c r="O1" s="96"/>
      <x:c r="P1" s="96"/>
      <x:c r="Q1" s="96"/>
      <x:c r="R1" s="96"/>
      <x:c r="S1" s="96"/>
      <x:c r="T1" s="96"/>
      <x:c r="U1" s="96"/>
      <x:c r="V1" s="96"/>
      <x:c r="W1" s="96"/>
      <x:c r="X1" s="96"/>
      <x:c r="Y1" s="96"/>
      <x:c r="Z1" s="96"/>
    </x:row>
    <x:row r="2" ht="15" hidden="0" customHeight="1">
      <x:c r="A2" s="104"/>
      <x:c r="B2" s="104"/>
      <x:c r="C2" s="104"/>
      <x:c r="D2" s="104"/>
      <x:c r="E2" s="104"/>
      <x:c r="F2" s="104"/>
      <x:c r="G2" s="104"/>
      <x:c r="H2" s="104"/>
      <x:c r="I2" s="104"/>
      <x:c r="J2" s="104"/>
      <x:c r="K2" s="104"/>
      <x:c r="L2" s="104"/>
      <x:c r="M2" s="104"/>
      <x:c r="N2" s="104"/>
      <x:c r="O2" s="104"/>
      <x:c r="P2" s="104"/>
      <x:c r="Q2" s="104"/>
      <x:c r="R2" s="104"/>
      <x:c r="S2" s="104"/>
      <x:c r="T2" s="104"/>
      <x:c r="U2" s="104"/>
      <x:c r="V2" s="104"/>
      <x:c r="W2" s="104"/>
      <x:c r="X2" s="104"/>
      <x:c r="Y2" s="104"/>
      <x:c r="Z2" s="104"/>
    </x:row>
    <x:row r="3" ht="15" hidden="0" customHeight="1">
      <x:c r="A3" s="141" t="str">
        <x:v>Dieser Zwischenstand wurde durch die vollständige Konsolidierung vom 30.08.2026 ersetzt. Maßgeblich sind: „GESAMT 4.4x Übersicht“, „Kartenimport Gesamt 4.4x“, „Neuro-Psych 4.4x“, „Änderungen Gesamt 4.4x“, „Ausschlüsse-Regeln 4.4x“ und „Quellen 4.4x“.</x:v>
      </x:c>
      <x:c r="B3" s="141"/>
      <x:c r="C3" s="141"/>
      <x:c r="D3" s="141"/>
      <x:c r="E3" s="141"/>
      <x:c r="F3" s="141"/>
      <x:c r="G3" s="141"/>
      <x:c r="H3" s="141"/>
      <x:c r="I3" s="101"/>
      <x:c r="J3" s="101"/>
      <x:c r="K3" s="101"/>
      <x:c r="L3" s="101"/>
      <x:c r="M3" s="101"/>
      <x:c r="N3" s="101"/>
      <x:c r="O3" s="101"/>
      <x:c r="P3" s="101"/>
      <x:c r="Q3" s="101"/>
      <x:c r="R3" s="101"/>
      <x:c r="S3" s="101"/>
      <x:c r="T3" s="101"/>
      <x:c r="U3" s="101"/>
      <x:c r="V3" s="101"/>
      <x:c r="W3" s="101"/>
      <x:c r="X3" s="101"/>
      <x:c r="Y3" s="101"/>
      <x:c r="Z3" s="101"/>
    </x:row>
    <x:row r="4" ht="39.599998474121094" hidden="0" customHeight="1">
      <x:c r="A4" s="142"/>
      <x:c r="B4" s="142"/>
      <x:c r="C4" s="142"/>
      <x:c r="D4" s="142"/>
      <x:c r="E4" s="142"/>
      <x:c r="F4" s="142"/>
      <x:c r="G4" s="142"/>
      <x:c r="H4" s="142"/>
      <x:c r="I4" s="45"/>
      <x:c r="J4" s="45"/>
      <x:c r="K4" s="45"/>
      <x:c r="L4" s="45"/>
      <x:c r="M4" s="45"/>
      <x:c r="N4" s="45"/>
      <x:c r="O4" s="45"/>
      <x:c r="P4" s="45"/>
      <x:c r="Q4" s="45"/>
      <x:c r="R4" s="45"/>
      <x:c r="S4" s="45"/>
      <x:c r="T4" s="45"/>
      <x:c r="U4" s="45"/>
      <x:c r="V4" s="45"/>
      <x:c r="W4" s="45"/>
      <x:c r="X4" s="45"/>
      <x:c r="Y4" s="45"/>
      <x:c r="Z4" s="45"/>
    </x:row>
    <x:row r="5" ht="26.399999618530273" hidden="0" customHeight="1">
      <x:c r="A5" s="142"/>
      <x:c r="B5" s="142"/>
      <x:c r="C5" s="142"/>
      <x:c r="D5" s="142"/>
      <x:c r="E5" s="142"/>
      <x:c r="F5" s="142"/>
      <x:c r="G5" s="142"/>
      <x:c r="H5" s="142"/>
      <x:c r="I5" s="45"/>
      <x:c r="J5" s="45"/>
      <x:c r="K5" s="45"/>
      <x:c r="L5" s="45"/>
      <x:c r="M5" s="45"/>
      <x:c r="N5" s="45"/>
      <x:c r="O5" s="45"/>
      <x:c r="P5" s="45"/>
      <x:c r="Q5" s="45"/>
      <x:c r="R5" s="45"/>
      <x:c r="S5" s="45"/>
      <x:c r="T5" s="45"/>
      <x:c r="U5" s="45"/>
      <x:c r="V5" s="45"/>
      <x:c r="W5" s="45"/>
      <x:c r="X5" s="45"/>
      <x:c r="Y5" s="45"/>
      <x:c r="Z5" s="45"/>
    </x:row>
    <x:row r="6" ht="26.399999618530273" hidden="0" customHeight="1">
      <x:c r="A6" s="45"/>
      <x:c r="B6" s="45"/>
      <x:c r="C6" s="45"/>
      <x:c r="D6" s="45"/>
      <x:c r="E6" s="45"/>
      <x:c r="F6" s="45"/>
      <x:c r="G6" s="45"/>
      <x:c r="H6" s="45"/>
      <x:c r="I6" s="45"/>
      <x:c r="J6" s="45"/>
      <x:c r="K6" s="45"/>
      <x:c r="L6" s="45"/>
      <x:c r="M6" s="45"/>
      <x:c r="N6" s="45"/>
      <x:c r="O6" s="45"/>
      <x:c r="P6" s="45"/>
      <x:c r="Q6" s="45"/>
      <x:c r="R6" s="45"/>
      <x:c r="S6" s="45"/>
      <x:c r="T6" s="45"/>
      <x:c r="U6" s="45"/>
      <x:c r="V6" s="45"/>
      <x:c r="W6" s="45"/>
      <x:c r="X6" s="45"/>
      <x:c r="Y6" s="45"/>
      <x:c r="Z6" s="45"/>
    </x:row>
    <x:row r="7" ht="26.399999618530273" hidden="0" customHeight="1">
      <x:c r="A7" s="45"/>
      <x:c r="B7" s="45"/>
      <x:c r="C7" s="45"/>
      <x:c r="D7" s="45"/>
      <x:c r="E7" s="45"/>
      <x:c r="F7" s="45"/>
      <x:c r="G7" s="45"/>
      <x:c r="H7" s="45"/>
      <x:c r="I7" s="45"/>
      <x:c r="J7" s="45"/>
      <x:c r="K7" s="45"/>
      <x:c r="L7" s="45"/>
      <x:c r="M7" s="45"/>
      <x:c r="N7" s="45"/>
      <x:c r="O7" s="45"/>
      <x:c r="P7" s="45"/>
      <x:c r="Q7" s="45"/>
      <x:c r="R7" s="45"/>
      <x:c r="S7" s="45"/>
      <x:c r="T7" s="45"/>
      <x:c r="U7" s="45"/>
      <x:c r="V7" s="45"/>
      <x:c r="W7" s="45"/>
      <x:c r="X7" s="45"/>
      <x:c r="Y7" s="45"/>
      <x:c r="Z7" s="45"/>
    </x:row>
    <x:row r="8" ht="26.399999618530273" hidden="0" customHeight="1">
      <x:c r="A8" s="45"/>
      <x:c r="B8" s="45"/>
      <x:c r="C8" s="45"/>
      <x:c r="D8" s="45"/>
      <x:c r="E8" s="45"/>
      <x:c r="F8" s="45"/>
      <x:c r="G8" s="45"/>
      <x:c r="H8" s="45"/>
      <x:c r="I8" s="45"/>
      <x:c r="J8" s="45"/>
      <x:c r="K8" s="45"/>
      <x:c r="L8" s="45"/>
      <x:c r="M8" s="45"/>
      <x:c r="N8" s="45"/>
      <x:c r="O8" s="45"/>
      <x:c r="P8" s="45"/>
      <x:c r="Q8" s="45"/>
      <x:c r="R8" s="45"/>
      <x:c r="S8" s="45"/>
      <x:c r="T8" s="45"/>
      <x:c r="U8" s="45"/>
      <x:c r="V8" s="45"/>
      <x:c r="W8" s="45"/>
      <x:c r="X8" s="45"/>
      <x:c r="Y8" s="45"/>
      <x:c r="Z8" s="45"/>
    </x:row>
    <x:row r="9" ht="26.399999618530273" hidden="0" customHeight="1">
      <x:c r="A9" s="45"/>
      <x:c r="B9" s="45"/>
      <x:c r="C9" s="45"/>
      <x:c r="D9" s="45"/>
      <x:c r="E9" s="45"/>
      <x:c r="F9" s="45"/>
      <x:c r="G9" s="45"/>
      <x:c r="H9" s="45"/>
      <x:c r="I9" s="45"/>
      <x:c r="J9" s="45"/>
      <x:c r="K9" s="45"/>
      <x:c r="L9" s="45"/>
      <x:c r="M9" s="45"/>
      <x:c r="N9" s="45"/>
      <x:c r="O9" s="45"/>
      <x:c r="P9" s="45"/>
      <x:c r="Q9" s="45"/>
      <x:c r="R9" s="45"/>
      <x:c r="S9" s="45"/>
      <x:c r="T9" s="45"/>
      <x:c r="U9" s="45"/>
      <x:c r="V9" s="45"/>
      <x:c r="W9" s="45"/>
      <x:c r="X9" s="45"/>
      <x:c r="Y9" s="45"/>
      <x:c r="Z9" s="45"/>
    </x:row>
    <x:row r="10" ht="26.399999618530273" hidden="0" customHeight="1">
      <x:c r="A10" s="45"/>
      <x:c r="B10" s="45"/>
      <x:c r="C10" s="45"/>
      <x:c r="D10" s="45"/>
      <x:c r="E10" s="45"/>
      <x:c r="F10" s="45"/>
      <x:c r="G10" s="45"/>
      <x:c r="H10" s="45"/>
      <x:c r="I10" s="45"/>
      <x:c r="J10" s="45"/>
      <x:c r="K10" s="45"/>
      <x:c r="L10" s="45"/>
      <x:c r="M10" s="45"/>
      <x:c r="N10" s="45"/>
      <x:c r="O10" s="45"/>
      <x:c r="P10" s="45"/>
      <x:c r="Q10" s="45"/>
      <x:c r="R10" s="45"/>
      <x:c r="S10" s="45"/>
      <x:c r="T10" s="45"/>
      <x:c r="U10" s="45"/>
      <x:c r="V10" s="45"/>
      <x:c r="W10" s="45"/>
      <x:c r="X10" s="45"/>
      <x:c r="Y10" s="45"/>
      <x:c r="Z10" s="45"/>
    </x:row>
    <x:row r="11" ht="26.399999618530273" hidden="0" customHeight="1">
      <x:c r="A11" s="45"/>
      <x:c r="B11" s="45"/>
      <x:c r="C11" s="45"/>
      <x:c r="D11" s="45"/>
      <x:c r="E11" s="45"/>
      <x:c r="F11" s="45"/>
      <x:c r="G11" s="45"/>
      <x:c r="H11" s="45"/>
      <x:c r="I11" s="45"/>
      <x:c r="J11" s="45"/>
      <x:c r="K11" s="45"/>
      <x:c r="L11" s="45"/>
      <x:c r="M11" s="45"/>
      <x:c r="N11" s="45"/>
      <x:c r="O11" s="45"/>
      <x:c r="P11" s="45"/>
      <x:c r="Q11" s="45"/>
      <x:c r="R11" s="45"/>
      <x:c r="S11" s="45"/>
      <x:c r="T11" s="45"/>
      <x:c r="U11" s="45"/>
      <x:c r="V11" s="45"/>
      <x:c r="W11" s="45"/>
      <x:c r="X11" s="45"/>
      <x:c r="Y11" s="45"/>
      <x:c r="Z11" s="45"/>
    </x:row>
    <x:row r="12" ht="26.399999618530273" hidden="0" customHeight="1">
      <x:c r="A12" s="45"/>
      <x:c r="B12" s="45"/>
      <x:c r="C12" s="45"/>
      <x:c r="D12" s="45"/>
      <x:c r="E12" s="45"/>
      <x:c r="F12" s="45"/>
      <x:c r="G12" s="45"/>
      <x:c r="H12" s="45"/>
      <x:c r="I12" s="45"/>
      <x:c r="J12" s="45"/>
      <x:c r="K12" s="45"/>
      <x:c r="L12" s="45"/>
      <x:c r="M12" s="45"/>
      <x:c r="N12" s="45"/>
      <x:c r="O12" s="45"/>
      <x:c r="P12" s="45"/>
      <x:c r="Q12" s="45"/>
      <x:c r="R12" s="45"/>
      <x:c r="S12" s="45"/>
      <x:c r="T12" s="45"/>
      <x:c r="U12" s="45"/>
      <x:c r="V12" s="45"/>
      <x:c r="W12" s="45"/>
      <x:c r="X12" s="45"/>
      <x:c r="Y12" s="45"/>
      <x:c r="Z12" s="45"/>
    </x:row>
    <x:row r="13" ht="26.399999618530273" hidden="0" customHeight="1">
      <x:c r="A13" s="45"/>
      <x:c r="B13" s="45"/>
      <x:c r="C13" s="45"/>
      <x:c r="D13" s="45"/>
      <x:c r="E13" s="45"/>
      <x:c r="F13" s="45"/>
      <x:c r="G13" s="45"/>
      <x:c r="H13" s="45"/>
      <x:c r="I13" s="45"/>
      <x:c r="J13" s="45"/>
      <x:c r="K13" s="45"/>
      <x:c r="L13" s="45"/>
      <x:c r="M13" s="45"/>
      <x:c r="N13" s="45"/>
      <x:c r="O13" s="45"/>
      <x:c r="P13" s="45"/>
      <x:c r="Q13" s="45"/>
      <x:c r="R13" s="45"/>
      <x:c r="S13" s="45"/>
      <x:c r="T13" s="45"/>
      <x:c r="U13" s="45"/>
      <x:c r="V13" s="45"/>
      <x:c r="W13" s="45"/>
      <x:c r="X13" s="45"/>
      <x:c r="Y13" s="45"/>
      <x:c r="Z13" s="45"/>
    </x:row>
    <x:row r="14" ht="26.399999618530273" hidden="0" customHeight="1">
      <x:c r="A14" s="45"/>
      <x:c r="B14" s="45"/>
      <x:c r="C14" s="45"/>
      <x:c r="D14" s="45"/>
      <x:c r="E14" s="45"/>
      <x:c r="F14" s="45"/>
      <x:c r="G14" s="45"/>
      <x:c r="H14" s="45"/>
      <x:c r="I14" s="45"/>
      <x:c r="J14" s="45"/>
      <x:c r="K14" s="45"/>
      <x:c r="L14" s="45"/>
      <x:c r="M14" s="45"/>
      <x:c r="N14" s="45"/>
      <x:c r="O14" s="45"/>
      <x:c r="P14" s="45"/>
      <x:c r="Q14" s="45"/>
      <x:c r="R14" s="45"/>
      <x:c r="S14" s="45"/>
      <x:c r="T14" s="45"/>
      <x:c r="U14" s="45"/>
      <x:c r="V14" s="45"/>
      <x:c r="W14" s="45"/>
      <x:c r="X14" s="45"/>
      <x:c r="Y14" s="45"/>
      <x:c r="Z14" s="45"/>
    </x:row>
    <x:row r="15" ht="26.399999618530273" hidden="0" customHeight="1">
      <x:c r="A15" s="45"/>
      <x:c r="B15" s="45"/>
      <x:c r="C15" s="45"/>
      <x:c r="D15" s="45"/>
      <x:c r="E15" s="45"/>
      <x:c r="F15" s="45"/>
      <x:c r="G15" s="45"/>
      <x:c r="H15" s="45"/>
      <x:c r="I15" s="45"/>
      <x:c r="J15" s="45"/>
      <x:c r="K15" s="45"/>
      <x:c r="L15" s="45"/>
      <x:c r="M15" s="45"/>
      <x:c r="N15" s="45"/>
      <x:c r="O15" s="45"/>
      <x:c r="P15" s="45"/>
      <x:c r="Q15" s="45"/>
      <x:c r="R15" s="45"/>
      <x:c r="S15" s="45"/>
      <x:c r="T15" s="45"/>
      <x:c r="U15" s="45"/>
      <x:c r="V15" s="45"/>
      <x:c r="W15" s="45"/>
      <x:c r="X15" s="45"/>
      <x:c r="Y15" s="45"/>
      <x:c r="Z15" s="45"/>
    </x:row>
    <x:row r="16" ht="26.399999618530273" hidden="0" customHeight="1">
      <x:c r="A16" s="45"/>
      <x:c r="B16" s="45"/>
      <x:c r="C16" s="45"/>
      <x:c r="D16" s="45"/>
      <x:c r="E16" s="45"/>
      <x:c r="F16" s="45"/>
      <x:c r="G16" s="45"/>
      <x:c r="H16" s="45"/>
      <x:c r="I16" s="45"/>
      <x:c r="J16" s="45"/>
      <x:c r="K16" s="45"/>
      <x:c r="L16" s="45"/>
      <x:c r="M16" s="45"/>
      <x:c r="N16" s="45"/>
      <x:c r="O16" s="45"/>
      <x:c r="P16" s="45"/>
      <x:c r="Q16" s="45"/>
      <x:c r="R16" s="45"/>
      <x:c r="S16" s="45"/>
      <x:c r="T16" s="45"/>
      <x:c r="U16" s="45"/>
      <x:c r="V16" s="45"/>
      <x:c r="W16" s="45"/>
      <x:c r="X16" s="45"/>
      <x:c r="Y16" s="45"/>
      <x:c r="Z16" s="45"/>
    </x:row>
    <x:row r="17" ht="39.599998474121094" hidden="0" customHeight="1">
      <x:c r="A17" s="45"/>
      <x:c r="B17" s="45"/>
      <x:c r="C17" s="45"/>
      <x:c r="D17" s="45"/>
      <x:c r="E17" s="45"/>
      <x:c r="F17" s="45"/>
      <x:c r="G17" s="45"/>
      <x:c r="H17" s="45"/>
      <x:c r="I17" s="45"/>
      <x:c r="J17" s="45"/>
      <x:c r="K17" s="45"/>
      <x:c r="L17" s="45"/>
      <x:c r="M17" s="45"/>
      <x:c r="N17" s="45"/>
      <x:c r="O17" s="45"/>
      <x:c r="P17" s="45"/>
      <x:c r="Q17" s="45"/>
      <x:c r="R17" s="45"/>
      <x:c r="S17" s="45"/>
      <x:c r="T17" s="45"/>
      <x:c r="U17" s="45"/>
      <x:c r="V17" s="45"/>
      <x:c r="W17" s="45"/>
      <x:c r="X17" s="45"/>
      <x:c r="Y17" s="45"/>
      <x:c r="Z17" s="45"/>
    </x:row>
    <x:row r="18" ht="39.599998474121094" hidden="0" customHeight="1">
      <x:c r="A18" s="45"/>
      <x:c r="B18" s="45"/>
      <x:c r="C18" s="45"/>
      <x:c r="D18" s="45"/>
      <x:c r="E18" s="45"/>
      <x:c r="F18" s="45"/>
      <x:c r="G18" s="45"/>
      <x:c r="H18" s="45"/>
      <x:c r="I18" s="45"/>
      <x:c r="J18" s="45"/>
      <x:c r="K18" s="45"/>
      <x:c r="L18" s="45"/>
      <x:c r="M18" s="45"/>
      <x:c r="N18" s="45"/>
      <x:c r="O18" s="45"/>
      <x:c r="P18" s="45"/>
      <x:c r="Q18" s="45"/>
      <x:c r="R18" s="45"/>
      <x:c r="S18" s="45"/>
      <x:c r="T18" s="45"/>
      <x:c r="U18" s="45"/>
      <x:c r="V18" s="45"/>
      <x:c r="W18" s="45"/>
      <x:c r="X18" s="45"/>
      <x:c r="Y18" s="45"/>
      <x:c r="Z18" s="45"/>
    </x:row>
    <x:row r="19" ht="26.399999618530273" hidden="0" customHeight="1">
      <x:c r="A19" s="45"/>
      <x:c r="B19" s="45"/>
      <x:c r="C19" s="45"/>
      <x:c r="D19" s="45"/>
      <x:c r="E19" s="45"/>
      <x:c r="F19" s="45"/>
      <x:c r="G19" s="45"/>
      <x:c r="H19" s="45"/>
      <x:c r="I19" s="45"/>
      <x:c r="J19" s="45"/>
      <x:c r="K19" s="45"/>
      <x:c r="L19" s="45"/>
      <x:c r="M19" s="45"/>
      <x:c r="N19" s="45"/>
      <x:c r="O19" s="45"/>
      <x:c r="P19" s="45"/>
      <x:c r="Q19" s="45"/>
      <x:c r="R19" s="45"/>
      <x:c r="S19" s="45"/>
      <x:c r="T19" s="45"/>
      <x:c r="U19" s="45"/>
      <x:c r="V19" s="45"/>
      <x:c r="W19" s="45"/>
      <x:c r="X19" s="45"/>
      <x:c r="Y19" s="45"/>
      <x:c r="Z19" s="45"/>
    </x:row>
    <x:row r="20" ht="39.599998474121094" hidden="0" customHeight="1">
      <x:c r="A20" s="45"/>
      <x:c r="B20" s="45"/>
      <x:c r="C20" s="45"/>
      <x:c r="D20" s="45"/>
      <x:c r="E20" s="45"/>
      <x:c r="F20" s="45"/>
      <x:c r="G20" s="45"/>
      <x:c r="H20" s="45"/>
      <x:c r="I20" s="45"/>
      <x:c r="J20" s="45"/>
      <x:c r="K20" s="45"/>
      <x:c r="L20" s="45"/>
      <x:c r="M20" s="45"/>
      <x:c r="N20" s="45"/>
      <x:c r="O20" s="45"/>
      <x:c r="P20" s="45"/>
      <x:c r="Q20" s="45"/>
      <x:c r="R20" s="45"/>
      <x:c r="S20" s="45"/>
      <x:c r="T20" s="45"/>
      <x:c r="U20" s="45"/>
      <x:c r="V20" s="45"/>
      <x:c r="W20" s="45"/>
      <x:c r="X20" s="45"/>
      <x:c r="Y20" s="45"/>
      <x:c r="Z20" s="45"/>
    </x:row>
    <x:row r="21" ht="39.599998474121094" hidden="0" customHeight="1">
      <x:c r="A21" s="45"/>
      <x:c r="B21" s="45"/>
      <x:c r="C21" s="45"/>
      <x:c r="D21" s="45"/>
      <x:c r="E21" s="45"/>
      <x:c r="F21" s="45"/>
      <x:c r="G21" s="45"/>
      <x:c r="H21" s="45"/>
      <x:c r="I21" s="45"/>
      <x:c r="J21" s="45"/>
      <x:c r="K21" s="45"/>
      <x:c r="L21" s="45"/>
      <x:c r="M21" s="45"/>
      <x:c r="N21" s="45"/>
      <x:c r="O21" s="45"/>
      <x:c r="P21" s="45"/>
      <x:c r="Q21" s="45"/>
      <x:c r="R21" s="45"/>
      <x:c r="S21" s="45"/>
      <x:c r="T21" s="45"/>
      <x:c r="U21" s="45"/>
      <x:c r="V21" s="45"/>
      <x:c r="W21" s="45"/>
      <x:c r="X21" s="45"/>
      <x:c r="Y21" s="45"/>
      <x:c r="Z21" s="45"/>
    </x:row>
    <x:row r="22" ht="39.599998474121094" hidden="0" customHeight="1">
      <x:c r="A22" s="45"/>
      <x:c r="B22" s="45"/>
      <x:c r="C22" s="45"/>
      <x:c r="D22" s="45"/>
      <x:c r="E22" s="45"/>
      <x:c r="F22" s="45"/>
      <x:c r="G22" s="45"/>
      <x:c r="H22" s="45"/>
      <x:c r="I22" s="45"/>
      <x:c r="J22" s="45"/>
      <x:c r="K22" s="45"/>
      <x:c r="L22" s="45"/>
      <x:c r="M22" s="45"/>
      <x:c r="N22" s="45"/>
      <x:c r="O22" s="45"/>
      <x:c r="P22" s="45"/>
      <x:c r="Q22" s="45"/>
      <x:c r="R22" s="45"/>
      <x:c r="S22" s="45"/>
      <x:c r="T22" s="45"/>
      <x:c r="U22" s="45"/>
      <x:c r="V22" s="45"/>
      <x:c r="W22" s="45"/>
      <x:c r="X22" s="45"/>
      <x:c r="Y22" s="45"/>
      <x:c r="Z22" s="45"/>
    </x:row>
    <x:row r="23" ht="39.599998474121094" hidden="0" customHeight="1">
      <x:c r="A23" s="45"/>
      <x:c r="B23" s="45"/>
      <x:c r="C23" s="45"/>
      <x:c r="D23" s="45"/>
      <x:c r="E23" s="45"/>
      <x:c r="F23" s="45"/>
      <x:c r="G23" s="45"/>
      <x:c r="H23" s="45"/>
      <x:c r="I23" s="45"/>
      <x:c r="J23" s="45"/>
      <x:c r="K23" s="45"/>
      <x:c r="L23" s="45"/>
      <x:c r="M23" s="45"/>
      <x:c r="N23" s="45"/>
      <x:c r="O23" s="45"/>
      <x:c r="P23" s="45"/>
      <x:c r="Q23" s="45"/>
      <x:c r="R23" s="45"/>
      <x:c r="S23" s="45"/>
      <x:c r="T23" s="45"/>
      <x:c r="U23" s="45"/>
      <x:c r="V23" s="45"/>
      <x:c r="W23" s="45"/>
      <x:c r="X23" s="45"/>
      <x:c r="Y23" s="45"/>
      <x:c r="Z23" s="45"/>
    </x:row>
    <x:row r="24" ht="26.399999618530273" hidden="0" customHeight="1">
      <x:c r="A24" s="45"/>
      <x:c r="B24" s="45"/>
      <x:c r="C24" s="45"/>
      <x:c r="D24" s="45"/>
      <x:c r="E24" s="45"/>
      <x:c r="F24" s="45"/>
      <x:c r="G24" s="45"/>
      <x:c r="H24" s="45"/>
      <x:c r="I24" s="45"/>
      <x:c r="J24" s="45"/>
      <x:c r="K24" s="45"/>
      <x:c r="L24" s="45"/>
      <x:c r="M24" s="45"/>
      <x:c r="N24" s="45"/>
      <x:c r="O24" s="45"/>
      <x:c r="P24" s="45"/>
      <x:c r="Q24" s="45"/>
      <x:c r="R24" s="45"/>
      <x:c r="S24" s="45"/>
      <x:c r="T24" s="45"/>
      <x:c r="U24" s="45"/>
      <x:c r="V24" s="45"/>
      <x:c r="W24" s="45"/>
      <x:c r="X24" s="45"/>
      <x:c r="Y24" s="45"/>
      <x:c r="Z24" s="45"/>
    </x:row>
    <x:row r="25" ht="26.399999618530273" hidden="0" customHeight="1">
      <x:c r="A25" s="45"/>
      <x:c r="B25" s="45"/>
      <x:c r="C25" s="45"/>
      <x:c r="D25" s="45"/>
      <x:c r="E25" s="45"/>
      <x:c r="F25" s="45"/>
      <x:c r="G25" s="45"/>
      <x:c r="H25" s="45"/>
      <x:c r="I25" s="45"/>
      <x:c r="J25" s="45"/>
      <x:c r="K25" s="45"/>
      <x:c r="L25" s="45"/>
      <x:c r="M25" s="45"/>
      <x:c r="N25" s="45"/>
      <x:c r="O25" s="45"/>
      <x:c r="P25" s="45"/>
      <x:c r="Q25" s="45"/>
      <x:c r="R25" s="45"/>
      <x:c r="S25" s="45"/>
      <x:c r="T25" s="45"/>
      <x:c r="U25" s="45"/>
      <x:c r="V25" s="45"/>
      <x:c r="W25" s="45"/>
      <x:c r="X25" s="45"/>
      <x:c r="Y25" s="45"/>
      <x:c r="Z25" s="45"/>
    </x:row>
    <x:row r="26" ht="39.599998474121094" hidden="0" customHeight="1">
      <x:c r="A26" s="45"/>
      <x:c r="B26" s="45"/>
      <x:c r="C26" s="45"/>
      <x:c r="D26" s="45"/>
      <x:c r="E26" s="45"/>
      <x:c r="F26" s="45"/>
      <x:c r="G26" s="45"/>
      <x:c r="H26" s="45"/>
      <x:c r="I26" s="45"/>
      <x:c r="J26" s="45"/>
      <x:c r="K26" s="45"/>
      <x:c r="L26" s="45"/>
      <x:c r="M26" s="45"/>
      <x:c r="N26" s="45"/>
      <x:c r="O26" s="45"/>
      <x:c r="P26" s="45"/>
      <x:c r="Q26" s="45"/>
      <x:c r="R26" s="45"/>
      <x:c r="S26" s="45"/>
      <x:c r="T26" s="45"/>
      <x:c r="U26" s="45"/>
      <x:c r="V26" s="45"/>
      <x:c r="W26" s="45"/>
      <x:c r="X26" s="45"/>
      <x:c r="Y26" s="45"/>
      <x:c r="Z26" s="45"/>
    </x:row>
    <x:row r="27" ht="39.599998474121094" hidden="0" customHeight="1">
      <x:c r="A27" s="45"/>
      <x:c r="B27" s="45"/>
      <x:c r="C27" s="45"/>
      <x:c r="D27" s="45"/>
      <x:c r="E27" s="45"/>
      <x:c r="F27" s="45"/>
      <x:c r="G27" s="45"/>
      <x:c r="H27" s="45"/>
      <x:c r="I27" s="45"/>
      <x:c r="J27" s="45"/>
      <x:c r="K27" s="45"/>
      <x:c r="L27" s="45"/>
      <x:c r="M27" s="45"/>
      <x:c r="N27" s="45"/>
      <x:c r="O27" s="45"/>
      <x:c r="P27" s="45"/>
      <x:c r="Q27" s="45"/>
      <x:c r="R27" s="45"/>
      <x:c r="S27" s="45"/>
      <x:c r="T27" s="45"/>
      <x:c r="U27" s="45"/>
      <x:c r="V27" s="45"/>
      <x:c r="W27" s="45"/>
      <x:c r="X27" s="45"/>
      <x:c r="Y27" s="45"/>
      <x:c r="Z27" s="45"/>
    </x:row>
    <x:row r="28" ht="26.399999618530273" hidden="0" customHeight="1">
      <x:c r="A28" s="45"/>
      <x:c r="B28" s="45"/>
      <x:c r="C28" s="45"/>
      <x:c r="D28" s="45"/>
      <x:c r="E28" s="45"/>
      <x:c r="F28" s="45"/>
      <x:c r="G28" s="45"/>
      <x:c r="H28" s="45"/>
      <x:c r="I28" s="45"/>
      <x:c r="J28" s="45"/>
      <x:c r="K28" s="45"/>
      <x:c r="L28" s="45"/>
      <x:c r="M28" s="45"/>
      <x:c r="N28" s="45"/>
      <x:c r="O28" s="45"/>
      <x:c r="P28" s="45"/>
      <x:c r="Q28" s="45"/>
      <x:c r="R28" s="45"/>
      <x:c r="S28" s="45"/>
      <x:c r="T28" s="45"/>
      <x:c r="U28" s="45"/>
      <x:c r="V28" s="45"/>
      <x:c r="W28" s="45"/>
      <x:c r="X28" s="45"/>
      <x:c r="Y28" s="45"/>
      <x:c r="Z28" s="45"/>
    </x:row>
    <x:row r="29" ht="39.599998474121094" hidden="0" customHeight="1">
      <x:c r="A29" s="45"/>
      <x:c r="B29" s="45"/>
      <x:c r="C29" s="45"/>
      <x:c r="D29" s="45"/>
      <x:c r="E29" s="45"/>
      <x:c r="F29" s="45"/>
      <x:c r="G29" s="45"/>
      <x:c r="H29" s="45"/>
      <x:c r="I29" s="45"/>
      <x:c r="J29" s="45"/>
      <x:c r="K29" s="45"/>
      <x:c r="L29" s="45"/>
      <x:c r="M29" s="45"/>
      <x:c r="N29" s="45"/>
      <x:c r="O29" s="45"/>
      <x:c r="P29" s="45"/>
      <x:c r="Q29" s="45"/>
      <x:c r="R29" s="45"/>
      <x:c r="S29" s="45"/>
      <x:c r="T29" s="45"/>
      <x:c r="U29" s="45"/>
      <x:c r="V29" s="45"/>
      <x:c r="W29" s="45"/>
      <x:c r="X29" s="45"/>
      <x:c r="Y29" s="45"/>
      <x:c r="Z29" s="45"/>
    </x:row>
    <x:row r="30" ht="26.399999618530273" hidden="0" customHeight="1">
      <x:c r="A30" s="45"/>
      <x:c r="B30" s="45"/>
      <x:c r="C30" s="45"/>
      <x:c r="D30" s="45"/>
      <x:c r="E30" s="45"/>
      <x:c r="F30" s="45"/>
      <x:c r="G30" s="45"/>
      <x:c r="H30" s="45"/>
      <x:c r="I30" s="45"/>
      <x:c r="J30" s="45"/>
      <x:c r="K30" s="45"/>
      <x:c r="L30" s="45"/>
      <x:c r="M30" s="45"/>
      <x:c r="N30" s="45"/>
      <x:c r="O30" s="45"/>
      <x:c r="P30" s="45"/>
      <x:c r="Q30" s="45"/>
      <x:c r="R30" s="45"/>
      <x:c r="S30" s="45"/>
      <x:c r="T30" s="45"/>
      <x:c r="U30" s="45"/>
      <x:c r="V30" s="45"/>
      <x:c r="W30" s="45"/>
      <x:c r="X30" s="45"/>
      <x:c r="Y30" s="45"/>
      <x:c r="Z30" s="45"/>
    </x:row>
    <x:row r="31" ht="26.399999618530273" hidden="0" customHeight="1">
      <x:c r="A31" s="45"/>
      <x:c r="B31" s="45"/>
      <x:c r="C31" s="45"/>
      <x:c r="D31" s="45"/>
      <x:c r="E31" s="45"/>
      <x:c r="F31" s="45"/>
      <x:c r="G31" s="45"/>
      <x:c r="H31" s="45"/>
      <x:c r="I31" s="45"/>
      <x:c r="J31" s="45"/>
      <x:c r="K31" s="45"/>
      <x:c r="L31" s="45"/>
      <x:c r="M31" s="45"/>
      <x:c r="N31" s="45"/>
      <x:c r="O31" s="45"/>
      <x:c r="P31" s="45"/>
      <x:c r="Q31" s="45"/>
      <x:c r="R31" s="45"/>
      <x:c r="S31" s="45"/>
      <x:c r="T31" s="45"/>
      <x:c r="U31" s="45"/>
      <x:c r="V31" s="45"/>
      <x:c r="W31" s="45"/>
      <x:c r="X31" s="45"/>
      <x:c r="Y31" s="45"/>
      <x:c r="Z31" s="45"/>
    </x:row>
    <x:row r="32" ht="26.399999618530273" hidden="0" customHeight="1">
      <x:c r="A32" s="45"/>
      <x:c r="B32" s="45"/>
      <x:c r="C32" s="45"/>
      <x:c r="D32" s="45"/>
      <x:c r="E32" s="45"/>
      <x:c r="F32" s="45"/>
      <x:c r="G32" s="45"/>
      <x:c r="H32" s="45"/>
      <x:c r="I32" s="45"/>
      <x:c r="J32" s="45"/>
      <x:c r="K32" s="45"/>
      <x:c r="L32" s="45"/>
      <x:c r="M32" s="45"/>
      <x:c r="N32" s="45"/>
      <x:c r="O32" s="45"/>
      <x:c r="P32" s="45"/>
      <x:c r="Q32" s="45"/>
      <x:c r="R32" s="45"/>
      <x:c r="S32" s="45"/>
      <x:c r="T32" s="45"/>
      <x:c r="U32" s="45"/>
      <x:c r="V32" s="45"/>
      <x:c r="W32" s="45"/>
      <x:c r="X32" s="45"/>
      <x:c r="Y32" s="45"/>
      <x:c r="Z32" s="45"/>
    </x:row>
    <x:row r="33" ht="26.399999618530273" hidden="0" customHeight="1">
      <x:c r="A33" s="45"/>
      <x:c r="B33" s="45"/>
      <x:c r="C33" s="45"/>
      <x:c r="D33" s="45"/>
      <x:c r="E33" s="45"/>
      <x:c r="F33" s="45"/>
      <x:c r="G33" s="45"/>
      <x:c r="H33" s="45"/>
      <x:c r="I33" s="45"/>
      <x:c r="J33" s="45"/>
      <x:c r="K33" s="45"/>
      <x:c r="L33" s="45"/>
      <x:c r="M33" s="45"/>
      <x:c r="N33" s="45"/>
      <x:c r="O33" s="45"/>
      <x:c r="P33" s="45"/>
      <x:c r="Q33" s="45"/>
      <x:c r="R33" s="45"/>
      <x:c r="S33" s="45"/>
      <x:c r="T33" s="45"/>
      <x:c r="U33" s="45"/>
      <x:c r="V33" s="45"/>
      <x:c r="W33" s="45"/>
      <x:c r="X33" s="45"/>
      <x:c r="Y33" s="45"/>
      <x:c r="Z33" s="45"/>
    </x:row>
    <x:row r="34" ht="26.399999618530273" hidden="0" customHeight="1">
      <x:c r="A34" s="45"/>
      <x:c r="B34" s="45"/>
      <x:c r="C34" s="45"/>
      <x:c r="D34" s="45"/>
      <x:c r="E34" s="45"/>
      <x:c r="F34" s="45"/>
      <x:c r="G34" s="45"/>
      <x:c r="H34" s="45"/>
      <x:c r="I34" s="45"/>
      <x:c r="J34" s="45"/>
      <x:c r="K34" s="45"/>
      <x:c r="L34" s="45"/>
      <x:c r="M34" s="45"/>
      <x:c r="N34" s="45"/>
      <x:c r="O34" s="45"/>
      <x:c r="P34" s="45"/>
      <x:c r="Q34" s="45"/>
      <x:c r="R34" s="45"/>
      <x:c r="S34" s="45"/>
      <x:c r="T34" s="45"/>
      <x:c r="U34" s="45"/>
      <x:c r="V34" s="45"/>
      <x:c r="W34" s="45"/>
      <x:c r="X34" s="45"/>
      <x:c r="Y34" s="45"/>
      <x:c r="Z34" s="45"/>
    </x:row>
    <x:row r="35" ht="26.399999618530273" hidden="0" customHeight="1">
      <x:c r="A35" s="45"/>
      <x:c r="B35" s="45"/>
      <x:c r="C35" s="45"/>
      <x:c r="D35" s="45"/>
      <x:c r="E35" s="45"/>
      <x:c r="F35" s="45"/>
      <x:c r="G35" s="45"/>
      <x:c r="H35" s="45"/>
      <x:c r="I35" s="45"/>
      <x:c r="J35" s="45"/>
      <x:c r="K35" s="45"/>
      <x:c r="L35" s="45"/>
      <x:c r="M35" s="45"/>
      <x:c r="N35" s="45"/>
      <x:c r="O35" s="45"/>
      <x:c r="P35" s="45"/>
      <x:c r="Q35" s="45"/>
      <x:c r="R35" s="45"/>
      <x:c r="S35" s="45"/>
      <x:c r="T35" s="45"/>
      <x:c r="U35" s="45"/>
      <x:c r="V35" s="45"/>
      <x:c r="W35" s="45"/>
      <x:c r="X35" s="45"/>
      <x:c r="Y35" s="45"/>
      <x:c r="Z35" s="45"/>
    </x:row>
    <x:row r="36" ht="26.399999618530273" hidden="0" customHeight="1">
      <x:c r="A36" s="45"/>
      <x:c r="B36" s="45"/>
      <x:c r="C36" s="45"/>
      <x:c r="D36" s="45"/>
      <x:c r="E36" s="45"/>
      <x:c r="F36" s="45"/>
      <x:c r="G36" s="45"/>
      <x:c r="H36" s="45"/>
      <x:c r="I36" s="45"/>
      <x:c r="J36" s="45"/>
      <x:c r="K36" s="45"/>
      <x:c r="L36" s="45"/>
      <x:c r="M36" s="45"/>
      <x:c r="N36" s="45"/>
      <x:c r="O36" s="45"/>
      <x:c r="P36" s="45"/>
      <x:c r="Q36" s="45"/>
      <x:c r="R36" s="45"/>
      <x:c r="S36" s="45"/>
      <x:c r="T36" s="45"/>
      <x:c r="U36" s="45"/>
      <x:c r="V36" s="45"/>
      <x:c r="W36" s="45"/>
      <x:c r="X36" s="45"/>
      <x:c r="Y36" s="45"/>
      <x:c r="Z36" s="45"/>
    </x:row>
    <x:row r="37" ht="26.399999618530273" hidden="0" customHeight="1">
      <x:c r="A37" s="45"/>
      <x:c r="B37" s="45"/>
      <x:c r="C37" s="45"/>
      <x:c r="D37" s="45"/>
      <x:c r="E37" s="45"/>
      <x:c r="F37" s="45"/>
      <x:c r="G37" s="45"/>
      <x:c r="H37" s="45"/>
      <x:c r="I37" s="45"/>
      <x:c r="J37" s="45"/>
      <x:c r="K37" s="45"/>
      <x:c r="L37" s="45"/>
      <x:c r="M37" s="45"/>
      <x:c r="N37" s="45"/>
      <x:c r="O37" s="45"/>
      <x:c r="P37" s="45"/>
      <x:c r="Q37" s="45"/>
      <x:c r="R37" s="45"/>
      <x:c r="S37" s="45"/>
      <x:c r="T37" s="45"/>
      <x:c r="U37" s="45"/>
      <x:c r="V37" s="45"/>
      <x:c r="W37" s="45"/>
      <x:c r="X37" s="45"/>
      <x:c r="Y37" s="45"/>
      <x:c r="Z37" s="45"/>
    </x:row>
    <x:row r="38" ht="26.399999618530273" hidden="0" customHeight="1">
      <x:c r="A38" s="45"/>
      <x:c r="B38" s="45"/>
      <x:c r="C38" s="45"/>
      <x:c r="D38" s="45"/>
      <x:c r="E38" s="45"/>
      <x:c r="F38" s="45"/>
      <x:c r="G38" s="45"/>
      <x:c r="H38" s="45"/>
      <x:c r="I38" s="45"/>
      <x:c r="J38" s="45"/>
      <x:c r="K38" s="45"/>
      <x:c r="L38" s="45"/>
      <x:c r="M38" s="45"/>
      <x:c r="N38" s="45"/>
      <x:c r="O38" s="45"/>
      <x:c r="P38" s="45"/>
      <x:c r="Q38" s="45"/>
      <x:c r="R38" s="45"/>
      <x:c r="S38" s="45"/>
      <x:c r="T38" s="45"/>
      <x:c r="U38" s="45"/>
      <x:c r="V38" s="45"/>
      <x:c r="W38" s="45"/>
      <x:c r="X38" s="45"/>
      <x:c r="Y38" s="45"/>
      <x:c r="Z38" s="45"/>
    </x:row>
    <x:row r="39" ht="39.599998474121094" hidden="0" customHeight="1">
      <x:c r="A39" s="45"/>
      <x:c r="B39" s="45"/>
      <x:c r="C39" s="45"/>
      <x:c r="D39" s="45"/>
      <x:c r="E39" s="45"/>
      <x:c r="F39" s="45"/>
      <x:c r="G39" s="45"/>
      <x:c r="H39" s="45"/>
      <x:c r="I39" s="45"/>
      <x:c r="J39" s="45"/>
      <x:c r="K39" s="45"/>
      <x:c r="L39" s="45"/>
      <x:c r="M39" s="45"/>
      <x:c r="N39" s="45"/>
      <x:c r="O39" s="45"/>
      <x:c r="P39" s="45"/>
      <x:c r="Q39" s="45"/>
      <x:c r="R39" s="45"/>
      <x:c r="S39" s="45"/>
      <x:c r="T39" s="45"/>
      <x:c r="U39" s="45"/>
      <x:c r="V39" s="45"/>
      <x:c r="W39" s="45"/>
      <x:c r="X39" s="45"/>
      <x:c r="Y39" s="45"/>
      <x:c r="Z39" s="45"/>
    </x:row>
    <x:row r="40" ht="26.399999618530273" hidden="0" customHeight="1">
      <x:c r="A40" s="45"/>
      <x:c r="B40" s="45"/>
      <x:c r="C40" s="45"/>
      <x:c r="D40" s="45"/>
      <x:c r="E40" s="45"/>
      <x:c r="F40" s="45"/>
      <x:c r="G40" s="45"/>
      <x:c r="H40" s="45"/>
      <x:c r="I40" s="45"/>
      <x:c r="J40" s="45"/>
      <x:c r="K40" s="45"/>
      <x:c r="L40" s="45"/>
      <x:c r="M40" s="45"/>
      <x:c r="N40" s="45"/>
      <x:c r="O40" s="45"/>
      <x:c r="P40" s="45"/>
      <x:c r="Q40" s="45"/>
      <x:c r="R40" s="45"/>
      <x:c r="S40" s="45"/>
      <x:c r="T40" s="45"/>
      <x:c r="U40" s="45"/>
      <x:c r="V40" s="45"/>
      <x:c r="W40" s="45"/>
      <x:c r="X40" s="45"/>
      <x:c r="Y40" s="45"/>
      <x:c r="Z40" s="45"/>
    </x:row>
    <x:row r="41" ht="26.399999618530273" hidden="0" customHeight="1">
      <x:c r="A41" s="45"/>
      <x:c r="B41" s="45"/>
      <x:c r="C41" s="45"/>
      <x:c r="D41" s="45"/>
      <x:c r="E41" s="45"/>
      <x:c r="F41" s="45"/>
      <x:c r="G41" s="45"/>
      <x:c r="H41" s="45"/>
      <x:c r="I41" s="45"/>
      <x:c r="J41" s="45"/>
      <x:c r="K41" s="45"/>
      <x:c r="L41" s="45"/>
      <x:c r="M41" s="45"/>
      <x:c r="N41" s="45"/>
      <x:c r="O41" s="45"/>
      <x:c r="P41" s="45"/>
      <x:c r="Q41" s="45"/>
      <x:c r="R41" s="45"/>
      <x:c r="S41" s="45"/>
      <x:c r="T41" s="45"/>
      <x:c r="U41" s="45"/>
      <x:c r="V41" s="45"/>
      <x:c r="W41" s="45"/>
      <x:c r="X41" s="45"/>
      <x:c r="Y41" s="45"/>
      <x:c r="Z41" s="45"/>
    </x:row>
    <x:row r="42" ht="39.599998474121094" hidden="0" customHeight="1">
      <x:c r="A42" s="45"/>
      <x:c r="B42" s="45"/>
      <x:c r="C42" s="45"/>
      <x:c r="D42" s="45"/>
      <x:c r="E42" s="45"/>
      <x:c r="F42" s="45"/>
      <x:c r="G42" s="45"/>
      <x:c r="H42" s="45"/>
      <x:c r="I42" s="45"/>
      <x:c r="J42" s="45"/>
      <x:c r="K42" s="45"/>
      <x:c r="L42" s="45"/>
      <x:c r="M42" s="45"/>
      <x:c r="N42" s="45"/>
      <x:c r="O42" s="45"/>
      <x:c r="P42" s="45"/>
      <x:c r="Q42" s="45"/>
      <x:c r="R42" s="45"/>
      <x:c r="S42" s="45"/>
      <x:c r="T42" s="45"/>
      <x:c r="U42" s="45"/>
      <x:c r="V42" s="45"/>
      <x:c r="W42" s="45"/>
      <x:c r="X42" s="45"/>
      <x:c r="Y42" s="45"/>
      <x:c r="Z42" s="45"/>
    </x:row>
    <x:row r="43" ht="26.399999618530273" hidden="0" customHeight="1">
      <x:c r="A43" s="45"/>
      <x:c r="B43" s="45"/>
      <x:c r="C43" s="45"/>
      <x:c r="D43" s="45"/>
      <x:c r="E43" s="45"/>
      <x:c r="F43" s="45"/>
      <x:c r="G43" s="45"/>
      <x:c r="H43" s="45"/>
      <x:c r="I43" s="45"/>
      <x:c r="J43" s="45"/>
      <x:c r="K43" s="45"/>
      <x:c r="L43" s="45"/>
      <x:c r="M43" s="45"/>
      <x:c r="N43" s="45"/>
      <x:c r="O43" s="45"/>
      <x:c r="P43" s="45"/>
      <x:c r="Q43" s="45"/>
      <x:c r="R43" s="45"/>
      <x:c r="S43" s="45"/>
      <x:c r="T43" s="45"/>
      <x:c r="U43" s="45"/>
      <x:c r="V43" s="45"/>
      <x:c r="W43" s="45"/>
      <x:c r="X43" s="45"/>
      <x:c r="Y43" s="45"/>
      <x:c r="Z43" s="45"/>
    </x:row>
    <x:row r="44" ht="39.599998474121094" hidden="0" customHeight="1">
      <x:c r="A44" s="45"/>
      <x:c r="B44" s="45"/>
      <x:c r="C44" s="45"/>
      <x:c r="D44" s="45"/>
      <x:c r="E44" s="45"/>
      <x:c r="F44" s="45"/>
      <x:c r="G44" s="45"/>
      <x:c r="H44" s="45"/>
      <x:c r="I44" s="45"/>
      <x:c r="J44" s="45"/>
      <x:c r="K44" s="45"/>
      <x:c r="L44" s="45"/>
      <x:c r="M44" s="45"/>
      <x:c r="N44" s="45"/>
      <x:c r="O44" s="45"/>
      <x:c r="P44" s="45"/>
      <x:c r="Q44" s="45"/>
      <x:c r="R44" s="45"/>
      <x:c r="S44" s="45"/>
      <x:c r="T44" s="45"/>
      <x:c r="U44" s="45"/>
      <x:c r="V44" s="45"/>
      <x:c r="W44" s="45"/>
      <x:c r="X44" s="45"/>
      <x:c r="Y44" s="45"/>
      <x:c r="Z44" s="45"/>
    </x:row>
    <x:row r="45" ht="39.599998474121094" hidden="0" customHeight="1">
      <x:c r="A45" s="45"/>
      <x:c r="B45" s="45"/>
      <x:c r="C45" s="45"/>
      <x:c r="D45" s="45"/>
      <x:c r="E45" s="45"/>
      <x:c r="F45" s="45"/>
      <x:c r="G45" s="45"/>
      <x:c r="H45" s="45"/>
      <x:c r="I45" s="45"/>
      <x:c r="J45" s="45"/>
      <x:c r="K45" s="45"/>
      <x:c r="L45" s="45"/>
      <x:c r="M45" s="45"/>
      <x:c r="N45" s="45"/>
      <x:c r="O45" s="45"/>
      <x:c r="P45" s="45"/>
      <x:c r="Q45" s="45"/>
      <x:c r="R45" s="45"/>
      <x:c r="S45" s="45"/>
      <x:c r="T45" s="45"/>
      <x:c r="U45" s="45"/>
      <x:c r="V45" s="45"/>
      <x:c r="W45" s="45"/>
      <x:c r="X45" s="45"/>
      <x:c r="Y45" s="45"/>
      <x:c r="Z45" s="45"/>
    </x:row>
    <x:row r="46" ht="26.399999618530273" hidden="0" customHeight="1">
      <x:c r="A46" s="45"/>
      <x:c r="B46" s="45"/>
      <x:c r="C46" s="45"/>
      <x:c r="D46" s="45"/>
      <x:c r="E46" s="45"/>
      <x:c r="F46" s="45"/>
      <x:c r="G46" s="45"/>
      <x:c r="H46" s="45"/>
      <x:c r="I46" s="45"/>
      <x:c r="J46" s="45"/>
      <x:c r="K46" s="45"/>
      <x:c r="L46" s="45"/>
      <x:c r="M46" s="45"/>
      <x:c r="N46" s="45"/>
      <x:c r="O46" s="45"/>
      <x:c r="P46" s="45"/>
      <x:c r="Q46" s="45"/>
      <x:c r="R46" s="45"/>
      <x:c r="S46" s="45"/>
      <x:c r="T46" s="45"/>
      <x:c r="U46" s="45"/>
      <x:c r="V46" s="45"/>
      <x:c r="W46" s="45"/>
      <x:c r="X46" s="45"/>
      <x:c r="Y46" s="45"/>
      <x:c r="Z46" s="45"/>
    </x:row>
    <x:row r="47" ht="26.399999618530273" hidden="0" customHeight="1">
      <x:c r="A47" s="45"/>
      <x:c r="B47" s="45"/>
      <x:c r="C47" s="45"/>
      <x:c r="D47" s="45"/>
      <x:c r="E47" s="45"/>
      <x:c r="F47" s="45"/>
      <x:c r="G47" s="45"/>
      <x:c r="H47" s="45"/>
      <x:c r="I47" s="45"/>
      <x:c r="J47" s="45"/>
      <x:c r="K47" s="45"/>
      <x:c r="L47" s="45"/>
      <x:c r="M47" s="45"/>
      <x:c r="N47" s="45"/>
      <x:c r="O47" s="45"/>
      <x:c r="P47" s="45"/>
      <x:c r="Q47" s="45"/>
      <x:c r="R47" s="45"/>
      <x:c r="S47" s="45"/>
      <x:c r="T47" s="45"/>
      <x:c r="U47" s="45"/>
      <x:c r="V47" s="45"/>
      <x:c r="W47" s="45"/>
      <x:c r="X47" s="45"/>
      <x:c r="Y47" s="45"/>
      <x:c r="Z47" s="45"/>
    </x:row>
    <x:row r="48" ht="26.399999618530273" hidden="0" customHeight="1">
      <x:c r="A48" s="45"/>
      <x:c r="B48" s="45"/>
      <x:c r="C48" s="45"/>
      <x:c r="D48" s="45"/>
      <x:c r="E48" s="45"/>
      <x:c r="F48" s="45"/>
      <x:c r="G48" s="45"/>
      <x:c r="H48" s="45"/>
      <x:c r="I48" s="45"/>
      <x:c r="J48" s="45"/>
      <x:c r="K48" s="45"/>
      <x:c r="L48" s="45"/>
      <x:c r="M48" s="45"/>
      <x:c r="N48" s="45"/>
      <x:c r="O48" s="45"/>
      <x:c r="P48" s="45"/>
      <x:c r="Q48" s="45"/>
      <x:c r="R48" s="45"/>
      <x:c r="S48" s="45"/>
      <x:c r="T48" s="45"/>
      <x:c r="U48" s="45"/>
      <x:c r="V48" s="45"/>
      <x:c r="W48" s="45"/>
      <x:c r="X48" s="45"/>
      <x:c r="Y48" s="45"/>
      <x:c r="Z48" s="45"/>
    </x:row>
    <x:row r="49" ht="39.599998474121094" hidden="0" customHeight="1">
      <x:c r="A49" s="45"/>
      <x:c r="B49" s="45"/>
      <x:c r="C49" s="45"/>
      <x:c r="D49" s="45"/>
      <x:c r="E49" s="45"/>
      <x:c r="F49" s="45"/>
      <x:c r="G49" s="45"/>
      <x:c r="H49" s="45"/>
      <x:c r="I49" s="45"/>
      <x:c r="J49" s="45"/>
      <x:c r="K49" s="45"/>
      <x:c r="L49" s="45"/>
      <x:c r="M49" s="45"/>
      <x:c r="N49" s="45"/>
      <x:c r="O49" s="45"/>
      <x:c r="P49" s="45"/>
      <x:c r="Q49" s="45"/>
      <x:c r="R49" s="45"/>
      <x:c r="S49" s="45"/>
      <x:c r="T49" s="45"/>
      <x:c r="U49" s="45"/>
      <x:c r="V49" s="45"/>
      <x:c r="W49" s="45"/>
      <x:c r="X49" s="45"/>
      <x:c r="Y49" s="45"/>
      <x:c r="Z49" s="45"/>
    </x:row>
    <x:row r="50" ht="39.599998474121094" hidden="0" customHeight="1">
      <x:c r="A50" s="45"/>
      <x:c r="B50" s="45"/>
      <x:c r="C50" s="45"/>
      <x:c r="D50" s="45"/>
      <x:c r="E50" s="45"/>
      <x:c r="F50" s="45"/>
      <x:c r="G50" s="45"/>
      <x:c r="H50" s="45"/>
      <x:c r="I50" s="45"/>
      <x:c r="J50" s="45"/>
      <x:c r="K50" s="45"/>
      <x:c r="L50" s="45"/>
      <x:c r="M50" s="45"/>
      <x:c r="N50" s="45"/>
      <x:c r="O50" s="45"/>
      <x:c r="P50" s="45"/>
      <x:c r="Q50" s="45"/>
      <x:c r="R50" s="45"/>
      <x:c r="S50" s="45"/>
      <x:c r="T50" s="45"/>
      <x:c r="U50" s="45"/>
      <x:c r="V50" s="45"/>
      <x:c r="W50" s="45"/>
      <x:c r="X50" s="45"/>
      <x:c r="Y50" s="45"/>
      <x:c r="Z50" s="45"/>
    </x:row>
    <x:row r="51" ht="26.399999618530273" hidden="0" customHeight="1">
      <x:c r="A51" s="45"/>
      <x:c r="B51" s="45"/>
      <x:c r="C51" s="45"/>
      <x:c r="D51" s="45"/>
      <x:c r="E51" s="45"/>
      <x:c r="F51" s="45"/>
      <x:c r="G51" s="45"/>
      <x:c r="H51" s="45"/>
      <x:c r="I51" s="45"/>
      <x:c r="J51" s="45"/>
      <x:c r="K51" s="45"/>
      <x:c r="L51" s="45"/>
      <x:c r="M51" s="45"/>
      <x:c r="N51" s="45"/>
      <x:c r="O51" s="45"/>
      <x:c r="P51" s="45"/>
      <x:c r="Q51" s="45"/>
      <x:c r="R51" s="45"/>
      <x:c r="S51" s="45"/>
      <x:c r="T51" s="45"/>
      <x:c r="U51" s="45"/>
      <x:c r="V51" s="45"/>
      <x:c r="W51" s="45"/>
      <x:c r="X51" s="45"/>
      <x:c r="Y51" s="45"/>
      <x:c r="Z51" s="45"/>
    </x:row>
    <x:row r="52" ht="39.599998474121094" hidden="0" customHeight="1">
      <x:c r="A52" s="45"/>
      <x:c r="B52" s="45"/>
      <x:c r="C52" s="45"/>
      <x:c r="D52" s="45"/>
      <x:c r="E52" s="45"/>
      <x:c r="F52" s="45"/>
      <x:c r="G52" s="45"/>
      <x:c r="H52" s="45"/>
      <x:c r="I52" s="45"/>
      <x:c r="J52" s="45"/>
      <x:c r="K52" s="45"/>
      <x:c r="L52" s="45"/>
      <x:c r="M52" s="45"/>
      <x:c r="N52" s="45"/>
      <x:c r="O52" s="45"/>
      <x:c r="P52" s="45"/>
      <x:c r="Q52" s="45"/>
      <x:c r="R52" s="45"/>
      <x:c r="S52" s="45"/>
      <x:c r="T52" s="45"/>
      <x:c r="U52" s="45"/>
      <x:c r="V52" s="45"/>
      <x:c r="W52" s="45"/>
      <x:c r="X52" s="45"/>
      <x:c r="Y52" s="45"/>
      <x:c r="Z52" s="45"/>
    </x:row>
    <x:row r="53" ht="26.399999618530273" hidden="0" customHeight="1">
      <x:c r="A53" s="45"/>
      <x:c r="B53" s="45"/>
      <x:c r="C53" s="45"/>
      <x:c r="D53" s="45"/>
      <x:c r="E53" s="45"/>
      <x:c r="F53" s="45"/>
      <x:c r="G53" s="45"/>
      <x:c r="H53" s="45"/>
      <x:c r="I53" s="45"/>
      <x:c r="J53" s="45"/>
      <x:c r="K53" s="45"/>
      <x:c r="L53" s="45"/>
      <x:c r="M53" s="45"/>
      <x:c r="N53" s="45"/>
      <x:c r="O53" s="45"/>
      <x:c r="P53" s="45"/>
      <x:c r="Q53" s="45"/>
      <x:c r="R53" s="45"/>
      <x:c r="S53" s="45"/>
      <x:c r="T53" s="45"/>
      <x:c r="U53" s="45"/>
      <x:c r="V53" s="45"/>
      <x:c r="W53" s="45"/>
      <x:c r="X53" s="45"/>
      <x:c r="Y53" s="45"/>
      <x:c r="Z53" s="45"/>
    </x:row>
    <x:row r="54" ht="26.399999618530273" hidden="0" customHeight="1">
      <x:c r="A54" s="45"/>
      <x:c r="B54" s="45"/>
      <x:c r="C54" s="45"/>
      <x:c r="D54" s="45"/>
      <x:c r="E54" s="45"/>
      <x:c r="F54" s="45"/>
      <x:c r="G54" s="45"/>
      <x:c r="H54" s="45"/>
      <x:c r="I54" s="45"/>
      <x:c r="J54" s="45"/>
      <x:c r="K54" s="45"/>
      <x:c r="L54" s="45"/>
      <x:c r="M54" s="45"/>
      <x:c r="N54" s="45"/>
      <x:c r="O54" s="45"/>
      <x:c r="P54" s="45"/>
      <x:c r="Q54" s="45"/>
      <x:c r="R54" s="45"/>
      <x:c r="S54" s="45"/>
      <x:c r="T54" s="45"/>
      <x:c r="U54" s="45"/>
      <x:c r="V54" s="45"/>
      <x:c r="W54" s="45"/>
      <x:c r="X54" s="45"/>
      <x:c r="Y54" s="45"/>
      <x:c r="Z54" s="45"/>
    </x:row>
    <x:row r="55" ht="26.399999618530273" hidden="0" customHeight="1">
      <x:c r="A55" s="45"/>
      <x:c r="B55" s="45"/>
      <x:c r="C55" s="45"/>
      <x:c r="D55" s="45"/>
      <x:c r="E55" s="45"/>
      <x:c r="F55" s="45"/>
      <x:c r="G55" s="45"/>
      <x:c r="H55" s="45"/>
      <x:c r="I55" s="45"/>
      <x:c r="J55" s="45"/>
      <x:c r="K55" s="45"/>
      <x:c r="L55" s="45"/>
      <x:c r="M55" s="45"/>
      <x:c r="N55" s="45"/>
      <x:c r="O55" s="45"/>
      <x:c r="P55" s="45"/>
      <x:c r="Q55" s="45"/>
      <x:c r="R55" s="45"/>
      <x:c r="S55" s="45"/>
      <x:c r="T55" s="45"/>
      <x:c r="U55" s="45"/>
      <x:c r="V55" s="45"/>
      <x:c r="W55" s="45"/>
      <x:c r="X55" s="45"/>
      <x:c r="Y55" s="45"/>
      <x:c r="Z55" s="45"/>
    </x:row>
    <x:row r="56" ht="39.599998474121094" hidden="0" customHeight="1">
      <x:c r="A56" s="45"/>
      <x:c r="B56" s="45"/>
      <x:c r="C56" s="45"/>
      <x:c r="D56" s="45"/>
      <x:c r="E56" s="45"/>
      <x:c r="F56" s="45"/>
      <x:c r="G56" s="45"/>
      <x:c r="H56" s="45"/>
      <x:c r="I56" s="45"/>
      <x:c r="J56" s="45"/>
      <x:c r="K56" s="45"/>
      <x:c r="L56" s="45"/>
      <x:c r="M56" s="45"/>
      <x:c r="N56" s="45"/>
      <x:c r="O56" s="45"/>
      <x:c r="P56" s="45"/>
      <x:c r="Q56" s="45"/>
      <x:c r="R56" s="45"/>
      <x:c r="S56" s="45"/>
      <x:c r="T56" s="45"/>
      <x:c r="U56" s="45"/>
      <x:c r="V56" s="45"/>
      <x:c r="W56" s="45"/>
      <x:c r="X56" s="45"/>
      <x:c r="Y56" s="45"/>
      <x:c r="Z56" s="45"/>
    </x:row>
    <x:row r="57" ht="39.599998474121094" hidden="0" customHeight="1">
      <x:c r="A57" s="45"/>
      <x:c r="B57" s="45"/>
      <x:c r="C57" s="45"/>
      <x:c r="D57" s="45"/>
      <x:c r="E57" s="45"/>
      <x:c r="F57" s="45"/>
      <x:c r="G57" s="45"/>
      <x:c r="H57" s="45"/>
      <x:c r="I57" s="45"/>
      <x:c r="J57" s="45"/>
      <x:c r="K57" s="45"/>
      <x:c r="L57" s="45"/>
      <x:c r="M57" s="45"/>
      <x:c r="N57" s="45"/>
      <x:c r="O57" s="45"/>
      <x:c r="P57" s="45"/>
      <x:c r="Q57" s="45"/>
      <x:c r="R57" s="45"/>
      <x:c r="S57" s="45"/>
      <x:c r="T57" s="45"/>
      <x:c r="U57" s="45"/>
      <x:c r="V57" s="45"/>
      <x:c r="W57" s="45"/>
      <x:c r="X57" s="45"/>
      <x:c r="Y57" s="45"/>
      <x:c r="Z57" s="45"/>
    </x:row>
    <x:row r="58" ht="26.399999618530273" hidden="0" customHeight="1">
      <x:c r="A58" s="45"/>
      <x:c r="B58" s="45"/>
      <x:c r="C58" s="45"/>
      <x:c r="D58" s="45"/>
      <x:c r="E58" s="45"/>
      <x:c r="F58" s="45"/>
      <x:c r="G58" s="45"/>
      <x:c r="H58" s="45"/>
      <x:c r="I58" s="45"/>
      <x:c r="J58" s="45"/>
      <x:c r="K58" s="45"/>
      <x:c r="L58" s="45"/>
      <x:c r="M58" s="45"/>
      <x:c r="N58" s="45"/>
      <x:c r="O58" s="45"/>
      <x:c r="P58" s="45"/>
      <x:c r="Q58" s="45"/>
      <x:c r="R58" s="45"/>
      <x:c r="S58" s="45"/>
      <x:c r="T58" s="45"/>
      <x:c r="U58" s="45"/>
      <x:c r="V58" s="45"/>
      <x:c r="W58" s="45"/>
      <x:c r="X58" s="45"/>
      <x:c r="Y58" s="45"/>
      <x:c r="Z58" s="45"/>
    </x:row>
    <x:row r="59" ht="26.399999618530273" hidden="0" customHeight="1">
      <x:c r="A59" s="45"/>
      <x:c r="B59" s="45"/>
      <x:c r="C59" s="45"/>
      <x:c r="D59" s="45"/>
      <x:c r="E59" s="45"/>
      <x:c r="F59" s="45"/>
      <x:c r="G59" s="45"/>
      <x:c r="H59" s="45"/>
      <x:c r="I59" s="45"/>
      <x:c r="J59" s="45"/>
      <x:c r="K59" s="45"/>
      <x:c r="L59" s="45"/>
      <x:c r="M59" s="45"/>
      <x:c r="N59" s="45"/>
      <x:c r="O59" s="45"/>
      <x:c r="P59" s="45"/>
      <x:c r="Q59" s="45"/>
      <x:c r="R59" s="45"/>
      <x:c r="S59" s="45"/>
      <x:c r="T59" s="45"/>
      <x:c r="U59" s="45"/>
      <x:c r="V59" s="45"/>
      <x:c r="W59" s="45"/>
      <x:c r="X59" s="45"/>
      <x:c r="Y59" s="45"/>
      <x:c r="Z59" s="45"/>
    </x:row>
    <x:row r="60" ht="26.399999618530273" hidden="0" customHeight="1">
      <x:c r="A60" s="45"/>
      <x:c r="B60" s="45"/>
      <x:c r="C60" s="45"/>
      <x:c r="D60" s="45"/>
      <x:c r="E60" s="45"/>
      <x:c r="F60" s="45"/>
      <x:c r="G60" s="45"/>
      <x:c r="H60" s="45"/>
      <x:c r="I60" s="45"/>
      <x:c r="J60" s="45"/>
      <x:c r="K60" s="45"/>
      <x:c r="L60" s="45"/>
      <x:c r="M60" s="45"/>
      <x:c r="N60" s="45"/>
      <x:c r="O60" s="45"/>
      <x:c r="P60" s="45"/>
      <x:c r="Q60" s="45"/>
      <x:c r="R60" s="45"/>
      <x:c r="S60" s="45"/>
      <x:c r="T60" s="45"/>
      <x:c r="U60" s="45"/>
      <x:c r="V60" s="45"/>
      <x:c r="W60" s="45"/>
      <x:c r="X60" s="45"/>
      <x:c r="Y60" s="45"/>
      <x:c r="Z60" s="45"/>
    </x:row>
    <x:row r="61" ht="26.399999618530273" hidden="0" customHeight="1">
      <x:c r="A61" s="45"/>
      <x:c r="B61" s="45"/>
      <x:c r="C61" s="45"/>
      <x:c r="D61" s="45"/>
      <x:c r="E61" s="45"/>
      <x:c r="F61" s="45"/>
      <x:c r="G61" s="45"/>
      <x:c r="H61" s="45"/>
      <x:c r="I61" s="45"/>
      <x:c r="J61" s="45"/>
      <x:c r="K61" s="45"/>
      <x:c r="L61" s="45"/>
      <x:c r="M61" s="45"/>
      <x:c r="N61" s="45"/>
      <x:c r="O61" s="45"/>
      <x:c r="P61" s="45"/>
      <x:c r="Q61" s="45"/>
      <x:c r="R61" s="45"/>
      <x:c r="S61" s="45"/>
      <x:c r="T61" s="45"/>
      <x:c r="U61" s="45"/>
      <x:c r="V61" s="45"/>
      <x:c r="W61" s="45"/>
      <x:c r="X61" s="45"/>
      <x:c r="Y61" s="45"/>
      <x:c r="Z61" s="45"/>
    </x:row>
    <x:row r="62" ht="26.399999618530273" hidden="0" customHeight="1">
      <x:c r="A62" s="45"/>
      <x:c r="B62" s="45"/>
      <x:c r="C62" s="45"/>
      <x:c r="D62" s="45"/>
      <x:c r="E62" s="45"/>
      <x:c r="F62" s="45"/>
      <x:c r="G62" s="45"/>
      <x:c r="H62" s="45"/>
      <x:c r="I62" s="45"/>
      <x:c r="J62" s="45"/>
      <x:c r="K62" s="45"/>
      <x:c r="L62" s="45"/>
      <x:c r="M62" s="45"/>
      <x:c r="N62" s="45"/>
      <x:c r="O62" s="45"/>
      <x:c r="P62" s="45"/>
      <x:c r="Q62" s="45"/>
      <x:c r="R62" s="45"/>
      <x:c r="S62" s="45"/>
      <x:c r="T62" s="45"/>
      <x:c r="U62" s="45"/>
      <x:c r="V62" s="45"/>
      <x:c r="W62" s="45"/>
      <x:c r="X62" s="45"/>
      <x:c r="Y62" s="45"/>
      <x:c r="Z62" s="45"/>
    </x:row>
    <x:row r="63" ht="26.399999618530273" hidden="0" customHeight="1">
      <x:c r="A63" s="45"/>
      <x:c r="B63" s="45"/>
      <x:c r="C63" s="45"/>
      <x:c r="D63" s="45"/>
      <x:c r="E63" s="45"/>
      <x:c r="F63" s="45"/>
      <x:c r="G63" s="45"/>
      <x:c r="H63" s="45"/>
      <x:c r="I63" s="45"/>
      <x:c r="J63" s="45"/>
      <x:c r="K63" s="45"/>
      <x:c r="L63" s="45"/>
      <x:c r="M63" s="45"/>
      <x:c r="N63" s="45"/>
      <x:c r="O63" s="45"/>
      <x:c r="P63" s="45"/>
      <x:c r="Q63" s="45"/>
      <x:c r="R63" s="45"/>
      <x:c r="S63" s="45"/>
      <x:c r="T63" s="45"/>
      <x:c r="U63" s="45"/>
      <x:c r="V63" s="45"/>
      <x:c r="W63" s="45"/>
      <x:c r="X63" s="45"/>
      <x:c r="Y63" s="45"/>
      <x:c r="Z63" s="45"/>
    </x:row>
    <x:row r="64" ht="26.399999618530273" hidden="0" customHeight="1">
      <x:c r="A64" s="45"/>
      <x:c r="B64" s="45"/>
      <x:c r="C64" s="45"/>
      <x:c r="D64" s="45"/>
      <x:c r="E64" s="45"/>
      <x:c r="F64" s="45"/>
      <x:c r="G64" s="45"/>
      <x:c r="H64" s="45"/>
      <x:c r="I64" s="45"/>
      <x:c r="J64" s="45"/>
      <x:c r="K64" s="45"/>
      <x:c r="L64" s="45"/>
      <x:c r="M64" s="45"/>
      <x:c r="N64" s="45"/>
      <x:c r="O64" s="45"/>
      <x:c r="P64" s="45"/>
      <x:c r="Q64" s="45"/>
      <x:c r="R64" s="45"/>
      <x:c r="S64" s="45"/>
      <x:c r="T64" s="45"/>
      <x:c r="U64" s="45"/>
      <x:c r="V64" s="45"/>
      <x:c r="W64" s="45"/>
      <x:c r="X64" s="45"/>
      <x:c r="Y64" s="45"/>
      <x:c r="Z64" s="45"/>
    </x:row>
    <x:row r="65" ht="26.399999618530273" hidden="0" customHeight="1">
      <x:c r="A65" s="45"/>
      <x:c r="B65" s="45"/>
      <x:c r="C65" s="45"/>
      <x:c r="D65" s="45"/>
      <x:c r="E65" s="45"/>
      <x:c r="F65" s="45"/>
      <x:c r="G65" s="45"/>
      <x:c r="H65" s="45"/>
      <x:c r="I65" s="45"/>
      <x:c r="J65" s="45"/>
      <x:c r="K65" s="45"/>
      <x:c r="L65" s="45"/>
      <x:c r="M65" s="45"/>
      <x:c r="N65" s="45"/>
      <x:c r="O65" s="45"/>
      <x:c r="P65" s="45"/>
      <x:c r="Q65" s="45"/>
      <x:c r="R65" s="45"/>
      <x:c r="S65" s="45"/>
      <x:c r="T65" s="45"/>
      <x:c r="U65" s="45"/>
      <x:c r="V65" s="45"/>
      <x:c r="W65" s="45"/>
      <x:c r="X65" s="45"/>
      <x:c r="Y65" s="45"/>
      <x:c r="Z65" s="45"/>
    </x:row>
    <x:row r="66" ht="39.599998474121094" hidden="0" customHeight="1">
      <x:c r="A66" s="45"/>
      <x:c r="B66" s="45"/>
      <x:c r="C66" s="45"/>
      <x:c r="D66" s="45"/>
      <x:c r="E66" s="45"/>
      <x:c r="F66" s="45"/>
      <x:c r="G66" s="45"/>
      <x:c r="H66" s="45"/>
      <x:c r="I66" s="45"/>
      <x:c r="J66" s="45"/>
      <x:c r="K66" s="45"/>
      <x:c r="L66" s="45"/>
      <x:c r="M66" s="45"/>
      <x:c r="N66" s="45"/>
      <x:c r="O66" s="45"/>
      <x:c r="P66" s="45"/>
      <x:c r="Q66" s="45"/>
      <x:c r="R66" s="45"/>
      <x:c r="S66" s="45"/>
      <x:c r="T66" s="45"/>
      <x:c r="U66" s="45"/>
      <x:c r="V66" s="45"/>
      <x:c r="W66" s="45"/>
      <x:c r="X66" s="45"/>
      <x:c r="Y66" s="45"/>
      <x:c r="Z66" s="45"/>
    </x:row>
    <x:row r="67" ht="26.399999618530273" hidden="0" customHeight="1">
      <x:c r="A67" s="45"/>
      <x:c r="B67" s="45"/>
      <x:c r="C67" s="45"/>
      <x:c r="D67" s="45"/>
      <x:c r="E67" s="45"/>
      <x:c r="F67" s="45"/>
      <x:c r="G67" s="45"/>
      <x:c r="H67" s="45"/>
      <x:c r="I67" s="45"/>
      <x:c r="J67" s="45"/>
      <x:c r="K67" s="45"/>
      <x:c r="L67" s="45"/>
      <x:c r="M67" s="45"/>
      <x:c r="N67" s="45"/>
      <x:c r="O67" s="45"/>
      <x:c r="P67" s="45"/>
      <x:c r="Q67" s="45"/>
      <x:c r="R67" s="45"/>
      <x:c r="S67" s="45"/>
      <x:c r="T67" s="45"/>
      <x:c r="U67" s="45"/>
      <x:c r="V67" s="45"/>
      <x:c r="W67" s="45"/>
      <x:c r="X67" s="45"/>
      <x:c r="Y67" s="45"/>
      <x:c r="Z67" s="45"/>
    </x:row>
    <x:row r="68" ht="39.599998474121094" hidden="0" customHeight="1">
      <x:c r="A68" s="45"/>
      <x:c r="B68" s="45"/>
      <x:c r="C68" s="45"/>
      <x:c r="D68" s="45"/>
      <x:c r="E68" s="45"/>
      <x:c r="F68" s="45"/>
      <x:c r="G68" s="45"/>
      <x:c r="H68" s="45"/>
      <x:c r="I68" s="45"/>
      <x:c r="J68" s="45"/>
      <x:c r="K68" s="45"/>
      <x:c r="L68" s="45"/>
      <x:c r="M68" s="45"/>
      <x:c r="N68" s="45"/>
      <x:c r="O68" s="45"/>
      <x:c r="P68" s="45"/>
      <x:c r="Q68" s="45"/>
      <x:c r="R68" s="45"/>
      <x:c r="S68" s="45"/>
      <x:c r="T68" s="45"/>
      <x:c r="U68" s="45"/>
      <x:c r="V68" s="45"/>
      <x:c r="W68" s="45"/>
      <x:c r="X68" s="45"/>
      <x:c r="Y68" s="45"/>
      <x:c r="Z68" s="45"/>
    </x:row>
    <x:row r="69" ht="39.599998474121094" hidden="0" customHeight="1">
      <x:c r="A69" s="45"/>
      <x:c r="B69" s="45"/>
      <x:c r="C69" s="45"/>
      <x:c r="D69" s="45"/>
      <x:c r="E69" s="45"/>
      <x:c r="F69" s="45"/>
      <x:c r="G69" s="45"/>
      <x:c r="H69" s="45"/>
      <x:c r="I69" s="45"/>
      <x:c r="J69" s="45"/>
      <x:c r="K69" s="45"/>
      <x:c r="L69" s="45"/>
      <x:c r="M69" s="45"/>
      <x:c r="N69" s="45"/>
      <x:c r="O69" s="45"/>
      <x:c r="P69" s="45"/>
      <x:c r="Q69" s="45"/>
      <x:c r="R69" s="45"/>
      <x:c r="S69" s="45"/>
      <x:c r="T69" s="45"/>
      <x:c r="U69" s="45"/>
      <x:c r="V69" s="45"/>
      <x:c r="W69" s="45"/>
      <x:c r="X69" s="45"/>
      <x:c r="Y69" s="45"/>
      <x:c r="Z69" s="45"/>
    </x:row>
    <x:row r="70" ht="39.599998474121094" hidden="0" customHeight="1">
      <x:c r="A70" s="45"/>
      <x:c r="B70" s="45"/>
      <x:c r="C70" s="45"/>
      <x:c r="D70" s="45"/>
      <x:c r="E70" s="45"/>
      <x:c r="F70" s="45"/>
      <x:c r="G70" s="45"/>
      <x:c r="H70" s="45"/>
      <x:c r="I70" s="45"/>
      <x:c r="J70" s="45"/>
      <x:c r="K70" s="45"/>
      <x:c r="L70" s="45"/>
      <x:c r="M70" s="45"/>
      <x:c r="N70" s="45"/>
      <x:c r="O70" s="45"/>
      <x:c r="P70" s="45"/>
      <x:c r="Q70" s="45"/>
      <x:c r="R70" s="45"/>
      <x:c r="S70" s="45"/>
      <x:c r="T70" s="45"/>
      <x:c r="U70" s="45"/>
      <x:c r="V70" s="45"/>
      <x:c r="W70" s="45"/>
      <x:c r="X70" s="45"/>
      <x:c r="Y70" s="45"/>
      <x:c r="Z70" s="45"/>
    </x:row>
    <x:row r="71" ht="52.79999923706055" hidden="0" customHeight="1">
      <x:c r="A71" s="45"/>
      <x:c r="B71" s="45"/>
      <x:c r="C71" s="45"/>
      <x:c r="D71" s="45"/>
      <x:c r="E71" s="45"/>
      <x:c r="F71" s="45"/>
      <x:c r="G71" s="45"/>
      <x:c r="H71" s="45"/>
      <x:c r="I71" s="45"/>
      <x:c r="J71" s="45"/>
      <x:c r="K71" s="45"/>
      <x:c r="L71" s="45"/>
      <x:c r="M71" s="45"/>
      <x:c r="N71" s="45"/>
      <x:c r="O71" s="45"/>
      <x:c r="P71" s="45"/>
      <x:c r="Q71" s="45"/>
      <x:c r="R71" s="45"/>
      <x:c r="S71" s="45"/>
      <x:c r="T71" s="45"/>
      <x:c r="U71" s="45"/>
      <x:c r="V71" s="45"/>
      <x:c r="W71" s="45"/>
      <x:c r="X71" s="45"/>
      <x:c r="Y71" s="45"/>
      <x:c r="Z71" s="45"/>
    </x:row>
    <x:row r="72" ht="39.599998474121094" hidden="0" customHeight="1">
      <x:c r="A72" s="45"/>
      <x:c r="B72" s="45"/>
      <x:c r="C72" s="45"/>
      <x:c r="D72" s="45"/>
      <x:c r="E72" s="45"/>
      <x:c r="F72" s="45"/>
      <x:c r="G72" s="45"/>
      <x:c r="H72" s="45"/>
      <x:c r="I72" s="45"/>
      <x:c r="J72" s="45"/>
      <x:c r="K72" s="45"/>
      <x:c r="L72" s="45"/>
      <x:c r="M72" s="45"/>
      <x:c r="N72" s="45"/>
      <x:c r="O72" s="45"/>
      <x:c r="P72" s="45"/>
      <x:c r="Q72" s="45"/>
      <x:c r="R72" s="45"/>
      <x:c r="S72" s="45"/>
      <x:c r="T72" s="45"/>
      <x:c r="U72" s="45"/>
      <x:c r="V72" s="45"/>
      <x:c r="W72" s="45"/>
      <x:c r="X72" s="45"/>
      <x:c r="Y72" s="45"/>
      <x:c r="Z72" s="45"/>
    </x:row>
  </x:sheetData>
  <x:mergeCells>
    <x:mergeCell ref="A1:Z1"/>
    <x:mergeCell ref="A2:Z2"/>
    <x:mergeCell ref="A1:H1"/>
    <x:mergeCell ref="A3:H5"/>
  </x:mergeCells>
  <x:conditionalFormatting sqref="E4:E72">
    <x:cfRule type="expression" dxfId="16" priority="1">
      <x:formula>ISNUMBER(SEARCH("Aufnehmen",E4))</x:formula>
    </x:cfRule>
    <x:cfRule type="expression" dxfId="17" priority="2">
      <x:formula>ISNUMBER(SEARCH("Bestand",E4))</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13" hidden="0" customWidth="1"/>
    <x:col min="2" max="2" width="34" hidden="0" customWidth="1"/>
    <x:col min="3" max="3" width="19" hidden="0" customWidth="1"/>
    <x:col min="4" max="4" width="10" hidden="0" customWidth="1"/>
    <x:col min="5" max="5" width="27" hidden="0" customWidth="1"/>
    <x:col min="6" max="6" width="28" hidden="0" customWidth="1"/>
    <x:col min="7" max="7" width="27" hidden="0" customWidth="1"/>
    <x:col min="8" max="8" width="26" hidden="0" customWidth="1"/>
    <x:col min="9" max="9" width="10" hidden="0" customWidth="1"/>
    <x:col min="10" max="10" width="20" hidden="0" customWidth="1"/>
    <x:col min="11" max="11" width="19" hidden="0" customWidth="1"/>
    <x:col min="12" max="12" width="13" hidden="0" customWidth="1"/>
    <x:col min="13" max="13" width="24" hidden="0" customWidth="1"/>
    <x:col min="14" max="14" width="18" hidden="0" customWidth="1"/>
    <x:col min="15" max="15" width="28" hidden="0" customWidth="1"/>
    <x:col min="16" max="16" width="36" hidden="0" customWidth="1"/>
    <x:col min="17" max="17" width="31" hidden="0" customWidth="1"/>
    <x:col min="18" max="18" width="42" hidden="0" customWidth="1"/>
    <x:col min="19" max="19" width="26" hidden="0" customWidth="1"/>
    <x:col min="20" max="20" width="26" hidden="0" customWidth="1"/>
    <x:col min="21" max="21" width="14" hidden="0" customWidth="1"/>
    <x:col min="22" max="22" width="14" hidden="0" customWidth="1"/>
    <x:col min="23" max="23" width="35" hidden="0" customWidth="1"/>
    <x:col min="24" max="24" width="29" hidden="0" customWidth="1"/>
    <x:col min="25" max="25" width="30" hidden="0" customWidth="1"/>
    <x:col min="26" max="26" width="28" hidden="0" customWidth="1"/>
    <x:col min="27" max="27" width="40" hidden="0" customWidth="1"/>
    <x:col min="28" max="28" width="36" hidden="0" customWidth="1"/>
    <x:col min="29" max="29" width="13" hidden="0" customWidth="1"/>
    <x:col min="30" max="30" width="42" hidden="0" customWidth="1"/>
    <x:col min="31" max="31" width="42" hidden="0" customWidth="1"/>
  </x:cols>
  <x:sheetData>
    <x:row r="1" ht="28" customHeight="1">
      <x:c r="A1" s="121" t="str">
        <x:v>ARCHIV / ERSETZT – Kartenimport Gesamt 4.4x</x:v>
      </x:c>
      <x:c r="B1" s="121"/>
      <x:c r="C1" s="121"/>
      <x:c r="D1" s="121"/>
      <x:c r="E1" s="121"/>
      <x:c r="F1" s="121"/>
      <x:c r="G1" s="121"/>
      <x:c r="H1" s="121"/>
      <x:c r="I1" s="121"/>
      <x:c r="J1" s="121"/>
      <x:c r="K1" s="121"/>
      <x:c r="L1" s="121"/>
      <x:c r="M1" s="121"/>
      <x:c r="N1" s="121"/>
      <x:c r="O1" s="121"/>
      <x:c r="P1" s="121"/>
      <x:c r="Q1" s="121"/>
      <x:c r="R1" s="121"/>
      <x:c r="S1" s="121"/>
      <x:c r="T1" s="121"/>
      <x:c r="U1" s="121"/>
      <x:c r="V1" s="121"/>
      <x:c r="W1" s="121"/>
      <x:c r="X1" s="121"/>
      <x:c r="Y1" s="121"/>
      <x:c r="Z1" s="121"/>
      <x:c r="AA1" s="121"/>
      <x:c r="AB1" s="121"/>
      <x:c r="AC1" s="121"/>
      <x:c r="AD1" s="121"/>
      <x:c r="AE1" s="121"/>
    </x:row>
    <x:row r="2">
      <x:c r="A2" s="127" t="str">
        <x:v>Konsolidierter Import-/Änderungsbestand: Technik + medizinische, neurologisch-psychiatrische, berufliche, Mobilitäts-, Pflege- und Teilhabe-Ergänzungen. Keine Dubletten für bereits vorhandene Bestände.</x:v>
      </x:c>
      <x:c r="B2" s="127"/>
      <x:c r="C2" s="127"/>
      <x:c r="D2" s="127"/>
      <x:c r="E2" s="127"/>
      <x:c r="F2" s="127"/>
      <x:c r="G2" s="127"/>
      <x:c r="H2" s="127"/>
      <x:c r="I2" s="127"/>
      <x:c r="J2" s="127"/>
      <x:c r="K2" s="127"/>
      <x:c r="L2" s="127"/>
      <x:c r="M2" s="127"/>
      <x:c r="N2" s="127"/>
      <x:c r="O2" s="127"/>
      <x:c r="P2" s="127"/>
      <x:c r="Q2" s="127"/>
      <x:c r="R2" s="127"/>
      <x:c r="S2" s="127"/>
      <x:c r="T2" s="127"/>
      <x:c r="U2" s="127"/>
      <x:c r="V2" s="127"/>
      <x:c r="W2" s="127"/>
      <x:c r="X2" s="127"/>
      <x:c r="Y2" s="127"/>
      <x:c r="Z2" s="127"/>
      <x:c r="AA2" s="127"/>
      <x:c r="AB2" s="127"/>
      <x:c r="AC2" s="127"/>
      <x:c r="AD2" s="127"/>
      <x:c r="AE2" s="127"/>
    </x:row>
    <x:row r="3">
      <x:c r="A3" s="113"/>
      <x:c r="B3" s="113"/>
      <x:c r="C3" s="113"/>
      <x:c r="D3" s="113"/>
      <x:c r="E3" s="113"/>
      <x:c r="F3" s="113"/>
      <x:c r="G3" s="113"/>
      <x:c r="H3" s="113"/>
      <x:c r="I3" s="113"/>
      <x:c r="J3" s="113"/>
      <x:c r="K3" s="113"/>
      <x:c r="L3" s="113"/>
      <x:c r="M3" s="113"/>
      <x:c r="N3" s="113"/>
      <x:c r="O3" s="113"/>
      <x:c r="P3" s="113"/>
      <x:c r="Q3" s="113"/>
      <x:c r="R3" s="113"/>
      <x:c r="S3" s="113"/>
      <x:c r="T3" s="113"/>
      <x:c r="U3" s="113"/>
      <x:c r="V3" s="113"/>
      <x:c r="W3" s="113"/>
      <x:c r="X3" s="113"/>
      <x:c r="Y3" s="113"/>
      <x:c r="Z3" s="113"/>
      <x:c r="AA3" s="113"/>
      <x:c r="AB3" s="113"/>
      <x:c r="AC3" s="113"/>
      <x:c r="AD3" s="113"/>
      <x:c r="AE3" s="113"/>
    </x:row>
    <x:row r="4" ht="30" customHeight="1">
      <x:c r="A4" s="131" t="str">
        <x:v>ID</x:v>
      </x:c>
      <x:c r="B4" s="131" t="str">
        <x:v>Name</x:v>
      </x:c>
      <x:c r="C4" s="131" t="str">
        <x:v>Importentscheidung</x:v>
      </x:c>
      <x:c r="D4" s="131" t="str">
        <x:v>Priorität</x:v>
      </x:c>
      <x:c r="E4" s="131" t="str">
        <x:v>Hauptbereich</x:v>
      </x:c>
      <x:c r="F4" s="131" t="str">
        <x:v>Kategorien</x:v>
      </x:c>
      <x:c r="G4" s="131" t="str">
        <x:v>Rolle / Funktion</x:v>
      </x:c>
      <x:c r="H4" s="131" t="str">
        <x:v>Straße</x:v>
      </x:c>
      <x:c r="I4" s="131" t="str">
        <x:v>PLZ</x:v>
      </x:c>
      <x:c r="J4" s="131" t="str">
        <x:v>Ort</x:v>
      </x:c>
      <x:c r="K4" s="131" t="str">
        <x:v>Bundesland</x:v>
      </x:c>
      <x:c r="L4" s="131" t="str">
        <x:v>Land</x:v>
      </x:c>
      <x:c r="M4" s="131" t="str">
        <x:v>Telefon</x:v>
      </x:c>
      <x:c r="N4" s="131" t="str">
        <x:v>Fax</x:v>
      </x:c>
      <x:c r="O4" s="131" t="str">
        <x:v>E-Mail</x:v>
      </x:c>
      <x:c r="P4" s="131" t="str">
        <x:v>Website</x:v>
      </x:c>
      <x:c r="Q4" s="131" t="str">
        <x:v>Ansprechpartner</x:v>
      </x:c>
      <x:c r="R4" s="131" t="str">
        <x:v>Leistungen / Schwerpunkte</x:v>
      </x:c>
      <x:c r="S4" s="131" t="str">
        <x:v>BG-/Kostenträgerbezug</x:v>
      </x:c>
      <x:c r="T4" s="131" t="str">
        <x:v>Servicegebiet</x:v>
      </x:c>
      <x:c r="U4" s="131" t="str">
        <x:v>Breitengrad</x:v>
      </x:c>
      <x:c r="V4" s="131" t="str">
        <x:v>Längengrad</x:v>
      </x:c>
      <x:c r="W4" s="131" t="str">
        <x:v>Geo-Status</x:v>
      </x:c>
      <x:c r="X4" s="131" t="str">
        <x:v>Kartenstatus</x:v>
      </x:c>
      <x:c r="Y4" s="131" t="str">
        <x:v>Bestandsstatus</x:v>
      </x:c>
      <x:c r="Z4" s="131" t="str">
        <x:v>Verknüpft mit</x:v>
      </x:c>
      <x:c r="AA4" s="131" t="str">
        <x:v>Adress-/Kontaktquelle</x:v>
      </x:c>
      <x:c r="AB4" s="131" t="str">
        <x:v>Geoquelle</x:v>
      </x:c>
      <x:c r="AC4" s="131" t="str">
        <x:v>Prüfdatum</x:v>
      </x:c>
      <x:c r="AD4" s="131" t="str">
        <x:v>Geocode-Query</x:v>
      </x:c>
      <x:c r="AE4" s="131" t="str">
        <x:v>Hinweis</x:v>
      </x:c>
    </x:row>
    <x:row r="5">
      <x:c r="A5" s="116" t="str">
        <x:v>T-001</x:v>
      </x:c>
      <x:c r="B5" s="116" t="str">
        <x:v>MiniTec GmbH</x:v>
      </x:c>
      <x:c r="C5" s="116" t="str">
        <x:v>Aufnehmen</x:v>
      </x:c>
      <x:c r="D5" s="116" t="str">
        <x:v>A+</x:v>
      </x:c>
      <x:c r="E5" s="116" t="str">
        <x:v>Technische Arbeitsplatzanpassung</x:v>
      </x:c>
      <x:c r="F5" s="116" t="str">
        <x:v>Höhenverstellbarer Arbeitsplatz; Materialbereitstellung; Hubsäulen/Lifter; Sondervorrichtung; Assistenzsystem</x:v>
      </x:c>
      <x:c r="G5" s="116" t="str">
        <x:v>Technischer Umsetzer / Sonderlösung</x:v>
      </x:c>
      <x:c r="H5" s="116" t="str">
        <x:v>MiniTec-Allee 1</x:v>
      </x:c>
      <x:c r="I5" s="116" t="str">
        <x:v>66901</x:v>
      </x:c>
      <x:c r="J5" s="116" t="str">
        <x:v>Schönenberg-Kübelberg</x:v>
      </x:c>
      <x:c r="K5" s="116" t="str">
        <x:v>Rheinland-Pfalz</x:v>
      </x:c>
      <x:c r="L5" s="116" t="str">
        <x:v>Deutschland</x:v>
      </x:c>
      <x:c r="M5" s="116" t="str">
        <x:v>+49 6373 8127-0</x:v>
      </x:c>
      <x:c r="N5" s="116" t="str"/>
      <x:c r="O5" s="116" t="str">
        <x:v>info@minitec.de</x:v>
      </x:c>
      <x:c r="P5" s="116" t="str">
        <x:v>https://www.minitec.de/produkte/arbeitsplatzsystem/behindertengerechter-arbeitsplatz</x:v>
      </x:c>
      <x:c r="Q5" s="116" t="str"/>
      <x:c r="R5" s="116" t="str">
        <x:v>Höhenverstellbarer Arbeitsplatz; Materialbereitstellung; Hubsäulen/Lifter; Sondervorrichtung; Assistenzsystem | Sehr hoher Reha-Nutzen bei individuell anpassbaren Industriearbeitsplätzen; behindertengerechte Arbeitsplätze ausdrücklich ausgewiesen.</x:v>
      </x:c>
      <x:c r="S5" s="116" t="str">
        <x:v>nicht spezifisch belegt</x:v>
      </x:c>
      <x:c r="T5" s="116" t="str">
        <x:v>regional + projektbezogen überregional</x:v>
      </x:c>
      <x:c r="U5" s="135" t="n">
        <x:v>49.40292</x:v>
      </x:c>
      <x:c r="V5" s="135" t="n">
        <x:v>7.35003</x:v>
      </x:c>
      <x:c r="W5" s="116" t="str">
        <x:v>Adresse und numerische Standortkoordinate geprüft</x:v>
      </x:c>
      <x:c r="X5" s="116" t="str">
        <x:v>Kartenpunkt – Koordinate geprüft</x:v>
      </x:c>
      <x:c r="Y5" s="116" t="str">
        <x:v>Technik 4.4.x – Neuaufnahme</x:v>
      </x:c>
      <x:c r="Z5" s="116" t="str"/>
      <x:c r="AA5" s="116" t="str">
        <x:v>https://www.minitec.de/unternehmen/standorte-weltweit</x:v>
      </x:c>
      <x:c r="AB5" s="116" t="str">
        <x:v>Mapcarta / Adressabgleich 2026-08-30</x:v>
      </x:c>
      <x:c r="AC5" s="116" t="str">
        <x:v>2026-08-30</x:v>
      </x:c>
      <x:c r="AD5" s="116" t="str">
        <x:v>MiniTec-Allee 1, 66901 Schönenberg-Kübelberg, Deutschland</x:v>
      </x:c>
      <x:c r="AE5" s="116" t="str">
        <x:v>Hauptstandort verifiziert.</x:v>
      </x:c>
    </x:row>
    <x:row r="6">
      <x:c r="A6" s="116" t="str">
        <x:v>T-002</x:v>
      </x:c>
      <x:c r="B6" s="116" t="str">
        <x:v>Ruck GmbH &amp; Co. KG / RUCK AluConnect</x:v>
      </x:c>
      <x:c r="C6" s="116" t="str">
        <x:v>Aufnehmen</x:v>
      </x:c>
      <x:c r="D6" s="116" t="str">
        <x:v>A+</x:v>
      </x:c>
      <x:c r="E6" s="116" t="str">
        <x:v>Technische Arbeitsplatzanpassung</x:v>
      </x:c>
      <x:c r="F6" s="116" t="str">
        <x:v>Höhenverstellbarer Arbeitsplatz; Durchlaufregal; Materialbereitstellung; Bereitstellungswagen; Förder-/Verkettungstechnik</x:v>
      </x:c>
      <x:c r="G6" s="116" t="str">
        <x:v>Technischer Umsetzer / Arbeitsplatzsystem</x:v>
      </x:c>
      <x:c r="H6" s="116" t="str">
        <x:v>Kelterstraße 43</x:v>
      </x:c>
      <x:c r="I6" s="116" t="str">
        <x:v>72669</x:v>
      </x:c>
      <x:c r="J6" s="116" t="str">
        <x:v>Unterensingen</x:v>
      </x:c>
      <x:c r="K6" s="116" t="str">
        <x:v>Baden-Württemberg</x:v>
      </x:c>
      <x:c r="L6" s="116" t="str">
        <x:v>Deutschland</x:v>
      </x:c>
      <x:c r="M6" s="116" t="str">
        <x:v>+49 7022 67618</x:v>
      </x:c>
      <x:c r="N6" s="116" t="str"/>
      <x:c r="O6" s="116" t="str">
        <x:v>info@ruck.de</x:v>
      </x:c>
      <x:c r="P6" s="116" t="str">
        <x:v>https://alu-connect.de/index.php/produkte/arbeitsplatzsysteme/montagearbeitsplaetze</x:v>
      </x:c>
      <x:c r="Q6" s="116" t="str"/>
      <x:c r="R6" s="116" t="str">
        <x:v>Höhenverstellbarer Arbeitsplatz; Durchlaufregal; Materialbereitstellung; Bereitstellungswagen; Förder-/Verkettungstechnik | Bestehende Konstruktionen können um- und weitergebaut werden; sehr gut für individualisierte Montageplätze.</x:v>
      </x:c>
      <x:c r="S6" s="116" t="str">
        <x:v>nicht spezifisch belegt</x:v>
      </x:c>
      <x:c r="T6" s="116" t="str">
        <x:v>regional + projektbezogen überregional</x:v>
      </x:c>
      <x:c r="U6" s="135"/>
      <x:c r="V6" s="135"/>
      <x:c r="W6" s="116" t="str">
        <x:v>Adresse/Kontakt geprüft; numerische Hauskoordinate noch nicht separat verifiziert</x:v>
      </x:c>
      <x:c r="X6" s="116" t="str">
        <x:v>Kartenpunkt – Adresse geprüft</x:v>
      </x:c>
      <x:c r="Y6" s="116" t="str">
        <x:v>Technik 4.4.x – Neuaufnahme</x:v>
      </x:c>
      <x:c r="Z6" s="116" t="str"/>
      <x:c r="AA6" s="116" t="str">
        <x:v>https://alu-connect.de/</x:v>
      </x:c>
      <x:c r="AB6" s="116" t="str"/>
      <x:c r="AC6" s="116" t="str">
        <x:v>2026-08-30</x:v>
      </x:c>
      <x:c r="AD6" s="116" t="str">
        <x:v>Kelterstraße 43, 72669 Unterensingen, Deutschland</x:v>
      </x:c>
      <x:c r="AE6" s="116" t="str">
        <x:v>Standort/Kontakt verifiziert.</x:v>
      </x:c>
    </x:row>
    <x:row r="7">
      <x:c r="A7" s="116" t="str">
        <x:v>T-003</x:v>
      </x:c>
      <x:c r="B7" s="116" t="str">
        <x:v>J. Schmalz GmbH</x:v>
      </x:c>
      <x:c r="C7" s="116" t="str">
        <x:v>Aufnehmen</x:v>
      </x:c>
      <x:c r="D7" s="116" t="str">
        <x:v>A+</x:v>
      </x:c>
      <x:c r="E7" s="116" t="str">
        <x:v>Technische Arbeitsplatzanpassung</x:v>
      </x:c>
      <x:c r="F7" s="116" t="str">
        <x:v>Vakuumheber; Kran-/Hebetechnik; Greiftechnik; Maschinenbeschickung; Nachrüstung CNC/Arbeitsplatz</x:v>
      </x:c>
      <x:c r="G7" s="116" t="str">
        <x:v>Technischer Umsetzer / Handhabungstechnik</x:v>
      </x:c>
      <x:c r="H7" s="116" t="str">
        <x:v>Aacher Straße 29</x:v>
      </x:c>
      <x:c r="I7" s="116" t="str">
        <x:v>72293</x:v>
      </x:c>
      <x:c r="J7" s="116" t="str">
        <x:v>Glatten</x:v>
      </x:c>
      <x:c r="K7" s="116" t="str">
        <x:v>Baden-Württemberg</x:v>
      </x:c>
      <x:c r="L7" s="116" t="str">
        <x:v>Deutschland</x:v>
      </x:c>
      <x:c r="M7" s="116" t="str">
        <x:v>+49 7443 2403-0</x:v>
      </x:c>
      <x:c r="N7" s="116" t="str"/>
      <x:c r="O7" s="116" t="str">
        <x:v>schmalz@schmalz.de</x:v>
      </x:c>
      <x:c r="P7" s="116" t="str">
        <x:v>https://www.schmalz.com/de-de/loesungen/branchen-und-anwendungen/holz</x:v>
      </x:c>
      <x:c r="Q7" s="116" t="str"/>
      <x:c r="R7" s="116" t="str">
        <x:v>Vakuumheber; Kran-/Hebetechnik; Greiftechnik; Maschinenbeschickung; Nachrüstung CNC/Arbeitsplatz | A+ für Holz/Schreinerei und Metall; besonders CNC-/Plattenhandling, Heben und Wenden.</x:v>
      </x:c>
      <x:c r="S7" s="116" t="str">
        <x:v>nicht spezifisch belegt</x:v>
      </x:c>
      <x:c r="T7" s="116" t="str">
        <x:v>regional + projektbezogen überregional</x:v>
      </x:c>
      <x:c r="U7" s="135"/>
      <x:c r="V7" s="135"/>
      <x:c r="W7" s="116" t="str">
        <x:v>Adresse/Kontakt geprüft; numerische Hauskoordinate noch nicht separat verifiziert</x:v>
      </x:c>
      <x:c r="X7" s="116" t="str">
        <x:v>Kartenpunkt – Adresse geprüft</x:v>
      </x:c>
      <x:c r="Y7" s="116" t="str">
        <x:v>Technik 4.4.x – Neuaufnahme</x:v>
      </x:c>
      <x:c r="Z7" s="116" t="str"/>
      <x:c r="AA7" s="116" t="str">
        <x:v>https://www.schmalz.com/de-de/unternehmen/kontakt</x:v>
      </x:c>
      <x:c r="AB7" s="116" t="str"/>
      <x:c r="AC7" s="116" t="str">
        <x:v>2026-08-30</x:v>
      </x:c>
      <x:c r="AD7" s="116" t="str">
        <x:v>Aacher Straße 29, 72293 Glatten, Deutschland</x:v>
      </x:c>
      <x:c r="AE7" s="116" t="str">
        <x:v>Für Navigation nennt Schmalz Aacher Straße 29; Firmensitz Johannes-Schmalz-Straße 1.</x:v>
      </x:c>
    </x:row>
    <x:row r="8">
      <x:c r="A8" s="116" t="str">
        <x:v>T-004</x:v>
      </x:c>
      <x:c r="B8" s="116" t="str">
        <x:v>Albert Fezer Maschinenfabrik GmbH</x:v>
      </x:c>
      <x:c r="C8" s="116" t="str">
        <x:v>Aufnehmen</x:v>
      </x:c>
      <x:c r="D8" s="116" t="str">
        <x:v>A+</x:v>
      </x:c>
      <x:c r="E8" s="116" t="str">
        <x:v>Technische Arbeitsplatzanpassung</x:v>
      </x:c>
      <x:c r="F8" s="116" t="str">
        <x:v>Vakuumheber; Schlauchheber; Krananlage; individuelle Greifer; Handhabungssystem</x:v>
      </x:c>
      <x:c r="G8" s="116" t="str">
        <x:v>Technischer Umsetzer / Handhabungstechnik</x:v>
      </x:c>
      <x:c r="H8" s="116" t="str">
        <x:v>In den Weiden 26</x:v>
      </x:c>
      <x:c r="I8" s="116" t="str">
        <x:v>73776</x:v>
      </x:c>
      <x:c r="J8" s="116" t="str">
        <x:v>Altbach</x:v>
      </x:c>
      <x:c r="K8" s="116" t="str">
        <x:v>Baden-Württemberg</x:v>
      </x:c>
      <x:c r="L8" s="116" t="str">
        <x:v>Deutschland</x:v>
      </x:c>
      <x:c r="M8" s="116" t="str">
        <x:v>+49 7153 61316-0</x:v>
      </x:c>
      <x:c r="N8" s="116" t="str"/>
      <x:c r="O8" s="116" t="str">
        <x:v>kontakt@fezer.com</x:v>
      </x:c>
      <x:c r="P8" s="116" t="str">
        <x:v>https://www.fezer.com/de/home</x:v>
      </x:c>
      <x:c r="Q8" s="116" t="str"/>
      <x:c r="R8" s="116" t="str">
        <x:v>Vakuumheber; Schlauchheber; Krananlage; individuelle Greifer; Handhabungssystem | Vor-Ort-Beratung und kundenspezifische Lösungen; gut für Blech, Holz, Rohre, Behälter und CNC-Beschickung.</x:v>
      </x:c>
      <x:c r="S8" s="116" t="str">
        <x:v>nicht spezifisch belegt</x:v>
      </x:c>
      <x:c r="T8" s="116" t="str">
        <x:v>regional + projektbezogen überregional</x:v>
      </x:c>
      <x:c r="U8" s="135" t="n">
        <x:v>48.722629</x:v>
      </x:c>
      <x:c r="V8" s="135" t="n">
        <x:v>9.374738</x:v>
      </x:c>
      <x:c r="W8" s="116" t="str">
        <x:v>Adresse und numerische Standortkoordinate geprüft</x:v>
      </x:c>
      <x:c r="X8" s="116" t="str">
        <x:v>Kartenpunkt – Koordinate geprüft</x:v>
      </x:c>
      <x:c r="Y8" s="116" t="str">
        <x:v>Technik 4.4.x – Neuaufnahme</x:v>
      </x:c>
      <x:c r="Z8" s="116" t="str"/>
      <x:c r="AA8" s="116" t="str">
        <x:v>https://www.fezer.com/de/home</x:v>
      </x:c>
      <x:c r="AB8" s="116" t="str">
        <x:v>Adressbezogene Web-Geoprüfung 2026-08-30</x:v>
      </x:c>
      <x:c r="AC8" s="116" t="str">
        <x:v>2026-08-30</x:v>
      </x:c>
      <x:c r="AD8" s="116" t="str">
        <x:v>In den Weiden 26, 73776 Altbach, Deutschland</x:v>
      </x:c>
      <x:c r="AE8" s="116" t="str">
        <x:v>Standort verifiziert.</x:v>
      </x:c>
    </x:row>
    <x:row r="9">
      <x:c r="A9" s="116" t="str">
        <x:v>T-005</x:v>
      </x:c>
      <x:c r="B9" s="116" t="str">
        <x:v>AERO-LIFT Vakuumtechnik GmbH</x:v>
      </x:c>
      <x:c r="C9" s="116" t="str">
        <x:v>Aufnehmen</x:v>
      </x:c>
      <x:c r="D9" s="116" t="str">
        <x:v>A+</x:v>
      </x:c>
      <x:c r="E9" s="116" t="str">
        <x:v>Technische Arbeitsplatzanpassung</x:v>
      </x:c>
      <x:c r="F9" s="116" t="str">
        <x:v>Vakuumheber; Schlauchheber; Greiftechnik; Wenden/Schwenken; Sonderlösung</x:v>
      </x:c>
      <x:c r="G9" s="116" t="str">
        <x:v>Technischer Umsetzer / Vakuumhandling</x:v>
      </x:c>
      <x:c r="H9" s="116" t="str">
        <x:v>Turmstraße 1</x:v>
      </x:c>
      <x:c r="I9" s="116" t="str">
        <x:v>72351</x:v>
      </x:c>
      <x:c r="J9" s="116" t="str">
        <x:v>Geislingen-Binsdorf</x:v>
      </x:c>
      <x:c r="K9" s="116" t="str">
        <x:v>Baden-Württemberg</x:v>
      </x:c>
      <x:c r="L9" s="116" t="str">
        <x:v>Deutschland</x:v>
      </x:c>
      <x:c r="M9" s="116" t="str">
        <x:v>+49 7428 94514-0</x:v>
      </x:c>
      <x:c r="N9" s="116" t="str"/>
      <x:c r="O9" s="116" t="str">
        <x:v>info@aero-lift.de</x:v>
      </x:c>
      <x:c r="P9" s="116" t="str">
        <x:v>https://www.aero-lift.de/produkte/</x:v>
      </x:c>
      <x:c r="Q9" s="116" t="str"/>
      <x:c r="R9" s="116" t="str">
        <x:v>Vakuumheber; Schlauchheber; Greiftechnik; Wenden/Schwenken; Sonderlösung | Sehr relevant für Schreinerei/Holzverarbeitung und Metallplatten; kundenspezifische Systeme.</x:v>
      </x:c>
      <x:c r="S9" s="116" t="str">
        <x:v>nicht spezifisch belegt</x:v>
      </x:c>
      <x:c r="T9" s="116" t="str">
        <x:v>regional + projektbezogen überregional</x:v>
      </x:c>
      <x:c r="U9" s="135"/>
      <x:c r="V9" s="135"/>
      <x:c r="W9" s="116" t="str">
        <x:v>Adresse/Kontakt geprüft; numerische Hauskoordinate noch nicht separat verifiziert</x:v>
      </x:c>
      <x:c r="X9" s="116" t="str">
        <x:v>Kartenpunkt – Adresse geprüft</x:v>
      </x:c>
      <x:c r="Y9" s="116" t="str">
        <x:v>Technik 4.4.x – Neuaufnahme</x:v>
      </x:c>
      <x:c r="Z9" s="116" t="str"/>
      <x:c r="AA9" s="116" t="str">
        <x:v>https://www.aero-lift.de/</x:v>
      </x:c>
      <x:c r="AB9" s="116" t="str"/>
      <x:c r="AC9" s="116" t="str">
        <x:v>2026-08-30</x:v>
      </x:c>
      <x:c r="AD9" s="116" t="str">
        <x:v>Turmstraße 1, 72351 Geislingen-Binsdorf, Deutschland</x:v>
      </x:c>
      <x:c r="AE9" s="116" t="str">
        <x:v>Standort und Zentrale verifiziert.</x:v>
      </x:c>
    </x:row>
    <x:row r="10">
      <x:c r="A10" s="116" t="str">
        <x:v>T-006</x:v>
      </x:c>
      <x:c r="B10" s="116" t="str">
        <x:v>ims Handhabungstechnik GmbH</x:v>
      </x:c>
      <x:c r="C10" s="116" t="str">
        <x:v>Aufnehmen</x:v>
      </x:c>
      <x:c r="D10" s="116" t="str">
        <x:v>A+</x:v>
      </x:c>
      <x:c r="E10" s="116" t="str">
        <x:v>Technische Arbeitsplatzanpassung</x:v>
      </x:c>
      <x:c r="F10" s="116" t="str">
        <x:v>Höhenverstellbarer Montagetisch; Scherenhubtisch; Handhabungstechnik; Sonderkonstruktion</x:v>
      </x:c>
      <x:c r="G10" s="116" t="str">
        <x:v>Technischer Umsetzer / Arbeitsplatz- &amp; Hebetechnik</x:v>
      </x:c>
      <x:c r="H10" s="116" t="str">
        <x:v>Langenmorgen 2/1</x:v>
      </x:c>
      <x:c r="I10" s="116" t="str">
        <x:v>75015</x:v>
      </x:c>
      <x:c r="J10" s="116" t="str">
        <x:v>Bretten</x:v>
      </x:c>
      <x:c r="K10" s="116" t="str">
        <x:v>Baden-Württemberg</x:v>
      </x:c>
      <x:c r="L10" s="116" t="str">
        <x:v>Deutschland</x:v>
      </x:c>
      <x:c r="M10" s="116" t="str">
        <x:v>+49 7252 96661-0</x:v>
      </x:c>
      <x:c r="N10" s="116" t="str"/>
      <x:c r="O10" s="116" t="str">
        <x:v>info@ims-tec.de</x:v>
      </x:c>
      <x:c r="P10" s="116" t="str">
        <x:v>https://ims-tec.de/</x:v>
      </x:c>
      <x:c r="Q10" s="116" t="str"/>
      <x:c r="R10" s="116" t="str">
        <x:v>Höhenverstellbarer Montagetisch; Scherenhubtisch; Handhabungstechnik; Sonderkonstruktion | Regional sehr guter Kandidat für individuelle Arbeits-/Montagetische und Hubtechnik.</x:v>
      </x:c>
      <x:c r="S10" s="116" t="str">
        <x:v>nicht spezifisch belegt</x:v>
      </x:c>
      <x:c r="T10" s="116" t="str">
        <x:v>regional + projektbezogen überregional</x:v>
      </x:c>
      <x:c r="U10" s="135"/>
      <x:c r="V10" s="135"/>
      <x:c r="W10" s="116" t="str">
        <x:v>Adresse/Kontakt geprüft; numerische Hauskoordinate noch nicht separat verifiziert</x:v>
      </x:c>
      <x:c r="X10" s="116" t="str">
        <x:v>Kartenpunkt – Adresse geprüft</x:v>
      </x:c>
      <x:c r="Y10" s="116" t="str">
        <x:v>Technik 4.4.x – Neuaufnahme</x:v>
      </x:c>
      <x:c r="Z10" s="116" t="str"/>
      <x:c r="AA10" s="116" t="str">
        <x:v>https://ims-tec.de/</x:v>
      </x:c>
      <x:c r="AB10" s="116" t="str"/>
      <x:c r="AC10" s="116" t="str">
        <x:v>2026-08-30</x:v>
      </x:c>
      <x:c r="AD10" s="116" t="str">
        <x:v>Langenmorgen 2/1, 75015 Bretten, Deutschland</x:v>
      </x:c>
      <x:c r="AE10" s="116" t="str">
        <x:v>Aktuelle Firmenadresse. Alte Verzeichnisadresse Pforzheimer Str. 46 ausdrücklich verworfen.</x:v>
      </x:c>
    </x:row>
    <x:row r="11">
      <x:c r="A11" s="116" t="str">
        <x:v>T-007</x:v>
      </x:c>
      <x:c r="B11" s="116" t="str">
        <x:v>sachs products GmbH</x:v>
      </x:c>
      <x:c r="C11" s="116" t="str">
        <x:v>Aufnehmen</x:v>
      </x:c>
      <x:c r="D11" s="116" t="str">
        <x:v>A+</x:v>
      </x:c>
      <x:c r="E11" s="116" t="str">
        <x:v>Technische Arbeitsplatzanpassung</x:v>
      </x:c>
      <x:c r="F11" s="116" t="str">
        <x:v>Manipulator; Balancer; Greifer; Maschinenbeschickung; Positionierhilfe</x:v>
      </x:c>
      <x:c r="G11" s="116" t="str">
        <x:v>Technischer Umsetzer / Manipulatoren</x:v>
      </x:c>
      <x:c r="H11" s="116" t="str">
        <x:v>Robert-Bosch-Straße 1</x:v>
      </x:c>
      <x:c r="I11" s="116" t="str">
        <x:v>78234</x:v>
      </x:c>
      <x:c r="J11" s="116" t="str">
        <x:v>Engen</x:v>
      </x:c>
      <x:c r="K11" s="116" t="str">
        <x:v>Baden-Württemberg</x:v>
      </x:c>
      <x:c r="L11" s="116" t="str">
        <x:v>Deutschland</x:v>
      </x:c>
      <x:c r="M11" s="116" t="str">
        <x:v>+49 7733 50399-10</x:v>
      </x:c>
      <x:c r="N11" s="116" t="str"/>
      <x:c r="O11" s="116" t="str">
        <x:v>vertrieb@sachs-handling.de</x:v>
      </x:c>
      <x:c r="P11" s="116" t="str">
        <x:v>https://www.sachs-products.de/</x:v>
      </x:c>
      <x:c r="Q11" s="116" t="str"/>
      <x:c r="R11" s="116" t="str">
        <x:v>Manipulator; Balancer; Greifer; Maschinenbeschickung; Positionierhilfe | Handgeführte Manipulatoren für Logistik, Montage und Produktion; sehr geeignet bei Kraft-/Schulter-/Rückenproblemen.</x:v>
      </x:c>
      <x:c r="S11" s="116" t="str">
        <x:v>nicht spezifisch belegt</x:v>
      </x:c>
      <x:c r="T11" s="116" t="str">
        <x:v>regional + projektbezogen überregional</x:v>
      </x:c>
      <x:c r="U11" s="135"/>
      <x:c r="V11" s="135"/>
      <x:c r="W11" s="116" t="str">
        <x:v>Adresse/Kontakt geprüft; numerische Hauskoordinate noch nicht separat verifiziert</x:v>
      </x:c>
      <x:c r="X11" s="116" t="str">
        <x:v>Kartenpunkt – Adresse geprüft</x:v>
      </x:c>
      <x:c r="Y11" s="116" t="str">
        <x:v>Technik 4.4.x – Neuaufnahme</x:v>
      </x:c>
      <x:c r="Z11" s="116" t="str"/>
      <x:c r="AA11" s="116" t="str">
        <x:v>https://www.sachs-products.de/</x:v>
      </x:c>
      <x:c r="AB11" s="116" t="str"/>
      <x:c r="AC11" s="116" t="str">
        <x:v>2026-08-30</x:v>
      </x:c>
      <x:c r="AD11" s="116" t="str">
        <x:v>Robert-Bosch-Straße 1, 78234 Engen, Deutschland</x:v>
      </x:c>
      <x:c r="AE11" s="116" t="str">
        <x:v>Standort verifiziert; Handling-Vertrieb als Fachkontakt.</x:v>
      </x:c>
    </x:row>
    <x:row r="12">
      <x:c r="A12" s="116" t="str">
        <x:v>T-008</x:v>
      </x:c>
      <x:c r="B12" s="116" t="str">
        <x:v>Scaglia INDEVA GmbH</x:v>
      </x:c>
      <x:c r="C12" s="116" t="str">
        <x:v>Aufnehmen</x:v>
      </x:c>
      <x:c r="D12" s="116" t="str">
        <x:v>A+</x:v>
      </x:c>
      <x:c r="E12" s="116" t="str">
        <x:v>Technische Arbeitsplatzanpassung</x:v>
      </x:c>
      <x:c r="F12" s="116" t="str">
        <x:v>Manipulator; Greifer; Balancer; Positionierhilfe; Holzplattenhandling</x:v>
      </x:c>
      <x:c r="G12" s="116" t="str">
        <x:v>Technischer Umsetzer / Manipulatoren</x:v>
      </x:c>
      <x:c r="H12" s="116" t="str">
        <x:v>Esslinger Straße 26</x:v>
      </x:c>
      <x:c r="I12" s="116" t="str">
        <x:v>73249</x:v>
      </x:c>
      <x:c r="J12" s="116" t="str">
        <x:v>Wernau (Neckar)</x:v>
      </x:c>
      <x:c r="K12" s="116" t="str">
        <x:v>Baden-Württemberg</x:v>
      </x:c>
      <x:c r="L12" s="116" t="str">
        <x:v>Deutschland</x:v>
      </x:c>
      <x:c r="M12" s="116" t="str">
        <x:v>+49 7153 55049-0</x:v>
      </x:c>
      <x:c r="N12" s="116" t="str"/>
      <x:c r="O12" s="116" t="str">
        <x:v>info@de.indevagroup.com</x:v>
      </x:c>
      <x:c r="P12" s="116" t="str">
        <x:v>https://www.indevagroup.de/indeva-in-deutschland/</x:v>
      </x:c>
      <x:c r="Q12" s="116" t="str"/>
      <x:c r="R12" s="116" t="str">
        <x:v>Manipulator; Greifer; Balancer; Positionierhilfe; Holzplattenhandling | Deutscher Standort mit Beratung, Installation, Wartung und Showroom; sehr passend für Automotive und Montage.</x:v>
      </x:c>
      <x:c r="S12" s="116" t="str">
        <x:v>nicht spezifisch belegt</x:v>
      </x:c>
      <x:c r="T12" s="116" t="str">
        <x:v>regional + projektbezogen überregional</x:v>
      </x:c>
      <x:c r="U12" s="135" t="n">
        <x:v>48.70036</x:v>
      </x:c>
      <x:c r="V12" s="135" t="n">
        <x:v>9.41589</x:v>
      </x:c>
      <x:c r="W12" s="116" t="str">
        <x:v>Adresse und numerische Standortkoordinate geprüft</x:v>
      </x:c>
      <x:c r="X12" s="116" t="str">
        <x:v>Kartenpunkt – Koordinate geprüft</x:v>
      </x:c>
      <x:c r="Y12" s="116" t="str">
        <x:v>Technik 4.4.x – Neuaufnahme</x:v>
      </x:c>
      <x:c r="Z12" s="116" t="str"/>
      <x:c r="AA12" s="116" t="str">
        <x:v>https://www.indevagroup.de/indeva-in-deutschland/</x:v>
      </x:c>
      <x:c r="AB12" s="116" t="str">
        <x:v>Mapcarta / Adressabgleich 2026-08-30</x:v>
      </x:c>
      <x:c r="AC12" s="116" t="str">
        <x:v>2026-08-30</x:v>
      </x:c>
      <x:c r="AD12" s="116" t="str">
        <x:v>Esslinger Straße 26, 73249 Wernau (Neckar), Deutschland</x:v>
      </x:c>
      <x:c r="AE12" s="116" t="str">
        <x:v>Standort verifiziert.</x:v>
      </x:c>
    </x:row>
    <x:row r="13">
      <x:c r="A13" s="116" t="str">
        <x:v>T-009</x:v>
      </x:c>
      <x:c r="B13" s="116" t="str">
        <x:v>ZASCHE handling GmbH</x:v>
      </x:c>
      <x:c r="C13" s="116" t="str">
        <x:v>Aufnehmen</x:v>
      </x:c>
      <x:c r="D13" s="116" t="str">
        <x:v>A+</x:v>
      </x:c>
      <x:c r="E13" s="116" t="str">
        <x:v>Technische Arbeitsplatzanpassung</x:v>
      </x:c>
      <x:c r="F13" s="116" t="str">
        <x:v>Manipulator; Seilbalancer; Parallelogrammgerät; E-Balancer; Sondergreifer</x:v>
      </x:c>
      <x:c r="G13" s="116" t="str">
        <x:v>Technischer Umsetzer / Manipulatoren</x:v>
      </x:c>
      <x:c r="H13" s="116" t="str">
        <x:v>Markham Straße 13</x:v>
      </x:c>
      <x:c r="I13" s="116" t="str">
        <x:v>86720</x:v>
      </x:c>
      <x:c r="J13" s="116" t="str">
        <x:v>Nördlingen</x:v>
      </x:c>
      <x:c r="K13" s="116" t="str">
        <x:v>Bayern</x:v>
      </x:c>
      <x:c r="L13" s="116" t="str">
        <x:v>Deutschland</x:v>
      </x:c>
      <x:c r="M13" s="116" t="str">
        <x:v>+49 9081 8017-0</x:v>
      </x:c>
      <x:c r="N13" s="116" t="str"/>
      <x:c r="O13" s="116" t="str">
        <x:v>info@zasche.de</x:v>
      </x:c>
      <x:c r="P13" s="116" t="str">
        <x:v>https://www.zasche.de/smart-handling</x:v>
      </x:c>
      <x:c r="Q13" s="116" t="str"/>
      <x:c r="R13" s="116" t="str">
        <x:v>Manipulator; Seilbalancer; Parallelogrammgerät; E-Balancer; Sondergreifer | Ergonomische Unterstützung für Industrie ausdrücklich ausgewiesen; sehr breites Branchenspektrum.</x:v>
      </x:c>
      <x:c r="S13" s="116" t="str">
        <x:v>nicht spezifisch belegt</x:v>
      </x:c>
      <x:c r="T13" s="116" t="str">
        <x:v>regional + projektbezogen überregional</x:v>
      </x:c>
      <x:c r="U13" s="135"/>
      <x:c r="V13" s="135"/>
      <x:c r="W13" s="116" t="str">
        <x:v>Adresse/Kontakt geprüft; numerische Hauskoordinate noch nicht separat verifiziert</x:v>
      </x:c>
      <x:c r="X13" s="116" t="str">
        <x:v>Kartenpunkt – Adresse geprüft</x:v>
      </x:c>
      <x:c r="Y13" s="116" t="str">
        <x:v>Technik 4.4.x – Neuaufnahme</x:v>
      </x:c>
      <x:c r="Z13" s="116" t="str"/>
      <x:c r="AA13" s="116" t="str">
        <x:v>https://www.zasche.de/</x:v>
      </x:c>
      <x:c r="AB13" s="116" t="str"/>
      <x:c r="AC13" s="116" t="str">
        <x:v>2026-08-30</x:v>
      </x:c>
      <x:c r="AD13" s="116" t="str">
        <x:v>Markham Straße 13, 86720 Nördlingen, Deutschland</x:v>
      </x:c>
      <x:c r="AE13" s="116" t="str">
        <x:v>Aktuelle Adresse verifiziert; frühere Gewerbestraße nicht verwenden.</x:v>
      </x:c>
    </x:row>
    <x:row r="14">
      <x:c r="A14" s="116" t="str">
        <x:v>T-010</x:v>
      </x:c>
      <x:c r="B14" s="116" t="str">
        <x:v>EXPRESSO Deutschland GmbH &amp; Co. KG</x:v>
      </x:c>
      <x:c r="C14" s="116" t="str">
        <x:v>Aufnehmen</x:v>
      </x:c>
      <x:c r="D14" s="116" t="str">
        <x:v>A+</x:v>
      </x:c>
      <x:c r="E14" s="116" t="str">
        <x:v>Technische Arbeitsplatzanpassung</x:v>
      </x:c>
      <x:c r="F14" s="116" t="str">
        <x:v>Balancer; Hebehilfe; mechanischer/vakuum/pneumatischer Greifer; Sonderlösung</x:v>
      </x:c>
      <x:c r="G14" s="116" t="str">
        <x:v>Technischer Umsetzer / Balancer &amp; Greifer</x:v>
      </x:c>
      <x:c r="H14" s="116" t="str">
        <x:v>Antonius-Raab-Straße 19</x:v>
      </x:c>
      <x:c r="I14" s="116" t="str">
        <x:v>34123</x:v>
      </x:c>
      <x:c r="J14" s="116" t="str">
        <x:v>Kassel</x:v>
      </x:c>
      <x:c r="K14" s="116" t="str">
        <x:v>Hessen</x:v>
      </x:c>
      <x:c r="L14" s="116" t="str">
        <x:v>Deutschland</x:v>
      </x:c>
      <x:c r="M14" s="116" t="str">
        <x:v>+49 561 9591-0</x:v>
      </x:c>
      <x:c r="N14" s="116" t="str"/>
      <x:c r="O14" s="116" t="str">
        <x:v>info@expresso.de</x:v>
      </x:c>
      <x:c r="P14" s="116" t="str">
        <x:v>https://www.expresso.de/</x:v>
      </x:c>
      <x:c r="Q14" s="116" t="str"/>
      <x:c r="R14" s="116" t="str">
        <x:v>Balancer; Hebehilfe; mechanischer/vakuum/pneumatischer Greifer; Sonderlösung | Vor-Ort-Hantierungsanalyse und kundenspezifische Greifer/Balancer; überregional relevant.</x:v>
      </x:c>
      <x:c r="S14" s="116" t="str">
        <x:v>nicht spezifisch belegt</x:v>
      </x:c>
      <x:c r="T14" s="116" t="str">
        <x:v>regional + projektbezogen überregional</x:v>
      </x:c>
      <x:c r="U14" s="135"/>
      <x:c r="V14" s="135"/>
      <x:c r="W14" s="116" t="str">
        <x:v>Adresse/Kontakt geprüft; numerische Hauskoordinate noch nicht separat verifiziert</x:v>
      </x:c>
      <x:c r="X14" s="116" t="str">
        <x:v>Kartenpunkt – Adresse geprüft</x:v>
      </x:c>
      <x:c r="Y14" s="116" t="str">
        <x:v>Technik 4.4.x – Neuaufnahme</x:v>
      </x:c>
      <x:c r="Z14" s="116" t="str"/>
      <x:c r="AA14" s="116" t="str">
        <x:v>https://www.expresso.de/</x:v>
      </x:c>
      <x:c r="AB14" s="116" t="str"/>
      <x:c r="AC14" s="116" t="str">
        <x:v>2026-08-30</x:v>
      </x:c>
      <x:c r="AD14" s="116" t="str">
        <x:v>Antonius-Raab-Straße 19, 34123 Kassel, Deutschland</x:v>
      </x:c>
      <x:c r="AE14" s="116" t="str">
        <x:v>Standort verifiziert.</x:v>
      </x:c>
    </x:row>
    <x:row r="15">
      <x:c r="A15" s="116" t="str">
        <x:v>T-011</x:v>
      </x:c>
      <x:c r="B15" s="116" t="str">
        <x:v>PRONOMIC GmbH</x:v>
      </x:c>
      <x:c r="C15" s="116" t="str">
        <x:v>Aufnehmen</x:v>
      </x:c>
      <x:c r="D15" s="116" t="str">
        <x:v>A+</x:v>
      </x:c>
      <x:c r="E15" s="116" t="str">
        <x:v>Technische Arbeitsplatzanpassung</x:v>
      </x:c>
      <x:c r="F15" s="116" t="str">
        <x:v>Hebelifter; Manipulator/Kran; Sonderaufnahme; Greifer; Positionierhilfe</x:v>
      </x:c>
      <x:c r="G15" s="116" t="str">
        <x:v>Technischer Umsetzer / Hebe- &amp; Sonderlösungen</x:v>
      </x:c>
      <x:c r="H15" s="116" t="str">
        <x:v>Dennhäuser Straße 62</x:v>
      </x:c>
      <x:c r="I15" s="116" t="str">
        <x:v>34134</x:v>
      </x:c>
      <x:c r="J15" s="116" t="str">
        <x:v>Kassel</x:v>
      </x:c>
      <x:c r="K15" s="116" t="str">
        <x:v>Hessen</x:v>
      </x:c>
      <x:c r="L15" s="116" t="str">
        <x:v>Deutschland</x:v>
      </x:c>
      <x:c r="M15" s="116" t="str">
        <x:v>+49 561 5004000</x:v>
      </x:c>
      <x:c r="N15" s="116" t="str"/>
      <x:c r="O15" s="116" t="str">
        <x:v>deutschland@pronomic.com</x:v>
      </x:c>
      <x:c r="P15" s="116" t="str">
        <x:v>https://www.pronomic.com/de/</x:v>
      </x:c>
      <x:c r="Q15" s="116" t="str"/>
      <x:c r="R15" s="116" t="str">
        <x:v>Hebelifter; Manipulator/Kran; Sonderaufnahme; Greifer; Positionierhilfe | Bewertet Bedienperson, Bewegungsablauf und Arbeitsplatz; vollständige Kette Beratung bis Test.</x:v>
      </x:c>
      <x:c r="S15" s="116" t="str">
        <x:v>nicht spezifisch belegt</x:v>
      </x:c>
      <x:c r="T15" s="116" t="str">
        <x:v>regional + projektbezogen überregional</x:v>
      </x:c>
      <x:c r="U15" s="135"/>
      <x:c r="V15" s="135"/>
      <x:c r="W15" s="116" t="str">
        <x:v>Adresse/Kontakt geprüft; numerische Hauskoordinate noch nicht separat verifiziert</x:v>
      </x:c>
      <x:c r="X15" s="116" t="str">
        <x:v>Kartenpunkt – Adresse geprüft</x:v>
      </x:c>
      <x:c r="Y15" s="116" t="str">
        <x:v>Technik 4.4.x – Neuaufnahme</x:v>
      </x:c>
      <x:c r="Z15" s="116" t="str"/>
      <x:c r="AA15" s="116" t="str">
        <x:v>https://www.pronomic.com/de/</x:v>
      </x:c>
      <x:c r="AB15" s="116" t="str"/>
      <x:c r="AC15" s="116" t="str">
        <x:v>2026-08-30</x:v>
      </x:c>
      <x:c r="AD15" s="116" t="str">
        <x:v>Dennhäuser Straße 62, 34134 Kassel, Deutschland</x:v>
      </x:c>
      <x:c r="AE15" s="116" t="str">
        <x:v>Neuer Hauptsitz/aktuelle Adresse verifiziert.</x:v>
      </x:c>
    </x:row>
    <x:row r="16">
      <x:c r="A16" s="116" t="str">
        <x:v>T-012</x:v>
      </x:c>
      <x:c r="B16" s="116" t="str">
        <x:v>Reinhold Beck Maschinenbau GmbH</x:v>
      </x:c>
      <x:c r="C16" s="116" t="str">
        <x:v>Aufnehmen</x:v>
      </x:c>
      <x:c r="D16" s="116" t="str">
        <x:v>A+</x:v>
      </x:c>
      <x:c r="E16" s="116" t="str">
        <x:v>Technische Arbeitsplatzanpassung</x:v>
      </x:c>
      <x:c r="F16" s="116" t="str">
        <x:v>Höhenverstellbarer Arbeits-/Montagetisch; Hubtisch; Dreh-/Kipphilfe; Sonderbau</x:v>
      </x:c>
      <x:c r="G16" s="116" t="str">
        <x:v>Technischer Umsetzer / Holz &amp; Montage</x:v>
      </x:c>
      <x:c r="H16" s="116" t="str">
        <x:v>Im Grund 23</x:v>
      </x:c>
      <x:c r="I16" s="116" t="str">
        <x:v>72505</x:v>
      </x:c>
      <x:c r="J16" s="116" t="str">
        <x:v>Krauchenwies-Bittelschieß</x:v>
      </x:c>
      <x:c r="K16" s="116" t="str">
        <x:v>Baden-Württemberg</x:v>
      </x:c>
      <x:c r="L16" s="116" t="str">
        <x:v>Deutschland</x:v>
      </x:c>
      <x:c r="M16" s="116" t="str">
        <x:v>+49 7576 962978-0</x:v>
      </x:c>
      <x:c r="N16" s="116" t="str"/>
      <x:c r="O16" s="116" t="str">
        <x:v>info@beck-maschinenbau.de</x:v>
      </x:c>
      <x:c r="P16" s="116" t="str">
        <x:v>https://beck-maschinenbau.com/produkte/arbeitstische/</x:v>
      </x:c>
      <x:c r="Q16" s="116" t="str"/>
      <x:c r="R16" s="116" t="str">
        <x:v>Höhenverstellbarer Arbeits-/Montagetisch; Hubtisch; Dreh-/Kipphilfe; Sonderbau | A+ für Holz/Schreinerei; eigene Konstruktion/Produktion und ergonomische Hub-/Arbeitstische.</x:v>
      </x:c>
      <x:c r="S16" s="116" t="str">
        <x:v>nicht spezifisch belegt</x:v>
      </x:c>
      <x:c r="T16" s="116" t="str">
        <x:v>regional + projektbezogen überregional</x:v>
      </x:c>
      <x:c r="U16" s="135"/>
      <x:c r="V16" s="135"/>
      <x:c r="W16" s="116" t="str">
        <x:v>Adresse/Kontakt geprüft; numerische Hauskoordinate noch nicht separat verifiziert</x:v>
      </x:c>
      <x:c r="X16" s="116" t="str">
        <x:v>Kartenpunkt – Adresse geprüft</x:v>
      </x:c>
      <x:c r="Y16" s="116" t="str">
        <x:v>Technik 4.4.x – Neuaufnahme</x:v>
      </x:c>
      <x:c r="Z16" s="116" t="str"/>
      <x:c r="AA16" s="116" t="str">
        <x:v>https://beck-maschinenbau.com/</x:v>
      </x:c>
      <x:c r="AB16" s="116" t="str"/>
      <x:c r="AC16" s="116" t="str">
        <x:v>2026-08-30</x:v>
      </x:c>
      <x:c r="AD16" s="116" t="str">
        <x:v>Im Grund 23, 72505 Krauchenwies-Bittelschieß, Deutschland</x:v>
      </x:c>
      <x:c r="AE16" s="116" t="str">
        <x:v>Standort verifiziert.</x:v>
      </x:c>
    </x:row>
    <x:row r="17">
      <x:c r="A17" s="116" t="str">
        <x:v>T-013</x:v>
      </x:c>
      <x:c r="B17" s="116" t="str">
        <x:v>BARTH GmbH</x:v>
      </x:c>
      <x:c r="C17" s="116" t="str">
        <x:v>Aufnehmen</x:v>
      </x:c>
      <x:c r="D17" s="116" t="str">
        <x:v>A+</x:v>
      </x:c>
      <x:c r="E17" s="116" t="str">
        <x:v>Technische Arbeitsplatzanpassung</x:v>
      </x:c>
      <x:c r="F17" s="116" t="str">
        <x:v>Hubtisch; Kipp-/Wendetisch; Montagetisch; Sonderlösung</x:v>
      </x:c>
      <x:c r="G17" s="116" t="str">
        <x:v>Technischer Umsetzer / Holz-Handwerk</x:v>
      </x:c>
      <x:c r="H17" s="116" t="str">
        <x:v>Gerhard-Meister-Straße 5</x:v>
      </x:c>
      <x:c r="I17" s="116" t="str">
        <x:v>83342</x:v>
      </x:c>
      <x:c r="J17" s="116" t="str">
        <x:v>Tacherting</x:v>
      </x:c>
      <x:c r="K17" s="116" t="str">
        <x:v>Bayern</x:v>
      </x:c>
      <x:c r="L17" s="116" t="str">
        <x:v>Deutschland</x:v>
      </x:c>
      <x:c r="M17" s="116" t="str">
        <x:v>+49 8621 5050-600</x:v>
      </x:c>
      <x:c r="N17" s="116" t="str"/>
      <x:c r="O17" s="116" t="str">
        <x:v>info@barth-maschinenbau.de</x:v>
      </x:c>
      <x:c r="P17" s="116" t="str">
        <x:v>https://www.barth-maschinenbau.de/</x:v>
      </x:c>
      <x:c r="Q17" s="116" t="str"/>
      <x:c r="R17" s="116" t="str">
        <x:v>Hubtisch; Kipp-/Wendetisch; Montagetisch; Sonderlösung | Sehr konkrete Lösungen für Korpusse, Fenster-/Türrahmen, Schleif- und Montagearbeiten.</x:v>
      </x:c>
      <x:c r="S17" s="116" t="str">
        <x:v>nicht spezifisch belegt</x:v>
      </x:c>
      <x:c r="T17" s="116" t="str">
        <x:v>regional + projektbezogen überregional</x:v>
      </x:c>
      <x:c r="U17" s="135"/>
      <x:c r="V17" s="135"/>
      <x:c r="W17" s="116" t="str">
        <x:v>Adresse/Kontakt geprüft; numerische Hauskoordinate noch nicht separat verifiziert</x:v>
      </x:c>
      <x:c r="X17" s="116" t="str">
        <x:v>Kartenpunkt – Adresse geprüft</x:v>
      </x:c>
      <x:c r="Y17" s="116" t="str">
        <x:v>Technik 4.4.x – Neuaufnahme</x:v>
      </x:c>
      <x:c r="Z17" s="116" t="str"/>
      <x:c r="AA17" s="116" t="str">
        <x:v>https://www.barth-maschinenbau.de/</x:v>
      </x:c>
      <x:c r="AB17" s="116" t="str"/>
      <x:c r="AC17" s="116" t="str">
        <x:v>2026-08-30</x:v>
      </x:c>
      <x:c r="AD17" s="116" t="str">
        <x:v>Gerhard-Meister-Straße 5, 83342 Tacherting, Deutschland</x:v>
      </x:c>
      <x:c r="AE17" s="116" t="str">
        <x:v>Standort verifiziert.</x:v>
      </x:c>
    </x:row>
    <x:row r="18">
      <x:c r="A18" s="116" t="str">
        <x:v>T-014</x:v>
      </x:c>
      <x:c r="B18" s="116" t="str">
        <x:v>BeeWaTec AG</x:v>
      </x:c>
      <x:c r="C18" s="116" t="str">
        <x:v>Aufnehmen</x:v>
      </x:c>
      <x:c r="D18" s="116" t="str">
        <x:v>A</x:v>
      </x:c>
      <x:c r="E18" s="116" t="str">
        <x:v>Technische Arbeitsplatzanpassung</x:v>
      </x:c>
      <x:c r="F18" s="116" t="str">
        <x:v>Montagearbeitsplatz; Hubsystem; Materialbereitstellung; Durchlaufregal; ESD; Schwenkarm</x:v>
      </x:c>
      <x:c r="G18" s="116" t="str">
        <x:v>Technischer Umsetzer / Arbeitsplatzsysteme</x:v>
      </x:c>
      <x:c r="H18" s="116" t="str">
        <x:v>Kunstmühlestraße 16</x:v>
      </x:c>
      <x:c r="I18" s="116" t="str">
        <x:v>72793</x:v>
      </x:c>
      <x:c r="J18" s="116" t="str">
        <x:v>Pfullingen</x:v>
      </x:c>
      <x:c r="K18" s="116" t="str">
        <x:v>Baden-Württemberg</x:v>
      </x:c>
      <x:c r="L18" s="116" t="str">
        <x:v>Deutschland</x:v>
      </x:c>
      <x:c r="M18" s="116" t="str">
        <x:v>+49 7121 628716-0</x:v>
      </x:c>
      <x:c r="N18" s="116" t="str"/>
      <x:c r="O18" s="116" t="str">
        <x:v>info@beewatec.de</x:v>
      </x:c>
      <x:c r="P18" s="116" t="str">
        <x:v>https://www.beewatec.com/de/lean-loesungen/arbeitsplatzsysteme/</x:v>
      </x:c>
      <x:c r="Q18" s="116" t="str"/>
      <x:c r="R18" s="116" t="str">
        <x:v>Montagearbeitsplatz; Hubsystem; Materialbereitstellung; Durchlaufregal; ESD; Schwenkarm | Individuelle ergonomische Montage-, Pack- und Kontrollarbeitsplätze mit modularer Materialbereitstellung.</x:v>
      </x:c>
      <x:c r="S18" s="116" t="str">
        <x:v>nicht spezifisch belegt</x:v>
      </x:c>
      <x:c r="T18" s="116" t="str">
        <x:v>regional + projektbezogen überregional</x:v>
      </x:c>
      <x:c r="U18" s="135"/>
      <x:c r="V18" s="135"/>
      <x:c r="W18" s="116" t="str">
        <x:v>Adresse/Kontakt geprüft; numerische Hauskoordinate noch nicht separat verifiziert</x:v>
      </x:c>
      <x:c r="X18" s="116" t="str">
        <x:v>Kartenpunkt – Adresse geprüft</x:v>
      </x:c>
      <x:c r="Y18" s="116" t="str">
        <x:v>Technik 4.4.x – Neuaufnahme</x:v>
      </x:c>
      <x:c r="Z18" s="116" t="str"/>
      <x:c r="AA18" s="116" t="str">
        <x:v>https://www.beewatec.com/de/</x:v>
      </x:c>
      <x:c r="AB18" s="116" t="str"/>
      <x:c r="AC18" s="116" t="str">
        <x:v>2026-08-30</x:v>
      </x:c>
      <x:c r="AD18" s="116" t="str">
        <x:v>Kunstmühlestraße 16, 72793 Pfullingen, Deutschland</x:v>
      </x:c>
      <x:c r="AE18" s="116" t="str">
        <x:v>Standort verifiziert.</x:v>
      </x:c>
    </x:row>
    <x:row r="19">
      <x:c r="A19" s="116" t="str">
        <x:v>T-015</x:v>
      </x:c>
      <x:c r="B19" s="116" t="str">
        <x:v>bott GmbH &amp; Co. KG</x:v>
      </x:c>
      <x:c r="C19" s="116" t="str">
        <x:v>Aufnehmen</x:v>
      </x:c>
      <x:c r="D19" s="116" t="str">
        <x:v>A</x:v>
      </x:c>
      <x:c r="E19" s="116" t="str">
        <x:v>Technische Arbeitsplatzanpassung</x:v>
      </x:c>
      <x:c r="F19" s="116" t="str">
        <x:v>Montage-/Prüfarbeitsplatz; Werkstatteinrichtung; Material-/Werkzeugbereitstellung</x:v>
      </x:c>
      <x:c r="G19" s="116" t="str">
        <x:v>Technischer Umsetzer / Arbeitsplatzsysteme</x:v>
      </x:c>
      <x:c r="H19" s="116" t="str">
        <x:v>Bahnstraße 17</x:v>
      </x:c>
      <x:c r="I19" s="116" t="str">
        <x:v>74405</x:v>
      </x:c>
      <x:c r="J19" s="116" t="str">
        <x:v>Gaildorf</x:v>
      </x:c>
      <x:c r="K19" s="116" t="str">
        <x:v>Baden-Württemberg</x:v>
      </x:c>
      <x:c r="L19" s="116" t="str">
        <x:v>Deutschland</x:v>
      </x:c>
      <x:c r="M19" s="116" t="str">
        <x:v>+49 7971 251-0</x:v>
      </x:c>
      <x:c r="N19" s="116" t="str"/>
      <x:c r="O19" s="116" t="str">
        <x:v>info@bott.de</x:v>
      </x:c>
      <x:c r="P19" s="116" t="str">
        <x:v>https://www.bott.de/</x:v>
      </x:c>
      <x:c r="Q19" s="116" t="str"/>
      <x:c r="R19" s="116" t="str">
        <x:v>Montage-/Prüfarbeitsplatz; Werkstatteinrichtung; Material-/Werkzeugbereitstellung | Als industrieller Umsetzer führen, nicht als unabhängigen Reha-Gutachter.</x:v>
      </x:c>
      <x:c r="S19" s="116" t="str">
        <x:v>nicht spezifisch belegt</x:v>
      </x:c>
      <x:c r="T19" s="116" t="str">
        <x:v>regional + projektbezogen überregional</x:v>
      </x:c>
      <x:c r="U19" s="135"/>
      <x:c r="V19" s="135"/>
      <x:c r="W19" s="116" t="str">
        <x:v>Adresse/Kontakt geprüft; numerische Hauskoordinate noch nicht separat verifiziert</x:v>
      </x:c>
      <x:c r="X19" s="116" t="str">
        <x:v>Kartenpunkt – Adresse geprüft</x:v>
      </x:c>
      <x:c r="Y19" s="116" t="str">
        <x:v>Technik 4.4.x – Neuaufnahme</x:v>
      </x:c>
      <x:c r="Z19" s="116" t="str"/>
      <x:c r="AA19" s="116" t="str">
        <x:v>https://www.bott.de/</x:v>
      </x:c>
      <x:c r="AB19" s="116" t="str"/>
      <x:c r="AC19" s="116" t="str">
        <x:v>2026-08-30</x:v>
      </x:c>
      <x:c r="AD19" s="116" t="str">
        <x:v>Bahnstraße 17, 74405 Gaildorf, Deutschland</x:v>
      </x:c>
      <x:c r="AE19" s="116" t="str">
        <x:v>Standort verifiziert.</x:v>
      </x:c>
    </x:row>
    <x:row r="20">
      <x:c r="A20" s="116" t="str">
        <x:v>T-016</x:v>
      </x:c>
      <x:c r="B20" s="116" t="str">
        <x:v>Blickle Räder+Rollen GmbH u. Co. KG / ErgoMove</x:v>
      </x:c>
      <x:c r="C20" s="116" t="str">
        <x:v>Aufnehmen</x:v>
      </x:c>
      <x:c r="D20" s="116" t="str">
        <x:v>A</x:v>
      </x:c>
      <x:c r="E20" s="116" t="str">
        <x:v>Technische Arbeitsplatzanpassung</x:v>
      </x:c>
      <x:c r="F20" s="116" t="str">
        <x:v>Elektrische Transporthilfe; Nachrüstung Transportwagen; Fahr-/Lenkhilfe</x:v>
      </x:c>
      <x:c r="G20" s="116" t="str">
        <x:v>Technischer Umsetzer / Materialtransport</x:v>
      </x:c>
      <x:c r="H20" s="116" t="str">
        <x:v>Heinrich-Blickle-Straße 1</x:v>
      </x:c>
      <x:c r="I20" s="116" t="str">
        <x:v>72348</x:v>
      </x:c>
      <x:c r="J20" s="116" t="str">
        <x:v>Rosenfeld</x:v>
      </x:c>
      <x:c r="K20" s="116" t="str">
        <x:v>Baden-Württemberg</x:v>
      </x:c>
      <x:c r="L20" s="116" t="str">
        <x:v>Deutschland</x:v>
      </x:c>
      <x:c r="M20" s="116" t="str">
        <x:v>+49 7428 932-8000</x:v>
      </x:c>
      <x:c r="N20" s="116" t="str"/>
      <x:c r="O20" s="116" t="str">
        <x:v>ergomove@blickle.com</x:v>
      </x:c>
      <x:c r="P20" s="116" t="str">
        <x:v>https://www.blickle.com/ergomove</x:v>
      </x:c>
      <x:c r="Q20" s="116" t="str"/>
      <x:c r="R20" s="116" t="str">
        <x:v>Elektrische Transporthilfe; Nachrüstung Transportwagen; Fahr-/Lenkhilfe | Sehr interessant bei reduzierter Schiebe-/Zugkraft; vorhandene Wagen können elektrisch unterstützt werden.</x:v>
      </x:c>
      <x:c r="S20" s="116" t="str">
        <x:v>nicht spezifisch belegt</x:v>
      </x:c>
      <x:c r="T20" s="116" t="str">
        <x:v>regional + projektbezogen überregional</x:v>
      </x:c>
      <x:c r="U20" s="135"/>
      <x:c r="V20" s="135"/>
      <x:c r="W20" s="116" t="str">
        <x:v>Adresse/Kontakt geprüft; numerische Hauskoordinate noch nicht separat verifiziert</x:v>
      </x:c>
      <x:c r="X20" s="116" t="str">
        <x:v>Kartenpunkt – Adresse geprüft</x:v>
      </x:c>
      <x:c r="Y20" s="116" t="str">
        <x:v>Technik 4.4.x – Neuaufnahme</x:v>
      </x:c>
      <x:c r="Z20" s="116" t="str"/>
      <x:c r="AA20" s="116" t="str">
        <x:v>https://www.blickle.com/ergomove</x:v>
      </x:c>
      <x:c r="AB20" s="116" t="str"/>
      <x:c r="AC20" s="116" t="str">
        <x:v>2026-08-30</x:v>
      </x:c>
      <x:c r="AD20" s="116" t="str">
        <x:v>Heinrich-Blickle-Straße 1, 72348 Rosenfeld, Deutschland</x:v>
      </x:c>
      <x:c r="AE20" s="116" t="str">
        <x:v>ErgoMove-Fachkontakt verifiziert.</x:v>
      </x:c>
    </x:row>
    <x:row r="21">
      <x:c r="A21" s="116" t="str">
        <x:v>T-017</x:v>
      </x:c>
      <x:c r="B21" s="116" t="str">
        <x:v>Carl Stahl / Kromer</x:v>
      </x:c>
      <x:c r="C21" s="116" t="str">
        <x:v>Aufnehmen</x:v>
      </x:c>
      <x:c r="D21" s="116" t="str">
        <x:v>A</x:v>
      </x:c>
      <x:c r="E21" s="116" t="str">
        <x:v>Technische Arbeitsplatzanpassung</x:v>
      </x:c>
      <x:c r="F21" s="116" t="str">
        <x:v>Werkzeugbalancer; Federzug; Gewichtsausgleicher; Arbeitsplatzanalyse</x:v>
      </x:c>
      <x:c r="G21" s="116" t="str">
        <x:v>Technischer Umsetzer / Werkzeugentlastung</x:v>
      </x:c>
      <x:c r="H21" s="116" t="str">
        <x:v>Tobelstraße 2</x:v>
      </x:c>
      <x:c r="I21" s="116" t="str">
        <x:v>73079</x:v>
      </x:c>
      <x:c r="J21" s="116" t="str">
        <x:v>Süßen</x:v>
      </x:c>
      <x:c r="K21" s="116" t="str">
        <x:v>Baden-Württemberg</x:v>
      </x:c>
      <x:c r="L21" s="116" t="str">
        <x:v>Deutschland</x:v>
      </x:c>
      <x:c r="M21" s="116" t="str">
        <x:v>+49 7162 4007-1000</x:v>
      </x:c>
      <x:c r="N21" s="116" t="str"/>
      <x:c r="O21" s="116" t="str">
        <x:v>carlstahl@carlstahl.com</x:v>
      </x:c>
      <x:c r="P21" s="116" t="str">
        <x:v>https://www.carlstahl.com/de/de/loesungen/federzuege-und-balancer-fuer-ergonomische-werkzeugfuehrung</x:v>
      </x:c>
      <x:c r="Q21" s="116" t="str"/>
      <x:c r="R21" s="116" t="str">
        <x:v>Werkzeugbalancer; Federzug; Gewichtsausgleicher; Arbeitsplatzanalyse | Besonders relevant für Winkelschleifer, Schrauber und andere schwere Handwerkzeuge.</x:v>
      </x:c>
      <x:c r="S21" s="116" t="str">
        <x:v>nicht spezifisch belegt</x:v>
      </x:c>
      <x:c r="T21" s="116" t="str">
        <x:v>überregional / bundesweit projektbezogen</x:v>
      </x:c>
      <x:c r="U21" s="135"/>
      <x:c r="V21" s="135"/>
      <x:c r="W21" s="116" t="str">
        <x:v>Adresse/Kontakt geprüft; numerische Hauskoordinate noch nicht separat verifiziert</x:v>
      </x:c>
      <x:c r="X21" s="116" t="str">
        <x:v>Kartenpunkt – Adresse geprüft</x:v>
      </x:c>
      <x:c r="Y21" s="116" t="str">
        <x:v>Technik 4.4.x – Neuaufnahme</x:v>
      </x:c>
      <x:c r="Z21" s="116" t="str"/>
      <x:c r="AA21" s="116" t="str">
        <x:v>https://www.carlstahl.com/</x:v>
      </x:c>
      <x:c r="AB21" s="116" t="str"/>
      <x:c r="AC21" s="116" t="str">
        <x:v>2026-08-30</x:v>
      </x:c>
      <x:c r="AD21" s="116" t="str">
        <x:v>Tobelstraße 2, 73079 Süßen, Deutschland</x:v>
      </x:c>
      <x:c r="AE21" s="116" t="str">
        <x:v>Standort verifiziert; überregional einsetzbar.</x:v>
      </x:c>
    </x:row>
    <x:row r="22">
      <x:c r="A22" s="116" t="str">
        <x:v>T-018</x:v>
      </x:c>
      <x:c r="B22" s="116" t="str">
        <x:v>German Tools GmbH</x:v>
      </x:c>
      <x:c r="C22" s="116" t="str">
        <x:v>Aufnehmen</x:v>
      </x:c>
      <x:c r="D22" s="116" t="str">
        <x:v>A</x:v>
      </x:c>
      <x:c r="E22" s="116" t="str">
        <x:v>Technische Arbeitsplatzanpassung</x:v>
      </x:c>
      <x:c r="F22" s="116" t="str">
        <x:v>Drehmomentarm; Balancer; Positionsüberwachung; ergonomischer Schraubplatz</x:v>
      </x:c>
      <x:c r="G22" s="116" t="str">
        <x:v>Technischer Umsetzer / Schraubarbeitsplätze</x:v>
      </x:c>
      <x:c r="H22" s="116" t="str">
        <x:v>Boschstraße 3</x:v>
      </x:c>
      <x:c r="I22" s="116" t="str">
        <x:v>59609</x:v>
      </x:c>
      <x:c r="J22" s="116" t="str">
        <x:v>Anröchte</x:v>
      </x:c>
      <x:c r="K22" s="116" t="str">
        <x:v>Nordrhein-Westfalen</x:v>
      </x:c>
      <x:c r="L22" s="116" t="str">
        <x:v>Deutschland</x:v>
      </x:c>
      <x:c r="M22" s="116" t="str">
        <x:v>+49 2947 6569960</x:v>
      </x:c>
      <x:c r="N22" s="116" t="str"/>
      <x:c r="O22" s="116" t="str">
        <x:v>info@germantools-gmbh.de</x:v>
      </x:c>
      <x:c r="P22" s="116" t="str">
        <x:v>https://www.germantools-gmbh.de/</x:v>
      </x:c>
      <x:c r="Q22" s="116" t="str"/>
      <x:c r="R22" s="116" t="str">
        <x:v>Drehmomentarm; Balancer; Positionsüberwachung; ergonomischer Schraubplatz | Spezialist für ergonomische Schraub- und Montageplätze; bundesweit einsetzbar.</x:v>
      </x:c>
      <x:c r="S22" s="116" t="str">
        <x:v>nicht spezifisch belegt</x:v>
      </x:c>
      <x:c r="T22" s="116" t="str">
        <x:v>überregional / bundesweit projektbezogen</x:v>
      </x:c>
      <x:c r="U22" s="135"/>
      <x:c r="V22" s="135"/>
      <x:c r="W22" s="116" t="str">
        <x:v>Adresse/Kontakt geprüft; numerische Hauskoordinate noch nicht separat verifiziert</x:v>
      </x:c>
      <x:c r="X22" s="116" t="str">
        <x:v>Kartenpunkt – Adresse geprüft</x:v>
      </x:c>
      <x:c r="Y22" s="116" t="str">
        <x:v>Technik 4.4.x – Neuaufnahme</x:v>
      </x:c>
      <x:c r="Z22" s="116" t="str"/>
      <x:c r="AA22" s="116" t="str">
        <x:v>https://www.germantools-gmbh.de/</x:v>
      </x:c>
      <x:c r="AB22" s="116" t="str"/>
      <x:c r="AC22" s="116" t="str">
        <x:v>2026-08-30</x:v>
      </x:c>
      <x:c r="AD22" s="116" t="str">
        <x:v>Boschstraße 3, 59609 Anröchte, Deutschland</x:v>
      </x:c>
      <x:c r="AE22" s="116" t="str">
        <x:v>Aktuelle Adresse; Umzug seit 2025 berücksichtigt.</x:v>
      </x:c>
    </x:row>
    <x:row r="23">
      <x:c r="A23" s="116" t="str">
        <x:v>T-019</x:v>
      </x:c>
      <x:c r="B23" s="116" t="str">
        <x:v>Atlas Copco Industrial Technique</x:v>
      </x:c>
      <x:c r="C23" s="116" t="str">
        <x:v>Aufnehmen</x:v>
      </x:c>
      <x:c r="D23" s="116" t="str">
        <x:v>A</x:v>
      </x:c>
      <x:c r="E23" s="116" t="str">
        <x:v>Technische Arbeitsplatzanpassung</x:v>
      </x:c>
      <x:c r="F23" s="116" t="str">
        <x:v>Drehmomentarm; Werkzeugführung; Schraubtechnik; Montageassistenz</x:v>
      </x:c>
      <x:c r="G23" s="116" t="str">
        <x:v>Technischer Umsetzer / Montagewerkzeuge</x:v>
      </x:c>
      <x:c r="H23" s="116" t="str">
        <x:v>Wetterschacht 9</x:v>
      </x:c>
      <x:c r="I23" s="116" t="str">
        <x:v>45139</x:v>
      </x:c>
      <x:c r="J23" s="116" t="str">
        <x:v>Essen</x:v>
      </x:c>
      <x:c r="K23" s="116" t="str">
        <x:v>Nordrhein-Westfalen</x:v>
      </x:c>
      <x:c r="L23" s="116" t="str">
        <x:v>Deutschland</x:v>
      </x:c>
      <x:c r="M23" s="116" t="str">
        <x:v>+49 201 2177-0</x:v>
      </x:c>
      <x:c r="N23" s="116" t="str"/>
      <x:c r="O23" s="116" t="str">
        <x:v>tools.de@atlascopco.com</x:v>
      </x:c>
      <x:c r="P23" s="116" t="str">
        <x:v>https://www.atlascopco.com/de-de/itba</x:v>
      </x:c>
      <x:c r="Q23" s="116" t="str"/>
      <x:c r="R23" s="116" t="str">
        <x:v>Drehmomentarm; Werkzeugführung; Schraubtechnik; Montageassistenz | Ergonomische Lösung für Reaktionskräfte von Schraubern; Standortbezogene Beratung bei Bedarf ergänzen.</x:v>
      </x:c>
      <x:c r="S23" s="116" t="str">
        <x:v>nicht spezifisch belegt</x:v>
      </x:c>
      <x:c r="T23" s="116" t="str">
        <x:v>überregional / bundesweit projektbezogen</x:v>
      </x:c>
      <x:c r="U23" s="135"/>
      <x:c r="V23" s="135"/>
      <x:c r="W23" s="116" t="str">
        <x:v>Adresse/Kontakt geprüft; numerische Hauskoordinate noch nicht separat verifiziert</x:v>
      </x:c>
      <x:c r="X23" s="116" t="str">
        <x:v>Kartenpunkt – Adresse geprüft</x:v>
      </x:c>
      <x:c r="Y23" s="116" t="str">
        <x:v>Technik 4.4.x – Neuaufnahme</x:v>
      </x:c>
      <x:c r="Z23" s="116" t="str"/>
      <x:c r="AA23" s="116" t="str">
        <x:v>https://www.atlascopco.com/de-de/itba</x:v>
      </x:c>
      <x:c r="AB23" s="116" t="str"/>
      <x:c r="AC23" s="116" t="str">
        <x:v>2026-08-30</x:v>
      </x:c>
      <x:c r="AD23" s="116" t="str">
        <x:v>Wetterschacht 9, 45139 Essen, Deutschland</x:v>
      </x:c>
      <x:c r="AE23" s="116" t="str">
        <x:v>Deutscher Industrial-Technique-Standort; Leistungsgebiet überregional.</x:v>
      </x:c>
    </x:row>
    <x:row r="24">
      <x:c r="A24" s="116" t="str">
        <x:v>T-020</x:v>
      </x:c>
      <x:c r="B24" s="116" t="str">
        <x:v>Bimos / Interstuhl Group</x:v>
      </x:c>
      <x:c r="C24" s="116" t="str">
        <x:v>Aufnehmen</x:v>
      </x:c>
      <x:c r="D24" s="116" t="str">
        <x:v>A</x:v>
      </x:c>
      <x:c r="E24" s="116" t="str">
        <x:v>Technische Arbeitsplatzanpassung</x:v>
      </x:c>
      <x:c r="F24" s="116" t="str">
        <x:v>Industriesitz; Stehhilfe; Sitz-Steh-Lösung; ESD-Sitzlösung</x:v>
      </x:c>
      <x:c r="G24" s="116" t="str">
        <x:v>Technischer Umsetzer / Industrie-Sitzlösungen</x:v>
      </x:c>
      <x:c r="H24" s="116" t="str">
        <x:v>Brühlstraße 21</x:v>
      </x:c>
      <x:c r="I24" s="116" t="str">
        <x:v>72469</x:v>
      </x:c>
      <x:c r="J24" s="116" t="str">
        <x:v>Meßstetten-Tieringen</x:v>
      </x:c>
      <x:c r="K24" s="116" t="str">
        <x:v>Baden-Württemberg</x:v>
      </x:c>
      <x:c r="L24" s="116" t="str">
        <x:v>Deutschland</x:v>
      </x:c>
      <x:c r="M24" s="116" t="str">
        <x:v>+49 7436 871-0</x:v>
      </x:c>
      <x:c r="N24" s="116" t="str"/>
      <x:c r="O24" s="116" t="str">
        <x:v>info@bimos.de</x:v>
      </x:c>
      <x:c r="P24" s="116" t="str">
        <x:v>https://www.bimos.com/de-de/produkte/industriestuehle</x:v>
      </x:c>
      <x:c r="Q24" s="116" t="str"/>
      <x:c r="R24" s="116" t="str">
        <x:v>Industriesitz; Stehhilfe; Sitz-Steh-Lösung; ESD-Sitzlösung | Spezialisiert auf Produktion, Werkstatt und Montage; sinnvoll bei Rücken-/Bein-/Stehproblemen.</x:v>
      </x:c>
      <x:c r="S24" s="116" t="str">
        <x:v>nicht spezifisch belegt</x:v>
      </x:c>
      <x:c r="T24" s="116" t="str">
        <x:v>überregional / bundesweit projektbezogen</x:v>
      </x:c>
      <x:c r="U24" s="135"/>
      <x:c r="V24" s="135"/>
      <x:c r="W24" s="116" t="str">
        <x:v>Adresse/Kontakt geprüft; numerische Hauskoordinate noch nicht separat verifiziert</x:v>
      </x:c>
      <x:c r="X24" s="116" t="str">
        <x:v>Kartenpunkt – Adresse geprüft</x:v>
      </x:c>
      <x:c r="Y24" s="116" t="str">
        <x:v>Technik 4.4.x – Neuaufnahme</x:v>
      </x:c>
      <x:c r="Z24" s="116" t="str"/>
      <x:c r="AA24" s="116" t="str">
        <x:v>https://www.bimos.com/de-de/</x:v>
      </x:c>
      <x:c r="AB24" s="116" t="str"/>
      <x:c r="AC24" s="116" t="str">
        <x:v>2026-08-30</x:v>
      </x:c>
      <x:c r="AD24" s="116" t="str">
        <x:v>Brühlstraße 21, 72469 Meßstetten-Tieringen, Deutschland</x:v>
      </x:c>
      <x:c r="AE24" s="116" t="str">
        <x:v>Bimos/Interstuhl-Standort verifiziert.</x:v>
      </x:c>
    </x:row>
    <x:row r="25">
      <x:c r="A25" s="116" t="str">
        <x:v>T-021</x:v>
      </x:c>
      <x:c r="B25" s="116" t="str">
        <x:v>HUNIC GmbH</x:v>
      </x:c>
      <x:c r="C25" s="116" t="str">
        <x:v>Aufnehmen</x:v>
      </x:c>
      <x:c r="D25" s="116" t="str">
        <x:v>A</x:v>
      </x:c>
      <x:c r="E25" s="116" t="str">
        <x:v>Technische Arbeitsplatzanpassung</x:v>
      </x:c>
      <x:c r="F25" s="116" t="str">
        <x:v>Exoskelett; körpergetragene Assistenz; Vor-Ort-Demo</x:v>
      </x:c>
      <x:c r="G25" s="116" t="str">
        <x:v>Technischer Umsetzer / Exoskelett</x:v>
      </x:c>
      <x:c r="H25" s="116" t="str">
        <x:v>Bergerweg 51</x:v>
      </x:c>
      <x:c r="I25" s="116" t="str">
        <x:v>72270</x:v>
      </x:c>
      <x:c r="J25" s="116" t="str">
        <x:v>Baiersbronn</x:v>
      </x:c>
      <x:c r="K25" s="116" t="str">
        <x:v>Baden-Württemberg</x:v>
      </x:c>
      <x:c r="L25" s="116" t="str">
        <x:v>Deutschland</x:v>
      </x:c>
      <x:c r="M25" s="116" t="str">
        <x:v>+49 7442 608231</x:v>
      </x:c>
      <x:c r="N25" s="116" t="str"/>
      <x:c r="O25" s="116" t="str">
        <x:v>info@hunic.de</x:v>
      </x:c>
      <x:c r="P25" s="116" t="str">
        <x:v>https://www.hunic.com/</x:v>
      </x:c>
      <x:c r="Q25" s="116" t="str"/>
      <x:c r="R25" s="116" t="str">
        <x:v>Exoskelett; körpergetragene Assistenz; Vor-Ort-Demo | Nur als individuell zu prüfende Sonderlösung führen; nicht pauschal als Reha-Hilfsmittel empfehlen.</x:v>
      </x:c>
      <x:c r="S25" s="116" t="str">
        <x:v>nicht spezifisch belegt</x:v>
      </x:c>
      <x:c r="T25" s="116" t="str">
        <x:v>regional + projektbezogen überregional</x:v>
      </x:c>
      <x:c r="U25" s="135"/>
      <x:c r="V25" s="135"/>
      <x:c r="W25" s="116" t="str">
        <x:v>Adresse/Kontakt geprüft; numerische Hauskoordinate noch nicht separat verifiziert</x:v>
      </x:c>
      <x:c r="X25" s="116" t="str">
        <x:v>Kartenpunkt – Adresse geprüft</x:v>
      </x:c>
      <x:c r="Y25" s="116" t="str">
        <x:v>Technik 4.4.x – Neuaufnahme</x:v>
      </x:c>
      <x:c r="Z25" s="116" t="str"/>
      <x:c r="AA25" s="116" t="str">
        <x:v>https://www.hunic.com/</x:v>
      </x:c>
      <x:c r="AB25" s="116" t="str"/>
      <x:c r="AC25" s="116" t="str">
        <x:v>2026-08-30</x:v>
      </x:c>
      <x:c r="AD25" s="116" t="str">
        <x:v>Bergerweg 51, 72270 Baiersbronn, Deutschland</x:v>
      </x:c>
      <x:c r="AE25" s="116" t="str">
        <x:v>Standort verifiziert.</x:v>
      </x:c>
    </x:row>
    <x:row r="26">
      <x:c r="A26" s="116" t="str">
        <x:v>T-022</x:v>
      </x:c>
      <x:c r="B26" s="116" t="str">
        <x:v>hTRIUS GmbH</x:v>
      </x:c>
      <x:c r="C26" s="116" t="str">
        <x:v>Aufnehmen</x:v>
      </x:c>
      <x:c r="D26" s="116" t="str">
        <x:v>A</x:v>
      </x:c>
      <x:c r="E26" s="116" t="str">
        <x:v>Technische Arbeitsplatzanpassung</x:v>
      </x:c>
      <x:c r="F26" s="116" t="str">
        <x:v>Exoskelett; Rückenassistenz; Demo/Rollout</x:v>
      </x:c>
      <x:c r="G26" s="116" t="str">
        <x:v>Technischer Umsetzer / Exoskelett</x:v>
      </x:c>
      <x:c r="H26" s="116" t="str">
        <x:v>Junghansstraße 16</x:v>
      </x:c>
      <x:c r="I26" s="116" t="str">
        <x:v>72160</x:v>
      </x:c>
      <x:c r="J26" s="116" t="str">
        <x:v>Horb am Neckar</x:v>
      </x:c>
      <x:c r="K26" s="116" t="str">
        <x:v>Baden-Württemberg</x:v>
      </x:c>
      <x:c r="L26" s="116" t="str">
        <x:v>Deutschland</x:v>
      </x:c>
      <x:c r="M26" s="116" t="str">
        <x:v>+49 7451 5391551</x:v>
      </x:c>
      <x:c r="N26" s="116" t="str"/>
      <x:c r="O26" s="116" t="str">
        <x:v>info@htrius.com</x:v>
      </x:c>
      <x:c r="P26" s="116" t="str">
        <x:v>https://www.htrius.com/</x:v>
      </x:c>
      <x:c r="Q26" s="116" t="str"/>
      <x:c r="R26" s="116" t="str">
        <x:v>Exoskelett; Rückenassistenz; Demo/Rollout | Eignung im Einzelfall prüfen; sinnvoll als Option bei belastenden Hebe-/Beugebewegungen.</x:v>
      </x:c>
      <x:c r="S26" s="116" t="str">
        <x:v>nicht spezifisch belegt</x:v>
      </x:c>
      <x:c r="T26" s="116" t="str">
        <x:v>regional + projektbezogen überregional</x:v>
      </x:c>
      <x:c r="U26" s="135"/>
      <x:c r="V26" s="135"/>
      <x:c r="W26" s="116" t="str">
        <x:v>Adresse/Kontakt geprüft; numerische Hauskoordinate noch nicht separat verifiziert</x:v>
      </x:c>
      <x:c r="X26" s="116" t="str">
        <x:v>Kartenpunkt – Adresse geprüft</x:v>
      </x:c>
      <x:c r="Y26" s="116" t="str">
        <x:v>Technik 4.4.x – Neuaufnahme</x:v>
      </x:c>
      <x:c r="Z26" s="116" t="str"/>
      <x:c r="AA26" s="116" t="str">
        <x:v>https://www.htrius.com/</x:v>
      </x:c>
      <x:c r="AB26" s="116" t="str"/>
      <x:c r="AC26" s="116" t="str">
        <x:v>2026-08-30</x:v>
      </x:c>
      <x:c r="AD26" s="116" t="str">
        <x:v>Junghansstraße 16, 72160 Horb am Neckar, Deutschland</x:v>
      </x:c>
      <x:c r="AE26" s="116" t="str">
        <x:v>Aktuelle Adresse nach Adressänderung 2025 verifiziert.</x:v>
      </x:c>
    </x:row>
    <x:row r="27">
      <x:c r="A27" s="116" t="str">
        <x:v>T-023</x:v>
      </x:c>
      <x:c r="B27" s="116" t="str">
        <x:v>HDC Huttelmaier Retrofit</x:v>
      </x:c>
      <x:c r="C27" s="116" t="str">
        <x:v>Aufnehmen</x:v>
      </x:c>
      <x:c r="D27" s="116" t="str">
        <x:v>A</x:v>
      </x:c>
      <x:c r="E27" s="116" t="str">
        <x:v>Technische Arbeitsplatzanpassung</x:v>
      </x:c>
      <x:c r="F27" s="116" t="str">
        <x:v>Maschinenretrofit; Steuerungsumbau; Bedienpult; Elektrik/Schaltschrank; Schutzeinrichtung</x:v>
      </x:c>
      <x:c r="G27" s="116" t="str">
        <x:v>Technischer Umsetzer / Maschinenretrofit</x:v>
      </x:c>
      <x:c r="H27" s="116" t="str">
        <x:v>Winterbacher Straße 66</x:v>
      </x:c>
      <x:c r="I27" s="116" t="str">
        <x:v>73614</x:v>
      </x:c>
      <x:c r="J27" s="116" t="str">
        <x:v>Schorndorf</x:v>
      </x:c>
      <x:c r="K27" s="116" t="str">
        <x:v>Baden-Württemberg</x:v>
      </x:c>
      <x:c r="L27" s="116" t="str">
        <x:v>Deutschland</x:v>
      </x:c>
      <x:c r="M27" s="116" t="str">
        <x:v>+49 7181 97868-0</x:v>
      </x:c>
      <x:c r="N27" s="116" t="str"/>
      <x:c r="O27" s="116" t="str">
        <x:v>vertrieb@huttelmaier.de</x:v>
      </x:c>
      <x:c r="P27" s="116" t="str">
        <x:v>https://retrofit.de/</x:v>
      </x:c>
      <x:c r="Q27" s="116" t="str"/>
      <x:c r="R27" s="116" t="str">
        <x:v>Maschinenretrofit; Steuerungsumbau; Bedienpult; Elektrik/Schaltschrank; Schutzeinrichtung | Als Umsetzer für projektbezogene Bedienungsänderung führen; Reha-Spezialisierung vor Auftrag prüfen.</x:v>
      </x:c>
      <x:c r="S27" s="116" t="str">
        <x:v>nicht spezifisch belegt</x:v>
      </x:c>
      <x:c r="T27" s="116" t="str">
        <x:v>regional + projektbezogen überregional</x:v>
      </x:c>
      <x:c r="U27" s="135"/>
      <x:c r="V27" s="135"/>
      <x:c r="W27" s="116" t="str">
        <x:v>Adresse/Kontakt geprüft; numerische Hauskoordinate noch nicht separat verifiziert</x:v>
      </x:c>
      <x:c r="X27" s="116" t="str">
        <x:v>Kartenpunkt – Adresse geprüft</x:v>
      </x:c>
      <x:c r="Y27" s="116" t="str">
        <x:v>Technik 4.4.x – Neuaufnahme</x:v>
      </x:c>
      <x:c r="Z27" s="116" t="str"/>
      <x:c r="AA27" s="116" t="str">
        <x:v>https://retrofit.de/</x:v>
      </x:c>
      <x:c r="AB27" s="116" t="str"/>
      <x:c r="AC27" s="116" t="str">
        <x:v>2026-08-30</x:v>
      </x:c>
      <x:c r="AD27" s="116" t="str">
        <x:v>Winterbacher Straße 66, 73614 Schorndorf, Deutschland</x:v>
      </x:c>
      <x:c r="AE27" s="116" t="str">
        <x:v>Standort verifiziert.</x:v>
      </x:c>
    </x:row>
    <x:row r="28">
      <x:c r="A28" s="116" t="str">
        <x:v>T-024</x:v>
      </x:c>
      <x:c r="B28" s="116" t="str">
        <x:v>SPS Automation GmbH</x:v>
      </x:c>
      <x:c r="C28" s="116" t="str">
        <x:v>Aufnehmen</x:v>
      </x:c>
      <x:c r="D28" s="116" t="str">
        <x:v>A</x:v>
      </x:c>
      <x:c r="E28" s="116" t="str">
        <x:v>Technische Arbeitsplatzanpassung</x:v>
      </x:c>
      <x:c r="F28" s="116" t="str">
        <x:v>SPS-/Steuerungsumbau; Schaltschrank; Bedienung; Retrofit; Inbetriebnahme</x:v>
      </x:c>
      <x:c r="G28" s="116" t="str">
        <x:v>Technischer Umsetzer / Maschinenretrofit</x:v>
      </x:c>
      <x:c r="H28" s="116" t="str">
        <x:v>Langen-Morgenstraße 17</x:v>
      </x:c>
      <x:c r="I28" s="116" t="str">
        <x:v>69488</x:v>
      </x:c>
      <x:c r="J28" s="116" t="str">
        <x:v>Birkenau</x:v>
      </x:c>
      <x:c r="K28" s="116" t="str">
        <x:v>Hessen</x:v>
      </x:c>
      <x:c r="L28" s="116" t="str">
        <x:v>Deutschland</x:v>
      </x:c>
      <x:c r="M28" s="116" t="str">
        <x:v>+49 6209 725749</x:v>
      </x:c>
      <x:c r="N28" s="116" t="str"/>
      <x:c r="O28" s="116" t="str">
        <x:v>info@sps-automation.de</x:v>
      </x:c>
      <x:c r="P28" s="116" t="str">
        <x:v>https://sps-automation.de/dienstleistungen/retrofit.html</x:v>
      </x:c>
      <x:c r="Q28" s="116" t="str"/>
      <x:c r="R28" s="116" t="str">
        <x:v>SPS-/Steuerungsumbau; Schaltschrank; Bedienung; Retrofit; Inbetriebnahme | Regional sehr interessant: Ist-Analyse, Umbau, Montage vor Ort, Inbetriebnahme und Schulung.</x:v>
      </x:c>
      <x:c r="S28" s="116" t="str">
        <x:v>nicht spezifisch belegt</x:v>
      </x:c>
      <x:c r="T28" s="116" t="str">
        <x:v>regional + projektbezogen überregional</x:v>
      </x:c>
      <x:c r="U28" s="135"/>
      <x:c r="V28" s="135"/>
      <x:c r="W28" s="116" t="str">
        <x:v>Adresse aktuell widersprüchlich; vor finaler Geocodierung manuell bestätigen</x:v>
      </x:c>
      <x:c r="X28" s="116" t="str">
        <x:v>Kartenpunkt – Geo-Warnung</x:v>
      </x:c>
      <x:c r="Y28" s="116" t="str">
        <x:v>Technik 4.4.x – Neuaufnahme</x:v>
      </x:c>
      <x:c r="Z28" s="116" t="str"/>
      <x:c r="AA28" s="116" t="str">
        <x:v>https://sps-automation.de/</x:v>
      </x:c>
      <x:c r="AB28" s="116" t="str"/>
      <x:c r="AC28" s="116" t="str">
        <x:v>2026-08-30</x:v>
      </x:c>
      <x:c r="AD28" s="116" t="str">
        <x:v>Langen-Morgenstraße 17, 69488 Birkenau, Deutschland</x:v>
      </x:c>
      <x:c r="AE28" s="116" t="str">
        <x:v>Website nennt operativ Nr. 17; Impressum enthält zugleich Nr. 19. Vor produktivem Geocode einmal manuell gegenprüfen.</x:v>
      </x:c>
    </x:row>
    <x:row r="29">
      <x:c r="A29" s="116" t="str">
        <x:v>T-025</x:v>
      </x:c>
      <x:c r="B29" s="116" t="str">
        <x:v>NEFF-Pressen / Röcher GmbH &amp; Co. KG</x:v>
      </x:c>
      <x:c r="C29" s="116" t="str">
        <x:v>Aufnehmen</x:v>
      </x:c>
      <x:c r="D29" s="116" t="str">
        <x:v>A</x:v>
      </x:c>
      <x:c r="E29" s="116" t="str">
        <x:v>Technische Arbeitsplatzanpassung</x:v>
      </x:c>
      <x:c r="F29" s="116" t="str">
        <x:v>Retrofit; Touch-/Bedienpult; Taster/Schalter; I/O; Sicherheit; Zuführ-/Robotiklösung</x:v>
      </x:c>
      <x:c r="G29" s="116" t="str">
        <x:v>Technischer Umsetzer / Pressenretrofit</x:v>
      </x:c>
      <x:c r="H29" s="116" t="str">
        <x:v>In den Kuhwiesen 4</x:v>
      </x:c>
      <x:c r="I29" s="116" t="str">
        <x:v>76149</x:v>
      </x:c>
      <x:c r="J29" s="116" t="str">
        <x:v>Karlsruhe</x:v>
      </x:c>
      <x:c r="K29" s="116" t="str">
        <x:v>Baden-Württemberg</x:v>
      </x:c>
      <x:c r="L29" s="116" t="str">
        <x:v>Deutschland</x:v>
      </x:c>
      <x:c r="M29" s="116" t="str">
        <x:v>+49 721 97828-0</x:v>
      </x:c>
      <x:c r="N29" s="116" t="str"/>
      <x:c r="O29" s="116" t="str"/>
      <x:c r="P29" s="116" t="str">
        <x:v>https://beflex.neff-pressen.de/retrofit.html</x:v>
      </x:c>
      <x:c r="Q29" s="116" t="str"/>
      <x:c r="R29" s="116" t="str">
        <x:v>Retrofit; Touch-/Bedienpult; Taster/Schalter; I/O; Sicherheit; Zuführ-/Robotiklösung | Besonders für konkrete Pressen-/Metallfälle interessant.</x:v>
      </x:c>
      <x:c r="S29" s="116" t="str">
        <x:v>nicht spezifisch belegt</x:v>
      </x:c>
      <x:c r="T29" s="116" t="str">
        <x:v>regional + projektbezogen überregional</x:v>
      </x:c>
      <x:c r="U29" s="135"/>
      <x:c r="V29" s="135"/>
      <x:c r="W29" s="116" t="str">
        <x:v>Adresse/Kontakt geprüft; numerische Hauskoordinate noch nicht separat verifiziert</x:v>
      </x:c>
      <x:c r="X29" s="116" t="str">
        <x:v>Kartenpunkt – Adresse geprüft</x:v>
      </x:c>
      <x:c r="Y29" s="116" t="str">
        <x:v>Technik 4.4.x – Neuaufnahme</x:v>
      </x:c>
      <x:c r="Z29" s="116" t="str"/>
      <x:c r="AA29" s="116" t="str">
        <x:v>https://neff-pressen.de/</x:v>
      </x:c>
      <x:c r="AB29" s="116" t="str"/>
      <x:c r="AC29" s="116" t="str">
        <x:v>2026-08-30</x:v>
      </x:c>
      <x:c r="AD29" s="116" t="str">
        <x:v>In den Kuhwiesen 4, 76149 Karlsruhe, Deutschland</x:v>
      </x:c>
      <x:c r="AE29" s="116" t="str">
        <x:v>Standort Werk 2/NEFF verifiziert. Kein allgemeines Funktionspostfach belastbar verifiziert; Websitekontakt verwenden.</x:v>
      </x:c>
    </x:row>
    <x:row r="30">
      <x:c r="A30" s="116" t="str">
        <x:v>T-026</x:v>
      </x:c>
      <x:c r="B30" s="116" t="str">
        <x:v>ANKO GmbH &amp; Co. KG</x:v>
      </x:c>
      <x:c r="C30" s="116" t="str">
        <x:v>Aufnehmen</x:v>
      </x:c>
      <x:c r="D30" s="116" t="str">
        <x:v>A</x:v>
      </x:c>
      <x:c r="E30" s="116" t="str">
        <x:v>Technische Arbeitsplatzanpassung</x:v>
      </x:c>
      <x:c r="F30" s="116" t="str">
        <x:v>Sondervorrichtung; Handling; Positionier-/Zentriertechnik; Schraubapplikation</x:v>
      </x:c>
      <x:c r="G30" s="116" t="str">
        <x:v>Technischer Umsetzer / Sondermaschinen &amp; Vorrichtungen</x:v>
      </x:c>
      <x:c r="H30" s="116" t="str">
        <x:v>Litzenhardtstraße 26</x:v>
      </x:c>
      <x:c r="I30" s="116" t="str">
        <x:v>76135</x:v>
      </x:c>
      <x:c r="J30" s="116" t="str">
        <x:v>Karlsruhe</x:v>
      </x:c>
      <x:c r="K30" s="116" t="str">
        <x:v>Baden-Württemberg</x:v>
      </x:c>
      <x:c r="L30" s="116" t="str">
        <x:v>Deutschland</x:v>
      </x:c>
      <x:c r="M30" s="116" t="str">
        <x:v>+49 721 26306-54</x:v>
      </x:c>
      <x:c r="N30" s="116" t="str"/>
      <x:c r="O30" s="116" t="str">
        <x:v>info@anko-karlsruhe.de</x:v>
      </x:c>
      <x:c r="P30" s="116" t="str">
        <x:v>https://anko-karlsruhe.de/</x:v>
      </x:c>
      <x:c r="Q30" s="116" t="str"/>
      <x:c r="R30" s="116" t="str">
        <x:v>Sondervorrichtung; Handling; Positionier-/Zentriertechnik; Schraubapplikation | Als technischer Umsetzer führen, nicht als unabhängigen Reha-Berater.</x:v>
      </x:c>
      <x:c r="S30" s="116" t="str">
        <x:v>nicht spezifisch belegt</x:v>
      </x:c>
      <x:c r="T30" s="116" t="str">
        <x:v>regional + projektbezogen überregional</x:v>
      </x:c>
      <x:c r="U30" s="135"/>
      <x:c r="V30" s="135"/>
      <x:c r="W30" s="116" t="str">
        <x:v>Adresse/Kontakt geprüft; numerische Hauskoordinate noch nicht separat verifiziert</x:v>
      </x:c>
      <x:c r="X30" s="116" t="str">
        <x:v>Kartenpunkt – Adresse geprüft</x:v>
      </x:c>
      <x:c r="Y30" s="116" t="str">
        <x:v>Technik 4.4.x – Neuaufnahme</x:v>
      </x:c>
      <x:c r="Z30" s="116" t="str"/>
      <x:c r="AA30" s="116" t="str">
        <x:v>https://anko-karlsruhe.de/kontakt/</x:v>
      </x:c>
      <x:c r="AB30" s="116" t="str"/>
      <x:c r="AC30" s="116" t="str">
        <x:v>2026-08-30</x:v>
      </x:c>
      <x:c r="AD30" s="116" t="str">
        <x:v>Litzenhardtstraße 26, 76135 Karlsruhe, Deutschland</x:v>
      </x:c>
      <x:c r="AE30" s="116" t="str">
        <x:v>Standort und aktuelle Kontaktdaten verifiziert.</x:v>
      </x:c>
    </x:row>
    <x:row r="31">
      <x:c r="A31" s="116" t="str">
        <x:v>T-027</x:v>
      </x:c>
      <x:c r="B31" s="116" t="str">
        <x:v>TINKA Handelsgesellschaft mbH</x:v>
      </x:c>
      <x:c r="C31" s="116" t="str">
        <x:v>Aufnehmen</x:v>
      </x:c>
      <x:c r="D31" s="116" t="str">
        <x:v>A</x:v>
      </x:c>
      <x:c r="E31" s="116" t="str">
        <x:v>Technische Arbeitsplatzanpassung</x:v>
      </x:c>
      <x:c r="F31" s="116" t="str">
        <x:v>Hebetechnik; Handhabungstechnik; Sonderkonstruktion; Montage</x:v>
      </x:c>
      <x:c r="G31" s="116" t="str">
        <x:v>Technischer Umsetzer / Hebe- &amp; Sondertechnik</x:v>
      </x:c>
      <x:c r="H31" s="116" t="str">
        <x:v>August-Mogler-Straße 1/3</x:v>
      </x:c>
      <x:c r="I31" s="116" t="str">
        <x:v>74080</x:v>
      </x:c>
      <x:c r="J31" s="116" t="str">
        <x:v>Heilbronn</x:v>
      </x:c>
      <x:c r="K31" s="116" t="str">
        <x:v>Baden-Württemberg</x:v>
      </x:c>
      <x:c r="L31" s="116" t="str">
        <x:v>Deutschland</x:v>
      </x:c>
      <x:c r="M31" s="116" t="str">
        <x:v>+49 7131 63530-50</x:v>
      </x:c>
      <x:c r="N31" s="116" t="str"/>
      <x:c r="O31" s="116" t="str">
        <x:v>info@tinka-gmbh.de</x:v>
      </x:c>
      <x:c r="P31" s="116" t="str">
        <x:v>https://www.tinka-gmbh.de/</x:v>
      </x:c>
      <x:c r="Q31" s="116" t="str"/>
      <x:c r="R31" s="116" t="str">
        <x:v>Hebetechnik; Handhabungstechnik; Sonderkonstruktion; Montage | Regionaler Umsetzungspartner; BG-/Reha-Spezialisierung projektbezogen prüfen.</x:v>
      </x:c>
      <x:c r="S31" s="116" t="str">
        <x:v>nicht spezifisch belegt</x:v>
      </x:c>
      <x:c r="T31" s="116" t="str">
        <x:v>regional + projektbezogen überregional</x:v>
      </x:c>
      <x:c r="U31" s="135"/>
      <x:c r="V31" s="135"/>
      <x:c r="W31" s="116" t="str">
        <x:v>Adresse/Kontakt geprüft; numerische Hauskoordinate noch nicht separat verifiziert</x:v>
      </x:c>
      <x:c r="X31" s="116" t="str">
        <x:v>Kartenpunkt – Adresse geprüft</x:v>
      </x:c>
      <x:c r="Y31" s="116" t="str">
        <x:v>Technik 4.4.x – Neuaufnahme</x:v>
      </x:c>
      <x:c r="Z31" s="116" t="str"/>
      <x:c r="AA31" s="116" t="str">
        <x:v>https://www.tinka-gmbh.de/</x:v>
      </x:c>
      <x:c r="AB31" s="116" t="str"/>
      <x:c r="AC31" s="116" t="str">
        <x:v>2026-08-30</x:v>
      </x:c>
      <x:c r="AD31" s="116" t="str">
        <x:v>August-Mogler-Straße 1/3, 74080 Heilbronn, Deutschland</x:v>
      </x:c>
      <x:c r="AE31" s="116" t="str">
        <x:v>Standort verifiziert.</x:v>
      </x:c>
    </x:row>
    <x:row r="32">
      <x:c r="A32" s="116" t="str">
        <x:v>T-028</x:v>
      </x:c>
      <x:c r="B32" s="116" t="str">
        <x:v>Rauscher &amp; Reyhing GmbH</x:v>
      </x:c>
      <x:c r="C32" s="116" t="str">
        <x:v>Aufnehmen</x:v>
      </x:c>
      <x:c r="D32" s="116" t="str">
        <x:v>A</x:v>
      </x:c>
      <x:c r="E32" s="116" t="str">
        <x:v>Technische Arbeitsplatzanpassung</x:v>
      </x:c>
      <x:c r="F32" s="116" t="str">
        <x:v>Holzbearbeitungsmaschine; Vakuumheber; Plattenhandling; Service/Vor-Ort-Beratung</x:v>
      </x:c>
      <x:c r="G32" s="116" t="str">
        <x:v>Technischer Umsetzer / Holzmaschinen</x:v>
      </x:c>
      <x:c r="H32" s="116" t="str">
        <x:v>Meidelstetter Straße 13</x:v>
      </x:c>
      <x:c r="I32" s="116" t="str">
        <x:v>72531</x:v>
      </x:c>
      <x:c r="J32" s="116" t="str">
        <x:v>Hohenstein-Bernloch</x:v>
      </x:c>
      <x:c r="K32" s="116" t="str">
        <x:v>Baden-Württemberg</x:v>
      </x:c>
      <x:c r="L32" s="116" t="str">
        <x:v>Deutschland</x:v>
      </x:c>
      <x:c r="M32" s="116" t="str">
        <x:v>+49 7387 9884-0</x:v>
      </x:c>
      <x:c r="N32" s="116" t="str"/>
      <x:c r="O32" s="116" t="str">
        <x:v>mail@rauscher-reyhing.de</x:v>
      </x:c>
      <x:c r="P32" s="116" t="str">
        <x:v>https://www.rauscher-reyhing.de/</x:v>
      </x:c>
      <x:c r="Q32" s="116" t="str"/>
      <x:c r="R32" s="116" t="str">
        <x:v>Holzbearbeitungsmaschine; Vakuumheber; Plattenhandling; Service/Vor-Ort-Beratung | Branchenspezifischer Partner für Schreinerei; als technischer Branchenumsetzer kennzeichnen.</x:v>
      </x:c>
      <x:c r="S32" s="116" t="str">
        <x:v>nicht spezifisch belegt</x:v>
      </x:c>
      <x:c r="T32" s="116" t="str">
        <x:v>regional + projektbezogen überregional</x:v>
      </x:c>
      <x:c r="U32" s="135"/>
      <x:c r="V32" s="135"/>
      <x:c r="W32" s="116" t="str">
        <x:v>Adresse/Kontakt geprüft; numerische Hauskoordinate noch nicht separat verifiziert</x:v>
      </x:c>
      <x:c r="X32" s="116" t="str">
        <x:v>Kartenpunkt – Adresse geprüft</x:v>
      </x:c>
      <x:c r="Y32" s="116" t="str">
        <x:v>Technik 4.4.x – Neuaufnahme</x:v>
      </x:c>
      <x:c r="Z32" s="116" t="str"/>
      <x:c r="AA32" s="116" t="str">
        <x:v>https://www.rauscher-reyhing.de/</x:v>
      </x:c>
      <x:c r="AB32" s="116" t="str"/>
      <x:c r="AC32" s="116" t="str">
        <x:v>2026-08-30</x:v>
      </x:c>
      <x:c r="AD32" s="116" t="str">
        <x:v>Meidelstetter Straße 13, 72531 Hohenstein-Bernloch, Deutschland</x:v>
      </x:c>
      <x:c r="AE32" s="116" t="str">
        <x:v>Standort verifiziert.</x:v>
      </x:c>
    </x:row>
    <x:row r="33">
      <x:c r="A33" s="116" t="str">
        <x:v>T-029</x:v>
      </x:c>
      <x:c r="B33" s="116" t="str">
        <x:v>Schmersal / tec.nicum</x:v>
      </x:c>
      <x:c r="C33" s="116" t="str">
        <x:v>Aufnehmen</x:v>
      </x:c>
      <x:c r="D33" s="116" t="str">
        <x:v>A+</x:v>
      </x:c>
      <x:c r="E33" s="116" t="str">
        <x:v>Technische Arbeitsplatzanpassung</x:v>
      </x:c>
      <x:c r="F33" s="116" t="str">
        <x:v>Fußschalter; Knieschalter; leichtgängige Bedienelemente; Bedienfeld; Handheld; Safety/Arbeitsplatzoptimierung</x:v>
      </x:c>
      <x:c r="G33" s="116" t="str">
        <x:v>Technischer Berater &amp; Umsetzer / Bedienung &amp; Safety</x:v>
      </x:c>
      <x:c r="H33" s="116" t="str">
        <x:v>Möddinghofe 30</x:v>
      </x:c>
      <x:c r="I33" s="116" t="str">
        <x:v>42279</x:v>
      </x:c>
      <x:c r="J33" s="116" t="str">
        <x:v>Wuppertal</x:v>
      </x:c>
      <x:c r="K33" s="116" t="str">
        <x:v>Nordrhein-Westfalen</x:v>
      </x:c>
      <x:c r="L33" s="116" t="str">
        <x:v>Deutschland</x:v>
      </x:c>
      <x:c r="M33" s="116" t="str">
        <x:v>+49 202 6474-932</x:v>
      </x:c>
      <x:c r="N33" s="116" t="str"/>
      <x:c r="O33" s="116" t="str">
        <x:v>info-de@tecnicum.com</x:v>
      </x:c>
      <x:c r="P33" s="116" t="str">
        <x:v>https://www.schmersal.com/</x:v>
      </x:c>
      <x:c r="Q33" s="116" t="str"/>
      <x:c r="R33" s="116" t="str">
        <x:v>Fußschalter; Knieschalter; leichtgängige Bedienelemente; Bedienfeld; Handheld; Safety/Arbeitsplatzoptimierung | Sehr wertvoll bei Hand-/Finger-/Armdefiziten und alternativer Betätigung; Safety-Kompetenz verknüpfen.</x:v>
      </x:c>
      <x:c r="S33" s="116" t="str">
        <x:v>nicht spezifisch belegt</x:v>
      </x:c>
      <x:c r="T33" s="116" t="str">
        <x:v>überregional / bundesweit projektbezogen</x:v>
      </x:c>
      <x:c r="U33" s="135"/>
      <x:c r="V33" s="135"/>
      <x:c r="W33" s="116" t="str">
        <x:v>Adresse/Kontakt geprüft; numerische Hauskoordinate noch nicht separat verifiziert</x:v>
      </x:c>
      <x:c r="X33" s="116" t="str">
        <x:v>Kartenpunkt – Adresse geprüft</x:v>
      </x:c>
      <x:c r="Y33" s="116" t="str">
        <x:v>Technik 4.4.x – Neuaufnahme</x:v>
      </x:c>
      <x:c r="Z33" s="116" t="str"/>
      <x:c r="AA33" s="116" t="str">
        <x:v>https://www.schmersal.com/</x:v>
      </x:c>
      <x:c r="AB33" s="116" t="str"/>
      <x:c r="AC33" s="116" t="str">
        <x:v>2026-08-30</x:v>
      </x:c>
      <x:c r="AD33" s="116" t="str">
        <x:v>Möddinghofe 30, 42279 Wuppertal, Deutschland</x:v>
      </x:c>
      <x:c r="AE33" s="116" t="str">
        <x:v>Schmersal/tec.nicum Wuppertal als Kartenstandort; Einsatz überregional.</x:v>
      </x:c>
    </x:row>
    <x:row r="34">
      <x:c r="A34" s="116" t="str">
        <x:v>T-030</x:v>
      </x:c>
      <x:c r="B34" s="116" t="str">
        <x:v>Faude Tec GmbH</x:v>
      </x:c>
      <x:c r="C34" s="116" t="str">
        <x:v>Aufnehmen</x:v>
      </x:c>
      <x:c r="D34" s="116" t="str">
        <x:v>A+</x:v>
      </x:c>
      <x:c r="E34" s="116" t="str">
        <x:v>Technische Arbeitsplatzanpassung</x:v>
      </x:c>
      <x:c r="F34" s="116" t="str">
        <x:v>Cobot; Robotik; SPS; Sonderautomation; Teilprozess-Automatisierung</x:v>
      </x:c>
      <x:c r="G34" s="116" t="str">
        <x:v>Systemintegrator / Cobot &amp; Automation</x:v>
      </x:c>
      <x:c r="H34" s="116" t="str">
        <x:v>Robert-Mayer-Straße 3</x:v>
      </x:c>
      <x:c r="I34" s="116" t="str">
        <x:v>73660</x:v>
      </x:c>
      <x:c r="J34" s="116" t="str">
        <x:v>Urbach</x:v>
      </x:c>
      <x:c r="K34" s="116" t="str">
        <x:v>Baden-Württemberg</x:v>
      </x:c>
      <x:c r="L34" s="116" t="str">
        <x:v>Deutschland</x:v>
      </x:c>
      <x:c r="M34" s="116" t="str">
        <x:v>+49 7161 9459839</x:v>
      </x:c>
      <x:c r="N34" s="116" t="str"/>
      <x:c r="O34" s="116" t="str">
        <x:v>info@faudetec.de</x:v>
      </x:c>
      <x:c r="P34" s="116" t="str">
        <x:v>https://www.faudetec.de/</x:v>
      </x:c>
      <x:c r="Q34" s="116" t="str"/>
      <x:c r="R34" s="116" t="str">
        <x:v>Cobot; Robotik; SPS; Sonderautomation; Teilprozess-Automatisierung | Cobot nur als individuell zu prüfende Sonderlösung; starke Safety-/CE-Kette.</x:v>
      </x:c>
      <x:c r="S34" s="116" t="str">
        <x:v>nicht spezifisch belegt</x:v>
      </x:c>
      <x:c r="T34" s="116" t="str">
        <x:v>regional + projektbezogen überregional</x:v>
      </x:c>
      <x:c r="U34" s="135"/>
      <x:c r="V34" s="135"/>
      <x:c r="W34" s="116" t="str">
        <x:v>Adresse/Kontakt geprüft; numerische Hauskoordinate noch nicht separat verifiziert</x:v>
      </x:c>
      <x:c r="X34" s="116" t="str">
        <x:v>Kartenpunkt – Adresse geprüft</x:v>
      </x:c>
      <x:c r="Y34" s="116" t="str">
        <x:v>Technik 4.4.x – Neuaufnahme</x:v>
      </x:c>
      <x:c r="Z34" s="116" t="str"/>
      <x:c r="AA34" s="116" t="str">
        <x:v>https://www.faudetec.de/</x:v>
      </x:c>
      <x:c r="AB34" s="116" t="str"/>
      <x:c r="AC34" s="116" t="str">
        <x:v>2026-08-30</x:v>
      </x:c>
      <x:c r="AD34" s="116" t="str">
        <x:v>Robert-Mayer-Straße 3, 73660 Urbach, Deutschland</x:v>
      </x:c>
      <x:c r="AE34" s="116" t="str">
        <x:v>Für Karte Besucheradresse Urbach verwenden; Börtlingen (Ödweilerhof 3) ist Rechnungsadresse.</x:v>
      </x:c>
    </x:row>
    <x:row r="35">
      <x:c r="A35" s="116" t="str">
        <x:v>T-031</x:v>
      </x:c>
      <x:c r="B35" s="116" t="str">
        <x:v>HOLZ automation GmbH</x:v>
      </x:c>
      <x:c r="C35" s="116" t="str">
        <x:v>Aufnehmen</x:v>
      </x:c>
      <x:c r="D35" s="116" t="str">
        <x:v>A</x:v>
      </x:c>
      <x:c r="E35" s="116" t="str">
        <x:v>Technische Arbeitsplatzanpassung</x:v>
      </x:c>
      <x:c r="F35" s="116" t="str">
        <x:v>Robotik/Cobot; Montageautomation; Sondermaschinenbau; SPS; Retrofit</x:v>
      </x:c>
      <x:c r="G35" s="116" t="str">
        <x:v>Systemintegrator / Robotik &amp; Retrofit</x:v>
      </x:c>
      <x:c r="H35" s="116" t="str">
        <x:v>Donaustraße 23</x:v>
      </x:c>
      <x:c r="I35" s="116" t="str">
        <x:v>71522</x:v>
      </x:c>
      <x:c r="J35" s="116" t="str">
        <x:v>Backnang</x:v>
      </x:c>
      <x:c r="K35" s="116" t="str">
        <x:v>Baden-Württemberg</x:v>
      </x:c>
      <x:c r="L35" s="116" t="str">
        <x:v>Deutschland</x:v>
      </x:c>
      <x:c r="M35" s="116" t="str">
        <x:v>+49 7191 3432-0</x:v>
      </x:c>
      <x:c r="N35" s="116" t="str"/>
      <x:c r="O35" s="116" t="str">
        <x:v>info@holz-automation.de</x:v>
      </x:c>
      <x:c r="P35" s="116" t="str">
        <x:v>https://www.holz-automation.de/de/</x:v>
      </x:c>
      <x:c r="Q35" s="116" t="str"/>
      <x:c r="R35" s="116" t="str">
        <x:v>Robotik/Cobot; Montageautomation; Sondermaschinenbau; SPS; Retrofit | Für komplexe industrielle Teilprozesse; Reha-Einsatz projektbezogen bewerten.</x:v>
      </x:c>
      <x:c r="S35" s="116" t="str">
        <x:v>nicht spezifisch belegt</x:v>
      </x:c>
      <x:c r="T35" s="116" t="str">
        <x:v>regional + projektbezogen überregional</x:v>
      </x:c>
      <x:c r="U35" s="135"/>
      <x:c r="V35" s="135"/>
      <x:c r="W35" s="116" t="str">
        <x:v>Adresse/Kontakt geprüft; numerische Hauskoordinate noch nicht separat verifiziert</x:v>
      </x:c>
      <x:c r="X35" s="116" t="str">
        <x:v>Kartenpunkt – Adresse geprüft</x:v>
      </x:c>
      <x:c r="Y35" s="116" t="str">
        <x:v>Technik 4.4.x – Neuaufnahme</x:v>
      </x:c>
      <x:c r="Z35" s="116" t="str"/>
      <x:c r="AA35" s="116" t="str">
        <x:v>https://www.holz-automation.de/de/</x:v>
      </x:c>
      <x:c r="AB35" s="116" t="str"/>
      <x:c r="AC35" s="116" t="str">
        <x:v>2026-08-30</x:v>
      </x:c>
      <x:c r="AD35" s="116" t="str">
        <x:v>Donaustraße 23, 71522 Backnang, Deutschland</x:v>
      </x:c>
      <x:c r="AE35" s="116" t="str">
        <x:v>Standort Backnang-Waldrems verifiziert.</x:v>
      </x:c>
    </x:row>
    <x:row r="36">
      <x:c r="A36" s="116" t="str">
        <x:v>T-032</x:v>
      </x:c>
      <x:c r="B36" s="116" t="str">
        <x:v>WERMA Signaltechnik GmbH + Co. KG</x:v>
      </x:c>
      <x:c r="C36" s="116" t="str">
        <x:v>Aufnehmen</x:v>
      </x:c>
      <x:c r="D36" s="116" t="str">
        <x:v>A</x:v>
      </x:c>
      <x:c r="E36" s="116" t="str">
        <x:v>Technische Arbeitsplatzanpassung</x:v>
      </x:c>
      <x:c r="F36" s="116" t="str">
        <x:v>Optische Signale; akustische Signale; optisch-akustische Kombination; Zwei-Sinne-Signalisierung</x:v>
      </x:c>
      <x:c r="G36" s="116" t="str">
        <x:v>Technischer Umsetzer / Signaltechnik</x:v>
      </x:c>
      <x:c r="H36" s="116" t="str">
        <x:v>Erich-Marquardt-Straße 1</x:v>
      </x:c>
      <x:c r="I36" s="116" t="str">
        <x:v>78604</x:v>
      </x:c>
      <x:c r="J36" s="116" t="str">
        <x:v>Rietheim-Weilheim</x:v>
      </x:c>
      <x:c r="K36" s="116" t="str">
        <x:v>Baden-Württemberg</x:v>
      </x:c>
      <x:c r="L36" s="116" t="str">
        <x:v>Deutschland</x:v>
      </x:c>
      <x:c r="M36" s="116" t="str">
        <x:v>+49 7424 9557-0</x:v>
      </x:c>
      <x:c r="N36" s="116" t="str"/>
      <x:c r="O36" s="116" t="str">
        <x:v>info@werma.com</x:v>
      </x:c>
      <x:c r="P36" s="116" t="str">
        <x:v>https://www.werma.com/</x:v>
      </x:c>
      <x:c r="Q36" s="116" t="str"/>
      <x:c r="R36" s="116" t="str">
        <x:v>Optische Signale; akustische Signale; optisch-akustische Kombination; Zwei-Sinne-Signalisierung | Für sensorische Arbeitsplatzanpassung; individuelle Kombination mit IFD/Hörfachberatung sinnvoll.</x:v>
      </x:c>
      <x:c r="S36" s="116" t="str">
        <x:v>nicht spezifisch belegt</x:v>
      </x:c>
      <x:c r="T36" s="116" t="str">
        <x:v>regional + projektbezogen überregional</x:v>
      </x:c>
      <x:c r="U36" s="135"/>
      <x:c r="V36" s="135"/>
      <x:c r="W36" s="116" t="str">
        <x:v>Adresse/Kontakt geprüft; numerische Hauskoordinate noch nicht separat verifiziert</x:v>
      </x:c>
      <x:c r="X36" s="116" t="str">
        <x:v>Kartenpunkt – Adresse geprüft</x:v>
      </x:c>
      <x:c r="Y36" s="116" t="str">
        <x:v>Technik 4.4.x – Neuaufnahme</x:v>
      </x:c>
      <x:c r="Z36" s="116" t="str"/>
      <x:c r="AA36" s="116" t="str">
        <x:v>https://www.werma.com/</x:v>
      </x:c>
      <x:c r="AB36" s="116" t="str"/>
      <x:c r="AC36" s="116" t="str">
        <x:v>2026-08-30</x:v>
      </x:c>
      <x:c r="AD36" s="116" t="str">
        <x:v>Erich-Marquardt-Straße 1, 78604 Rietheim-Weilheim, Deutschland</x:v>
      </x:c>
      <x:c r="AE36" s="116" t="str">
        <x:v>Aktuelle öffentliche HQ-Adresse. Alte/abweichende Dürbheimer Str. 15 nicht als Kartenpunkt verwenden.</x:v>
      </x:c>
    </x:row>
    <x:row r="37">
      <x:c r="A37" s="116" t="str">
        <x:v>T-033</x:v>
      </x:c>
      <x:c r="B37" s="116" t="str">
        <x:v>Pilz GmbH &amp; Co. KG</x:v>
      </x:c>
      <x:c r="C37" s="116" t="str">
        <x:v>Aufnehmen</x:v>
      </x:c>
      <x:c r="D37" s="116" t="str">
        <x:v>A+</x:v>
      </x:c>
      <x:c r="E37" s="116" t="str">
        <x:v>Technische Arbeitsplatzanpassung</x:v>
      </x:c>
      <x:c r="F37" s="116" t="str">
        <x:v>Risikobeurteilung; Safety-Design; Systemintegration; Validierung; Retrofit; CE/Konformität</x:v>
      </x:c>
      <x:c r="G37" s="116" t="str">
        <x:v>Maschinensicherheit / Engineering</x:v>
      </x:c>
      <x:c r="H37" s="116" t="str">
        <x:v>Felix-Wankel-Straße 2</x:v>
      </x:c>
      <x:c r="I37" s="116" t="str">
        <x:v>73760</x:v>
      </x:c>
      <x:c r="J37" s="116" t="str">
        <x:v>Ostfildern</x:v>
      </x:c>
      <x:c r="K37" s="116" t="str">
        <x:v>Baden-Württemberg</x:v>
      </x:c>
      <x:c r="L37" s="116" t="str">
        <x:v>Deutschland</x:v>
      </x:c>
      <x:c r="M37" s="116" t="str">
        <x:v>+49 711 3409-0</x:v>
      </x:c>
      <x:c r="N37" s="116" t="str"/>
      <x:c r="O37" s="116" t="str">
        <x:v>info@pilz.de</x:v>
      </x:c>
      <x:c r="P37" s="116" t="str">
        <x:v>https://www.pilz.com/de-DE/services/workplace-safety</x:v>
      </x:c>
      <x:c r="Q37" s="116" t="str"/>
      <x:c r="R37" s="116" t="str">
        <x:v>Risikobeurteilung; Safety-Design; Systemintegration; Validierung; Retrofit; CE/Konformität | Nicht als Reha-Berater, sondern als Safety-/Abnahmebaustein bei komplexen Maschinenumbauten.</x:v>
      </x:c>
      <x:c r="S37" s="116" t="str">
        <x:v>nicht spezifisch belegt</x:v>
      </x:c>
      <x:c r="T37" s="116" t="str">
        <x:v>regional + projektbezogen überregional</x:v>
      </x:c>
      <x:c r="U37" s="135"/>
      <x:c r="V37" s="135"/>
      <x:c r="W37" s="116" t="str">
        <x:v>Adresse/Kontakt geprüft; numerische Hauskoordinate noch nicht separat verifiziert</x:v>
      </x:c>
      <x:c r="X37" s="116" t="str">
        <x:v>Kartenpunkt – Adresse geprüft</x:v>
      </x:c>
      <x:c r="Y37" s="116" t="str">
        <x:v>Technik 4.4.x – Neuaufnahme</x:v>
      </x:c>
      <x:c r="Z37" s="116" t="str"/>
      <x:c r="AA37" s="116" t="str">
        <x:v>https://www.pilz.com/de-DE/</x:v>
      </x:c>
      <x:c r="AB37" s="116" t="str"/>
      <x:c r="AC37" s="116" t="str">
        <x:v>2026-08-30</x:v>
      </x:c>
      <x:c r="AD37" s="116" t="str">
        <x:v>Felix-Wankel-Straße 2, 73760 Ostfildern, Deutschland</x:v>
      </x:c>
      <x:c r="AE37" s="116" t="str">
        <x:v>Standort verifiziert.</x:v>
      </x:c>
    </x:row>
    <x:row r="38">
      <x:c r="A38" s="116" t="str">
        <x:v>T-034</x:v>
      </x:c>
      <x:c r="B38" s="116" t="str">
        <x:v>ALLMATIC-Jakob Spannsysteme GmbH</x:v>
      </x:c>
      <x:c r="C38" s="116" t="str">
        <x:v>Aufnehmen</x:v>
      </x:c>
      <x:c r="D38" s="116" t="str">
        <x:v>A</x:v>
      </x:c>
      <x:c r="E38" s="116" t="str">
        <x:v>Technische Arbeitsplatzanpassung</x:v>
      </x:c>
      <x:c r="F38" s="116" t="str">
        <x:v>WorkBuddy Spannhilfe; Bedienhilfe; individuelle Maschinen-/Rüstplatzmontage</x:v>
      </x:c>
      <x:c r="G38" s="116" t="str">
        <x:v>Technischer Umsetzer / Spann- &amp; Rüsthilfe</x:v>
      </x:c>
      <x:c r="H38" s="116" t="str">
        <x:v>Jägermühle 10</x:v>
      </x:c>
      <x:c r="I38" s="116" t="str">
        <x:v>87647</x:v>
      </x:c>
      <x:c r="J38" s="116" t="str">
        <x:v>Unterthingau</x:v>
      </x:c>
      <x:c r="K38" s="116" t="str">
        <x:v>Bayern</x:v>
      </x:c>
      <x:c r="L38" s="116" t="str">
        <x:v>Deutschland</x:v>
      </x:c>
      <x:c r="M38" s="116" t="str">
        <x:v>+49 8377 929-0</x:v>
      </x:c>
      <x:c r="N38" s="116" t="str"/>
      <x:c r="O38" s="116" t="str">
        <x:v>info@allmatic.de</x:v>
      </x:c>
      <x:c r="P38" s="116" t="str">
        <x:v>https://www.allmatic.de/workbuddy/</x:v>
      </x:c>
      <x:c r="Q38" s="116" t="str"/>
      <x:c r="R38" s="116" t="str">
        <x:v>WorkBuddy Spannhilfe; Bedienhilfe; individuelle Maschinen-/Rüstplatzmontage | Sehr konkreter Baustein für Rüstplätze und Spanntürme; individuell an Maschine montierbar.</x:v>
      </x:c>
      <x:c r="S38" s="116" t="str">
        <x:v>nicht spezifisch belegt</x:v>
      </x:c>
      <x:c r="T38" s="116" t="str">
        <x:v>regional + projektbezogen überregional</x:v>
      </x:c>
      <x:c r="U38" s="135"/>
      <x:c r="V38" s="135"/>
      <x:c r="W38" s="116" t="str">
        <x:v>Adresse/Kontakt geprüft; numerische Hauskoordinate noch nicht separat verifiziert</x:v>
      </x:c>
      <x:c r="X38" s="116" t="str">
        <x:v>Kartenpunkt – Adresse geprüft</x:v>
      </x:c>
      <x:c r="Y38" s="116" t="str">
        <x:v>Technik 4.4.x – Neuaufnahme</x:v>
      </x:c>
      <x:c r="Z38" s="116" t="str"/>
      <x:c r="AA38" s="116" t="str">
        <x:v>https://www.allmatic.de/</x:v>
      </x:c>
      <x:c r="AB38" s="116" t="str"/>
      <x:c r="AC38" s="116" t="str">
        <x:v>2026-08-30</x:v>
      </x:c>
      <x:c r="AD38" s="116" t="str">
        <x:v>Jägermühle 10, 87647 Unterthingau, Deutschland</x:v>
      </x:c>
      <x:c r="AE38" s="116" t="str">
        <x:v>Standort verifiziert.</x:v>
      </x:c>
    </x:row>
    <x:row r="39">
      <x:c r="A39" s="116" t="str">
        <x:v>T-035</x:v>
      </x:c>
      <x:c r="B39" s="116" t="str">
        <x:v>Humanelektronik GmbH</x:v>
      </x:c>
      <x:c r="C39" s="116" t="str">
        <x:v>Aufnehmen</x:v>
      </x:c>
      <x:c r="D39" s="116" t="str">
        <x:v>A+</x:v>
      </x:c>
      <x:c r="E39" s="116" t="str">
        <x:v>Technische Arbeitsplatzanpassung</x:v>
      </x:c>
      <x:c r="F39" s="116" t="str">
        <x:v>Alternative Eingabegeräte; Augensteuerung; Kopf-/Joysticksteuerung; Umfeld-/Rollstuhlsteuerung; Kommunikation</x:v>
      </x:c>
      <x:c r="G39" s="116" t="str">
        <x:v>Technischer Umsetzer / alternative Steuerung &amp; Kommunikation</x:v>
      </x:c>
      <x:c r="H39" s="116" t="str">
        <x:v>Weinsheimer Straße 57a</x:v>
      </x:c>
      <x:c r="I39" s="116" t="str">
        <x:v>67547</x:v>
      </x:c>
      <x:c r="J39" s="116" t="str">
        <x:v>Worms</x:v>
      </x:c>
      <x:c r="K39" s="116" t="str">
        <x:v>Rheinland-Pfalz</x:v>
      </x:c>
      <x:c r="L39" s="116" t="str">
        <x:v>Deutschland</x:v>
      </x:c>
      <x:c r="M39" s="116" t="str">
        <x:v>+49 6241 49691-0</x:v>
      </x:c>
      <x:c r="N39" s="116" t="str"/>
      <x:c r="O39" s="116" t="str">
        <x:v>info@humanelektronik.gmbh</x:v>
      </x:c>
      <x:c r="P39" s="116" t="str">
        <x:v>https://humanelektronik.de/</x:v>
      </x:c>
      <x:c r="Q39" s="116" t="str"/>
      <x:c r="R39" s="116" t="str">
        <x:v>Alternative Eingabegeräte; Augensteuerung; Kopf-/Joysticksteuerung; Umfeld-/Rollstuhlsteuerung; Kommunikation | A+ für motorische Einschränkungen und komplexe alternative Ansteuerung; mit Meier &amp; Schütte verknüpfen.</x:v>
      </x:c>
      <x:c r="S39" s="116" t="str">
        <x:v>Kostenträgerbezug naheliegend; im Einzelfall prüfen</x:v>
      </x:c>
      <x:c r="T39" s="116" t="str">
        <x:v>regional + projektbezogen überregional</x:v>
      </x:c>
      <x:c r="U39" s="135"/>
      <x:c r="V39" s="135"/>
      <x:c r="W39" s="116" t="str">
        <x:v>Adresse/Kontakt geprüft; numerische Hauskoordinate noch nicht separat verifiziert</x:v>
      </x:c>
      <x:c r="X39" s="116" t="str">
        <x:v>Kartenpunkt – Adresse geprüft</x:v>
      </x:c>
      <x:c r="Y39" s="116" t="str">
        <x:v>Technik 4.4.x – Neuaufnahme</x:v>
      </x:c>
      <x:c r="Z39" s="116" t="str"/>
      <x:c r="AA39" s="116" t="str">
        <x:v>https://humanelektronik.de/</x:v>
      </x:c>
      <x:c r="AB39" s="116" t="str"/>
      <x:c r="AC39" s="116" t="str">
        <x:v>2026-08-30</x:v>
      </x:c>
      <x:c r="AD39" s="116" t="str">
        <x:v>Weinsheimer Straße 57a, 67547 Worms, Deutschland</x:v>
      </x:c>
      <x:c r="AE39" s="116" t="str">
        <x:v>Standort verifiziert.</x:v>
      </x:c>
    </x:row>
    <x:row r="40">
      <x:c r="A40" s="116" t="str">
        <x:v>T-036</x:v>
      </x:c>
      <x:c r="B40" s="116" t="str">
        <x:v>Meier &amp; Schütte GmbH &amp; Co. KG</x:v>
      </x:c>
      <x:c r="C40" s="116" t="str">
        <x:v>Aufnehmen</x:v>
      </x:c>
      <x:c r="D40" s="116" t="str">
        <x:v>A+</x:v>
      </x:c>
      <x:c r="E40" s="116" t="str">
        <x:v>Technische Arbeitsplatzanpassung</x:v>
      </x:c>
      <x:c r="F40" s="116" t="str">
        <x:v>Behindertengerechter Arbeitsplatz; Einhand-/Sondertastatur; alternative Maus; Spracherkennung; Sonderlösung</x:v>
      </x:c>
      <x:c r="G40" s="116" t="str">
        <x:v>Technischer Umsetzer / Arbeitsplatztechnologie</x:v>
      </x:c>
      <x:c r="H40" s="116" t="str">
        <x:v>Weinsheimer Straße 57a</x:v>
      </x:c>
      <x:c r="I40" s="116" t="str">
        <x:v>67547</x:v>
      </x:c>
      <x:c r="J40" s="116" t="str">
        <x:v>Worms</x:v>
      </x:c>
      <x:c r="K40" s="116" t="str">
        <x:v>Rheinland-Pfalz</x:v>
      </x:c>
      <x:c r="L40" s="116" t="str">
        <x:v>Deutschland</x:v>
      </x:c>
      <x:c r="M40" s="116" t="str">
        <x:v>+49 6241 4969160</x:v>
      </x:c>
      <x:c r="N40" s="116" t="str"/>
      <x:c r="O40" s="116" t="str">
        <x:v>office@meier-schuette.de</x:v>
      </x:c>
      <x:c r="P40" s="116" t="str">
        <x:v>https://www.meier-schuette.de/</x:v>
      </x:c>
      <x:c r="Q40" s="116" t="str"/>
      <x:c r="R40" s="116" t="str">
        <x:v>Behindertengerechter Arbeitsplatz; Einhand-/Sondertastatur; alternative Maus; Spracherkennung; Sonderlösung | Sehr hoher Reha-Nutzen; Arbeitsplatztechnologie und individuelle Anpassung im Vordergrund.</x:v>
      </x:c>
      <x:c r="S40" s="116" t="str">
        <x:v>Kostenträgerbezug naheliegend; im Einzelfall prüfen</x:v>
      </x:c>
      <x:c r="T40" s="116" t="str">
        <x:v>regional + projektbezogen überregional</x:v>
      </x:c>
      <x:c r="U40" s="135"/>
      <x:c r="V40" s="135"/>
      <x:c r="W40" s="116" t="str">
        <x:v>Adresse/Kontakt geprüft; numerische Hauskoordinate noch nicht separat verifiziert</x:v>
      </x:c>
      <x:c r="X40" s="116" t="str">
        <x:v>Kartenpunkt – Adresse geprüft</x:v>
      </x:c>
      <x:c r="Y40" s="116" t="str">
        <x:v>Technik 4.4.x – Neuaufnahme</x:v>
      </x:c>
      <x:c r="Z40" s="116" t="str"/>
      <x:c r="AA40" s="116" t="str">
        <x:v>https://www.meier-schuette.de/</x:v>
      </x:c>
      <x:c r="AB40" s="116" t="str"/>
      <x:c r="AC40" s="116" t="str">
        <x:v>2026-08-30</x:v>
      </x:c>
      <x:c r="AD40" s="116" t="str">
        <x:v>Weinsheimer Straße 57a, 67547 Worms, Deutschland</x:v>
      </x:c>
      <x:c r="AE40" s="116" t="str">
        <x:v>Standort verifiziert; gleicher Gebäudestandort wie Humanelektronik möglich.</x:v>
      </x:c>
    </x:row>
    <x:row r="41">
      <x:c r="A41" s="116" t="str">
        <x:v>T-037</x:v>
      </x:c>
      <x:c r="B41" s="116" t="str">
        <x:v>Reinecker Vision GmbH</x:v>
      </x:c>
      <x:c r="C41" s="116" t="str">
        <x:v>Aufnehmen</x:v>
      </x:c>
      <x:c r="D41" s="116" t="str">
        <x:v>A+</x:v>
      </x:c>
      <x:c r="E41" s="116" t="str">
        <x:v>Technische Arbeitsplatzanpassung</x:v>
      </x:c>
      <x:c r="F41" s="116" t="str">
        <x:v>Bildschirmlesesystem; Vergrößerung; Vorlesetechnik; Braille; Screenreader; Beleuchtung</x:v>
      </x:c>
      <x:c r="G41" s="116" t="str">
        <x:v>Technischer Umsetzer / Sehen &amp; Blindheit</x:v>
      </x:c>
      <x:c r="H41" s="116" t="str">
        <x:v>Sandwiesenstraße 19</x:v>
      </x:c>
      <x:c r="I41" s="116" t="str">
        <x:v>64665</x:v>
      </x:c>
      <x:c r="J41" s="116" t="str">
        <x:v>Alsbach-Hähnlein</x:v>
      </x:c>
      <x:c r="K41" s="116" t="str">
        <x:v>Hessen</x:v>
      </x:c>
      <x:c r="L41" s="116" t="str">
        <x:v>Deutschland</x:v>
      </x:c>
      <x:c r="M41" s="116" t="str">
        <x:v>+49 6257 9311-0</x:v>
      </x:c>
      <x:c r="N41" s="116" t="str"/>
      <x:c r="O41" s="116" t="str">
        <x:v>info@reineckervision.de</x:v>
      </x:c>
      <x:c r="P41" s="116" t="str">
        <x:v>https://www.reineckervision.de/de/versorgung/versorgung-in-schule-und-beruf/</x:v>
      </x:c>
      <x:c r="Q41" s="116" t="str"/>
      <x:c r="R41" s="116" t="str">
        <x:v>Bildschirmlesesystem; Vergrößerung; Vorlesetechnik; Braille; Screenreader; Beleuchtung | Fachberater für Schule und Beruf; Beratung idealerweise direkt am Arbeitsplatz.</x:v>
      </x:c>
      <x:c r="S41" s="116" t="str">
        <x:v>Kostenträger-/Beratungsbezug belegt</x:v>
      </x:c>
      <x:c r="T41" s="116" t="str">
        <x:v>regional + projektbezogen überregional</x:v>
      </x:c>
      <x:c r="U41" s="135"/>
      <x:c r="V41" s="135"/>
      <x:c r="W41" s="116" t="str">
        <x:v>Adresse/Kontakt geprüft; numerische Hauskoordinate noch nicht separat verifiziert</x:v>
      </x:c>
      <x:c r="X41" s="116" t="str">
        <x:v>Kartenpunkt – Adresse geprüft</x:v>
      </x:c>
      <x:c r="Y41" s="116" t="str">
        <x:v>Technik 4.4.x – Neuaufnahme</x:v>
      </x:c>
      <x:c r="Z41" s="116" t="str"/>
      <x:c r="AA41" s="116" t="str">
        <x:v>https://www.reineckervision.de/</x:v>
      </x:c>
      <x:c r="AB41" s="116" t="str"/>
      <x:c r="AC41" s="116" t="str">
        <x:v>2026-08-30</x:v>
      </x:c>
      <x:c r="AD41" s="116" t="str">
        <x:v>Sandwiesenstraße 19, 64665 Alsbach-Hähnlein, Deutschland</x:v>
      </x:c>
      <x:c r="AE41" s="116" t="str">
        <x:v>Hauptsitz als Kartenpunkt; Servicecenter Erlenweg 3+5 ggf. später als Zusatzstandort.</x:v>
      </x:c>
    </x:row>
    <x:row r="42">
      <x:c r="A42" s="116" t="str">
        <x:v>T-038</x:v>
      </x:c>
      <x:c r="B42" s="116" t="str">
        <x:v>HUMANTECHNIK GmbH</x:v>
      </x:c>
      <x:c r="C42" s="116" t="str">
        <x:v>Aufnehmen</x:v>
      </x:c>
      <x:c r="D42" s="116" t="str">
        <x:v>A</x:v>
      </x:c>
      <x:c r="E42" s="116" t="str">
        <x:v>Technische Arbeitsplatzanpassung</x:v>
      </x:c>
      <x:c r="F42" s="116" t="str">
        <x:v>Lichtsignal; Vibrationssignal; Telefon-/Audioübertragung; Hörassistenz</x:v>
      </x:c>
      <x:c r="G42" s="116" t="str">
        <x:v>Technischer Umsetzer / Hören &amp; Kommunikation</x:v>
      </x:c>
      <x:c r="H42" s="116" t="str">
        <x:v>Im Wörth 25</x:v>
      </x:c>
      <x:c r="I42" s="116" t="str">
        <x:v>79576</x:v>
      </x:c>
      <x:c r="J42" s="116" t="str">
        <x:v>Weil am Rhein</x:v>
      </x:c>
      <x:c r="K42" s="116" t="str">
        <x:v>Baden-Württemberg</x:v>
      </x:c>
      <x:c r="L42" s="116" t="str">
        <x:v>Deutschland</x:v>
      </x:c>
      <x:c r="M42" s="116" t="str">
        <x:v>+49 7621 95689-0</x:v>
      </x:c>
      <x:c r="N42" s="116" t="str"/>
      <x:c r="O42" s="116" t="str">
        <x:v>info@humantechnik.com</x:v>
      </x:c>
      <x:c r="P42" s="116" t="str">
        <x:v>https://www.humantechnik.com/</x:v>
      </x:c>
      <x:c r="Q42" s="116" t="str"/>
      <x:c r="R42" s="116" t="str">
        <x:v>Lichtsignal; Vibrationssignal; Telefon-/Audioübertragung; Hörassistenz | Mit IFD/Hörfachberatung verknüpfen; sinnvoll für Zwei-Sinne-Prinzip und Kommunikationshilfen.</x:v>
      </x:c>
      <x:c r="S42" s="116" t="str">
        <x:v>nicht spezifisch belegt</x:v>
      </x:c>
      <x:c r="T42" s="116" t="str">
        <x:v>regional + projektbezogen überregional</x:v>
      </x:c>
      <x:c r="U42" s="135"/>
      <x:c r="V42" s="135"/>
      <x:c r="W42" s="116" t="str">
        <x:v>Adresse/Kontakt geprüft; numerische Hauskoordinate noch nicht separat verifiziert</x:v>
      </x:c>
      <x:c r="X42" s="116" t="str">
        <x:v>Kartenpunkt – Adresse geprüft</x:v>
      </x:c>
      <x:c r="Y42" s="116" t="str">
        <x:v>Technik 4.4.x – Neuaufnahme</x:v>
      </x:c>
      <x:c r="Z42" s="116" t="str"/>
      <x:c r="AA42" s="116" t="str">
        <x:v>https://www.humantechnik.com/</x:v>
      </x:c>
      <x:c r="AB42" s="116" t="str"/>
      <x:c r="AC42" s="116" t="str">
        <x:v>2026-08-30</x:v>
      </x:c>
      <x:c r="AD42" s="116" t="str">
        <x:v>Im Wörth 25, 79576 Weil am Rhein, Deutschland</x:v>
      </x:c>
      <x:c r="AE42" s="116" t="str">
        <x:v>Standort verifiziert.</x:v>
      </x:c>
    </x:row>
    <x:row r="43">
      <x:c r="A43" s="116" t="str">
        <x:v>T-039</x:v>
      </x:c>
      <x:c r="B43" s="116" t="str">
        <x:v>F.H. Papenmeier GmbH &amp; Co. KG</x:v>
      </x:c>
      <x:c r="C43" s="116" t="str">
        <x:v>Aufnehmen</x:v>
      </x:c>
      <x:c r="D43" s="116" t="str">
        <x:v>A</x:v>
      </x:c>
      <x:c r="E43" s="116" t="str">
        <x:v>Technische Arbeitsplatzanpassung</x:v>
      </x:c>
      <x:c r="F43" s="116" t="str">
        <x:v>Braille; Screenreader; Arbeitsplatzanalyse; Softwareanpassung; Schulung</x:v>
      </x:c>
      <x:c r="G43" s="116" t="str">
        <x:v>Technischer Umsetzer / Sehen &amp; Blindheit</x:v>
      </x:c>
      <x:c r="H43" s="116" t="str">
        <x:v>Talweg 2</x:v>
      </x:c>
      <x:c r="I43" s="116" t="str">
        <x:v>58239</x:v>
      </x:c>
      <x:c r="J43" s="116" t="str">
        <x:v>Schwerte</x:v>
      </x:c>
      <x:c r="K43" s="116" t="str">
        <x:v>Nordrhein-Westfalen</x:v>
      </x:c>
      <x:c r="L43" s="116" t="str">
        <x:v>Deutschland</x:v>
      </x:c>
      <x:c r="M43" s="116" t="str">
        <x:v>+49 2304 205-0</x:v>
      </x:c>
      <x:c r="N43" s="116" t="str"/>
      <x:c r="O43" s="116" t="str">
        <x:v>info@papenmeier.de</x:v>
      </x:c>
      <x:c r="P43" s="116" t="str">
        <x:v>https://www.papenmeier-rehatechnik.de/</x:v>
      </x:c>
      <x:c r="Q43" s="116" t="str"/>
      <x:c r="R43" s="116" t="str">
        <x:v>Braille; Screenreader; Arbeitsplatzanalyse; Softwareanpassung; Schulung | Überregionaler Spezialanbieter; bei komplexen Blindenarbeitsplätzen relevant.</x:v>
      </x:c>
      <x:c r="S43" s="116" t="str">
        <x:v>Kostenträgerabstimmung Bestandteil</x:v>
      </x:c>
      <x:c r="T43" s="116" t="str">
        <x:v>überregional / bundesweit projektbezogen</x:v>
      </x:c>
      <x:c r="U43" s="135"/>
      <x:c r="V43" s="135"/>
      <x:c r="W43" s="116" t="str">
        <x:v>Adresse/Kontakt geprüft; numerische Hauskoordinate noch nicht separat verifiziert</x:v>
      </x:c>
      <x:c r="X43" s="116" t="str">
        <x:v>Kartenpunkt – Adresse geprüft</x:v>
      </x:c>
      <x:c r="Y43" s="116" t="str">
        <x:v>Technik 4.4.x – Neuaufnahme</x:v>
      </x:c>
      <x:c r="Z43" s="116" t="str"/>
      <x:c r="AA43" s="116" t="str">
        <x:v>https://www.papenmeier-rehatechnik.de/</x:v>
      </x:c>
      <x:c r="AB43" s="116" t="str"/>
      <x:c r="AC43" s="116" t="str">
        <x:v>2026-08-30</x:v>
      </x:c>
      <x:c r="AD43" s="116" t="str">
        <x:v>Talweg 2, 58239 Schwerte, Deutschland</x:v>
      </x:c>
      <x:c r="AE43" s="116" t="str">
        <x:v>Unternehmensstandort verifiziert; Rehatechnik überregional.</x:v>
      </x:c>
    </x:row>
    <x:row r="44">
      <x:c r="A44" s="116" t="str">
        <x:v>T-040</x:v>
      </x:c>
      <x:c r="B44" s="116" t="str">
        <x:v>Or BIT EDV – Technik für Menschen</x:v>
      </x:c>
      <x:c r="C44" s="116" t="str">
        <x:v>Aufnehmen</x:v>
      </x:c>
      <x:c r="D44" s="116" t="str">
        <x:v>A+</x:v>
      </x:c>
      <x:c r="E44" s="116" t="str">
        <x:v>Technische Arbeitsplatzanpassung</x:v>
      </x:c>
      <x:c r="F44" s="116" t="str">
        <x:v>Arbeitsplatzanalyse; Hilfsmittelerprobung; alternative Eingabe; Blindentechnik; Ergonomie; Sonderlösung</x:v>
      </x:c>
      <x:c r="G44" s="116" t="str">
        <x:v>Technischer Arbeitsplatzberater &amp; Umsetzer</x:v>
      </x:c>
      <x:c r="H44" s="116" t="str">
        <x:v>Alte Hauptstraße 9</x:v>
      </x:c>
      <x:c r="I44" s="116" t="str">
        <x:v>28844</x:v>
      </x:c>
      <x:c r="J44" s="116" t="str">
        <x:v>Weyhe</x:v>
      </x:c>
      <x:c r="K44" s="116" t="str">
        <x:v>Niedersachsen</x:v>
      </x:c>
      <x:c r="L44" s="116" t="str">
        <x:v>Deutschland</x:v>
      </x:c>
      <x:c r="M44" s="116" t="str">
        <x:v>+49 4203 810881</x:v>
      </x:c>
      <x:c r="N44" s="116" t="str"/>
      <x:c r="O44" s="116" t="str">
        <x:v>post@orbit-edv.de</x:v>
      </x:c>
      <x:c r="P44" s="116" t="str">
        <x:v>https://www.orbit-edv.de/</x:v>
      </x:c>
      <x:c r="Q44" s="116" t="str"/>
      <x:c r="R44" s="116" t="str">
        <x:v>Arbeitsplatzanalyse; Hilfsmittelerprobung; alternative Eingabe; Blindentechnik; Ergonomie; Sonderlösung | Sehr starker überregionaler Reha-Spezialist; Herstellerunabhängigkeit und Kostenträgererfahrung.</x:v>
      </x:c>
      <x:c r="S44" s="116" t="str">
        <x:v>BG/UV/DRV/Integrationsamt ausdrücklich relevant</x:v>
      </x:c>
      <x:c r="T44" s="116" t="str">
        <x:v>überregional / bundesweit projektbezogen</x:v>
      </x:c>
      <x:c r="U44" s="135"/>
      <x:c r="V44" s="135"/>
      <x:c r="W44" s="116" t="str">
        <x:v>Adresse/Kontakt geprüft; numerische Hauskoordinate noch nicht separat verifiziert</x:v>
      </x:c>
      <x:c r="X44" s="116" t="str">
        <x:v>Kartenpunkt – Adresse geprüft</x:v>
      </x:c>
      <x:c r="Y44" s="116" t="str">
        <x:v>Technik 4.4.x – Neuaufnahme</x:v>
      </x:c>
      <x:c r="Z44" s="116" t="str"/>
      <x:c r="AA44" s="116" t="str">
        <x:v>https://www.orbit-edv.de/</x:v>
      </x:c>
      <x:c r="AB44" s="116" t="str"/>
      <x:c r="AC44" s="116" t="str">
        <x:v>2026-08-30</x:v>
      </x:c>
      <x:c r="AD44" s="116" t="str">
        <x:v>Alte Hauptstraße 9, 28844 Weyhe, Deutschland</x:v>
      </x:c>
      <x:c r="AE44" s="116" t="str">
        <x:v>Standort verifiziert; überregional.</x:v>
      </x:c>
    </x:row>
    <x:row r="45">
      <x:c r="A45" s="116" t="str">
        <x:v>T-041</x:v>
      </x:c>
      <x:c r="B45" s="116" t="str">
        <x:v>Berufsförderungswerk Würzburg</x:v>
      </x:c>
      <x:c r="C45" s="116" t="str">
        <x:v>Aufnehmen</x:v>
      </x:c>
      <x:c r="D45" s="116" t="str">
        <x:v>A+</x:v>
      </x:c>
      <x:c r="E45" s="116" t="str">
        <x:v>Technische Arbeitsplatzanpassung</x:v>
      </x:c>
      <x:c r="F45" s="116" t="str">
        <x:v>Arbeitsplatzanalyse; RehaAssessment; Hilfsmittelbedarf; Belastungserprobung; Arbeitgeberberatung</x:v>
      </x:c>
      <x:c r="G45" s="116" t="str">
        <x:v>Technischer Arbeitsplatzberater / RehaAssessment</x:v>
      </x:c>
      <x:c r="H45" s="116" t="str">
        <x:v>Helen-Keller-Straße 5</x:v>
      </x:c>
      <x:c r="I45" s="116" t="str">
        <x:v>97209</x:v>
      </x:c>
      <x:c r="J45" s="116" t="str">
        <x:v>Veitshöchheim</x:v>
      </x:c>
      <x:c r="K45" s="116" t="str">
        <x:v>Bayern</x:v>
      </x:c>
      <x:c r="L45" s="116" t="str">
        <x:v>Deutschland</x:v>
      </x:c>
      <x:c r="M45" s="116" t="str">
        <x:v>+49 931 9001-0</x:v>
      </x:c>
      <x:c r="N45" s="116" t="str"/>
      <x:c r="O45" s="116" t="str">
        <x:v>info@bfw-wuerzburg.de</x:v>
      </x:c>
      <x:c r="P45" s="116" t="str">
        <x:v>https://www.bfw-wuerzburg.de/</x:v>
      </x:c>
      <x:c r="Q45" s="116" t="str"/>
      <x:c r="R45" s="116" t="str">
        <x:v>Arbeitsplatzanalyse; RehaAssessment; Hilfsmittelbedarf; Belastungserprobung; Arbeitgeberberatung | Ideal vorgelagert: Was muss an diesem Arbeitsplatz technisch verändert werden?</x:v>
      </x:c>
      <x:c r="S45" s="116" t="str">
        <x:v>Reha-/Kostenträgerbezug eindeutig</x:v>
      </x:c>
      <x:c r="T45" s="116" t="str">
        <x:v>überregional / bundesweit projektbezogen</x:v>
      </x:c>
      <x:c r="U45" s="135"/>
      <x:c r="V45" s="135"/>
      <x:c r="W45" s="116" t="str">
        <x:v>Adresse/Kontakt geprüft; numerische Hauskoordinate noch nicht separat verifiziert</x:v>
      </x:c>
      <x:c r="X45" s="116" t="str">
        <x:v>Kartenpunkt – Adresse geprüft</x:v>
      </x:c>
      <x:c r="Y45" s="116" t="str">
        <x:v>Technik 4.4.x – Neuaufnahme</x:v>
      </x:c>
      <x:c r="Z45" s="116" t="str"/>
      <x:c r="AA45" s="116" t="str">
        <x:v>https://www.bfw-wuerzburg.de/</x:v>
      </x:c>
      <x:c r="AB45" s="116" t="str"/>
      <x:c r="AC45" s="116" t="str">
        <x:v>2026-08-30</x:v>
      </x:c>
      <x:c r="AD45" s="116" t="str">
        <x:v>Helen-Keller-Straße 5, 97209 Veitshöchheim, Deutschland</x:v>
      </x:c>
      <x:c r="AE45" s="116" t="str">
        <x:v>Standort verifiziert.</x:v>
      </x:c>
    </x:row>
    <x:row r="46">
      <x:c r="A46" s="116" t="str">
        <x:v>T-042-KA</x:v>
      </x:c>
      <x:c r="B46" s="116" t="str">
        <x:v>KVJS – Technischer Beratungsdienst Integrationsamt</x:v>
      </x:c>
      <x:c r="C46" s="116" t="str">
        <x:v>Aufnehmen</x:v>
      </x:c>
      <x:c r="D46" s="116" t="str">
        <x:v>A+</x:v>
      </x:c>
      <x:c r="E46" s="116" t="str">
        <x:v>Technische Arbeitsplatzanpassung</x:v>
      </x:c>
      <x:c r="F46" s="116" t="str">
        <x:v>Technische Beratung; Arbeitsplatzanalyse; Arbeitshilfe; Fahrzeug-/Wohnraumbezug; Förderberatung</x:v>
      </x:c>
      <x:c r="G46" s="116" t="str">
        <x:v>Öffentlicher Technischer Fachdienst</x:v>
      </x:c>
      <x:c r="H46" s="116" t="str">
        <x:v>Erzbergerstraße 119</x:v>
      </x:c>
      <x:c r="I46" s="116" t="str">
        <x:v>76133</x:v>
      </x:c>
      <x:c r="J46" s="116" t="str">
        <x:v>Karlsruhe</x:v>
      </x:c>
      <x:c r="K46" s="116" t="str">
        <x:v>Baden-Württemberg</x:v>
      </x:c>
      <x:c r="L46" s="116" t="str">
        <x:v>Deutschland</x:v>
      </x:c>
      <x:c r="M46" s="116" t="str">
        <x:v>+49 721 8107-0</x:v>
      </x:c>
      <x:c r="N46" s="116" t="str"/>
      <x:c r="O46" s="116" t="str"/>
      <x:c r="P46" s="116" t="str">
        <x:v>https://www.kvjs.de/behinderung-und-beruf/technischer-beratungsdienst</x:v>
      </x:c>
      <x:c r="Q46" s="116" t="str"/>
      <x:c r="R46" s="116" t="str">
        <x:v>Technische Beratung; Arbeitsplatzanalyse; Arbeitshilfe; Fahrzeug-/Wohnraumbezug; Förderberatung | Als Beratungs-/Fachdienst führen, nicht als ausführenden Anbieter.</x:v>
      </x:c>
      <x:c r="S46" s="116" t="str">
        <x:v>öffentlicher Kostenträger-/Integrationsbezug</x:v>
      </x:c>
      <x:c r="T46" s="116" t="str">
        <x:v>Baden-Württemberg</x:v>
      </x:c>
      <x:c r="U46" s="135"/>
      <x:c r="V46" s="135"/>
      <x:c r="W46" s="116" t="str">
        <x:v>Adresse/Kontakt geprüft; numerische Hauskoordinate noch nicht separat verifiziert</x:v>
      </x:c>
      <x:c r="X46" s="116" t="str">
        <x:v>Kartenpunkt – verifizierter Teilstandort</x:v>
      </x:c>
      <x:c r="Y46" s="116" t="str">
        <x:v>Technik 4.4.x – Neuaufnahme</x:v>
      </x:c>
      <x:c r="Z46" s="116" t="str">
        <x:v>T-042</x:v>
      </x:c>
      <x:c r="AA46" s="116" t="str">
        <x:v>https://www.kvjs.de/behinderung-und-beruf/technischer-beratungsdienst</x:v>
      </x:c>
      <x:c r="AB46" s="116" t="str"/>
      <x:c r="AC46" s="116" t="str">
        <x:v>2026-08-30</x:v>
      </x:c>
      <x:c r="AD46" s="116" t="str">
        <x:v>Erzbergerstraße 119, 76133 Karlsruhe, Deutschland</x:v>
      </x:c>
      <x:c r="AE46" s="116" t="str">
        <x:v>KVJS-Standort Karlsruhe.</x:v>
      </x:c>
    </x:row>
    <x:row r="47">
      <x:c r="A47" s="116" t="str">
        <x:v>T-042-ST</x:v>
      </x:c>
      <x:c r="B47" s="116" t="str">
        <x:v>KVJS – Technischer Beratungsdienst Integrationsamt</x:v>
      </x:c>
      <x:c r="C47" s="116" t="str">
        <x:v>Aufnehmen</x:v>
      </x:c>
      <x:c r="D47" s="116" t="str">
        <x:v>A+</x:v>
      </x:c>
      <x:c r="E47" s="116" t="str">
        <x:v>Technische Arbeitsplatzanpassung</x:v>
      </x:c>
      <x:c r="F47" s="116" t="str">
        <x:v>Technische Beratung; Arbeitsplatzanalyse; Arbeitshilfe; Fahrzeug-/Wohnraumbezug; Förderberatung</x:v>
      </x:c>
      <x:c r="G47" s="116" t="str">
        <x:v>Öffentlicher Technischer Fachdienst</x:v>
      </x:c>
      <x:c r="H47" s="116" t="str">
        <x:v>Lindenspürstraße 39</x:v>
      </x:c>
      <x:c r="I47" s="116" t="str">
        <x:v>70176</x:v>
      </x:c>
      <x:c r="J47" s="116" t="str">
        <x:v>Stuttgart</x:v>
      </x:c>
      <x:c r="K47" s="116" t="str">
        <x:v>Baden-Württemberg</x:v>
      </x:c>
      <x:c r="L47" s="116" t="str">
        <x:v>Deutschland</x:v>
      </x:c>
      <x:c r="M47" s="116" t="str">
        <x:v>+49 711 6375-0</x:v>
      </x:c>
      <x:c r="N47" s="116" t="str"/>
      <x:c r="O47" s="116" t="str"/>
      <x:c r="P47" s="116" t="str">
        <x:v>https://www.kvjs.de/behinderung-und-beruf/technischer-beratungsdienst</x:v>
      </x:c>
      <x:c r="Q47" s="116" t="str"/>
      <x:c r="R47" s="116" t="str">
        <x:v>Technische Beratung; Arbeitsplatzanalyse; Arbeitshilfe; Fahrzeug-/Wohnraumbezug; Förderberatung | Als Beratungs-/Fachdienst führen, nicht als ausführenden Anbieter.</x:v>
      </x:c>
      <x:c r="S47" s="116" t="str">
        <x:v>öffentlicher Kostenträger-/Integrationsbezug</x:v>
      </x:c>
      <x:c r="T47" s="116" t="str">
        <x:v>Baden-Württemberg</x:v>
      </x:c>
      <x:c r="U47" s="135"/>
      <x:c r="V47" s="135"/>
      <x:c r="W47" s="116" t="str">
        <x:v>Adresse/Kontakt geprüft; numerische Hauskoordinate noch nicht separat verifiziert</x:v>
      </x:c>
      <x:c r="X47" s="116" t="str">
        <x:v>Kartenpunkt – verifizierter Teilstandort</x:v>
      </x:c>
      <x:c r="Y47" s="116" t="str">
        <x:v>Technik 4.4.x – Neuaufnahme</x:v>
      </x:c>
      <x:c r="Z47" s="116" t="str">
        <x:v>T-042</x:v>
      </x:c>
      <x:c r="AA47" s="116" t="str">
        <x:v>https://www.kvjs.de/behinderung-und-beruf/technischer-beratungsdienst</x:v>
      </x:c>
      <x:c r="AB47" s="116" t="str"/>
      <x:c r="AC47" s="116" t="str">
        <x:v>2026-08-30</x:v>
      </x:c>
      <x:c r="AD47" s="116" t="str">
        <x:v>Lindenspürstraße 39, 70176 Stuttgart, Deutschland</x:v>
      </x:c>
      <x:c r="AE47" s="116" t="str">
        <x:v>KVJS-Standort Stuttgart.</x:v>
      </x:c>
    </x:row>
    <x:row r="48">
      <x:c r="A48" s="116" t="str">
        <x:v>T-042-FR</x:v>
      </x:c>
      <x:c r="B48" s="116" t="str">
        <x:v>KVJS – Technischer Beratungsdienst Integrationsamt</x:v>
      </x:c>
      <x:c r="C48" s="116" t="str">
        <x:v>Aufnehmen</x:v>
      </x:c>
      <x:c r="D48" s="116" t="str">
        <x:v>A+</x:v>
      </x:c>
      <x:c r="E48" s="116" t="str">
        <x:v>Technische Arbeitsplatzanpassung</x:v>
      </x:c>
      <x:c r="F48" s="116" t="str">
        <x:v>Technische Beratung; Arbeitsplatzanalyse; Arbeitshilfe; Fahrzeug-/Wohnraumbezug; Förderberatung</x:v>
      </x:c>
      <x:c r="G48" s="116" t="str">
        <x:v>Öffentlicher Technischer Fachdienst</x:v>
      </x:c>
      <x:c r="H48" s="116" t="str">
        <x:v>Kaiser-Joseph-Straße 170</x:v>
      </x:c>
      <x:c r="I48" s="116" t="str">
        <x:v>79098</x:v>
      </x:c>
      <x:c r="J48" s="116" t="str">
        <x:v>Freiburg im Breisgau</x:v>
      </x:c>
      <x:c r="K48" s="116" t="str">
        <x:v>Baden-Württemberg</x:v>
      </x:c>
      <x:c r="L48" s="116" t="str">
        <x:v>Deutschland</x:v>
      </x:c>
      <x:c r="M48" s="116" t="str">
        <x:v>+49 761 2719-0</x:v>
      </x:c>
      <x:c r="N48" s="116" t="str"/>
      <x:c r="O48" s="116" t="str"/>
      <x:c r="P48" s="116" t="str">
        <x:v>https://www.kvjs.de/behinderung-und-beruf/technischer-beratungsdienst</x:v>
      </x:c>
      <x:c r="Q48" s="116" t="str"/>
      <x:c r="R48" s="116" t="str">
        <x:v>Technische Beratung; Arbeitsplatzanalyse; Arbeitshilfe; Fahrzeug-/Wohnraumbezug; Förderberatung | Als Beratungs-/Fachdienst führen, nicht als ausführenden Anbieter.</x:v>
      </x:c>
      <x:c r="S48" s="116" t="str">
        <x:v>öffentlicher Kostenträger-/Integrationsbezug</x:v>
      </x:c>
      <x:c r="T48" s="116" t="str">
        <x:v>Baden-Württemberg</x:v>
      </x:c>
      <x:c r="U48" s="135"/>
      <x:c r="V48" s="135"/>
      <x:c r="W48" s="116" t="str">
        <x:v>Adresse/Kontakt geprüft; numerische Hauskoordinate noch nicht separat verifiziert</x:v>
      </x:c>
      <x:c r="X48" s="116" t="str">
        <x:v>Kartenpunkt – verifizierter Teilstandort</x:v>
      </x:c>
      <x:c r="Y48" s="116" t="str">
        <x:v>Technik 4.4.x – Neuaufnahme</x:v>
      </x:c>
      <x:c r="Z48" s="116" t="str">
        <x:v>T-042</x:v>
      </x:c>
      <x:c r="AA48" s="116" t="str">
        <x:v>https://www.kvjs.de/behinderung-und-beruf/technischer-beratungsdienst</x:v>
      </x:c>
      <x:c r="AB48" s="116" t="str"/>
      <x:c r="AC48" s="116" t="str">
        <x:v>2026-08-30</x:v>
      </x:c>
      <x:c r="AD48" s="116" t="str">
        <x:v>Kaiser-Joseph-Straße 170, 79098 Freiburg im Breisgau, Deutschland</x:v>
      </x:c>
      <x:c r="AE48" s="116" t="str">
        <x:v>KVJS-Standort Freiburg.</x:v>
      </x:c>
    </x:row>
    <x:row r="49">
      <x:c r="A49" s="116" t="str">
        <x:v>T-043</x:v>
      </x:c>
      <x:c r="B49" s="116" t="str">
        <x:v>LSJV Rheinland-Pfalz – Technischer Beratungsdienst Integrationsamt</x:v>
      </x:c>
      <x:c r="C49" s="116" t="str">
        <x:v>Aufnehmen</x:v>
      </x:c>
      <x:c r="D49" s="116" t="str">
        <x:v>A+</x:v>
      </x:c>
      <x:c r="E49" s="116" t="str">
        <x:v>Technische Arbeitsplatzanpassung</x:v>
      </x:c>
      <x:c r="F49" s="116" t="str">
        <x:v>Technische Beratung; Arbeitsplatzanalyse; technische Arbeitshilfe; Förderberatung</x:v>
      </x:c>
      <x:c r="G49" s="116" t="str">
        <x:v>Öffentlicher Technischer Fachdienst</x:v>
      </x:c>
      <x:c r="H49" s="116" t="str">
        <x:v>Rheinallee 97-101</x:v>
      </x:c>
      <x:c r="I49" s="116" t="str">
        <x:v>55118</x:v>
      </x:c>
      <x:c r="J49" s="116" t="str">
        <x:v>Mainz</x:v>
      </x:c>
      <x:c r="K49" s="116" t="str">
        <x:v>Rheinland-Pfalz</x:v>
      </x:c>
      <x:c r="L49" s="116" t="str">
        <x:v>Deutschland</x:v>
      </x:c>
      <x:c r="M49" s="116" t="str">
        <x:v>+49 6131 967-0</x:v>
      </x:c>
      <x:c r="N49" s="116" t="str"/>
      <x:c r="O49" s="116" t="str">
        <x:v>integrationsamt@lsjv.rlp.de</x:v>
      </x:c>
      <x:c r="P49" s="116" t="str">
        <x:v>https://lsjv.rlp.de/themen/inklusion/inklusion-und-beruf/begleitende-hilfen-im-arbeitsleben</x:v>
      </x:c>
      <x:c r="Q49" s="116" t="str"/>
      <x:c r="R49" s="116" t="str">
        <x:v>Technische Beratung; Arbeitsplatzanalyse; technische Arbeitshilfe; Förderberatung | Als Beratungs-/Fachdienst führen, nicht als ausführenden Anbieter.</x:v>
      </x:c>
      <x:c r="S49" s="116" t="str">
        <x:v>öffentlicher Kostenträger-/Integrationsbezug</x:v>
      </x:c>
      <x:c r="T49" s="116" t="str">
        <x:v>Rheinland-Pfalz</x:v>
      </x:c>
      <x:c r="U49" s="135"/>
      <x:c r="V49" s="135"/>
      <x:c r="W49" s="116" t="str">
        <x:v>Adresse/Kontakt geprüft; numerische Hauskoordinate noch nicht separat verifiziert</x:v>
      </x:c>
      <x:c r="X49" s="116" t="str">
        <x:v>Kartenpunkt – Adresse geprüft</x:v>
      </x:c>
      <x:c r="Y49" s="116" t="str">
        <x:v>Technik 4.4.x – Neuaufnahme</x:v>
      </x:c>
      <x:c r="Z49" s="116" t="str"/>
      <x:c r="AA49" s="116" t="str">
        <x:v>https://lsjv.rlp.de/themen/inklusion/inklusion-und-beruf/technischer-beratungsdienst</x:v>
      </x:c>
      <x:c r="AB49" s="116" t="str"/>
      <x:c r="AC49" s="116" t="str">
        <x:v>2026-08-30</x:v>
      </x:c>
      <x:c r="AD49" s="116" t="str">
        <x:v>Rheinallee 97-101, 55118 Mainz, Deutschland</x:v>
      </x:c>
      <x:c r="AE49" s="116" t="str">
        <x:v>Integrationsamt/Technischer Beratungsdienst Mainz als Kartenpunkt.</x:v>
      </x:c>
    </x:row>
    <x:row r="50">
      <x:c r="A50" s="116" t="str">
        <x:v>T-044</x:v>
      </x:c>
      <x:c r="B50" s="116" t="str">
        <x:v>Bundesagentur für Arbeit – Technischer Beratungsdienst</x:v>
      </x:c>
      <x:c r="C50" s="116" t="str">
        <x:v>Aufnehmen</x:v>
      </x:c>
      <x:c r="D50" s="116" t="str">
        <x:v>A+</x:v>
      </x:c>
      <x:c r="E50" s="116" t="str">
        <x:v>Technische Arbeitsplatzanpassung</x:v>
      </x:c>
      <x:c r="F50" s="116" t="str">
        <x:v>Technisches Gutachten; Arbeitsplatzanalyse; Hilfsmittel-/Fahrzeug-/Umbauempfehlung</x:v>
      </x:c>
      <x:c r="G50" s="116" t="str">
        <x:v>Öffentlicher Technischer Fachdienst</x:v>
      </x:c>
      <x:c r="H50" s="116" t="str"/>
      <x:c r="I50" s="116" t="str"/>
      <x:c r="J50" s="116" t="str"/>
      <x:c r="K50" s="116" t="str"/>
      <x:c r="L50" s="116" t="str">
        <x:v>Deutschland</x:v>
      </x:c>
      <x:c r="M50" s="116" t="str">
        <x:v>+49 800 4555500</x:v>
      </x:c>
      <x:c r="N50" s="116" t="str"/>
      <x:c r="O50" s="116" t="str"/>
      <x:c r="P50" s="116" t="str">
        <x:v>https://www.arbeitsagentur.de/ueber-uns/technischer-beratungsdienst</x:v>
      </x:c>
      <x:c r="Q50" s="116" t="str"/>
      <x:c r="R50" s="116" t="str">
        <x:v>Technisches Gutachten; Arbeitsplatzanalyse; Hilfsmittel-/Fahrzeug-/Umbauempfehlung | Als funktionalen Beratungsweg hinterlegen; nicht als einzelner Kartenpunkt.</x:v>
      </x:c>
      <x:c r="S50" s="116" t="str">
        <x:v>öffentlicher Kostenträgerbezug</x:v>
      </x:c>
      <x:c r="T50" s="116" t="str">
        <x:v>bundesweit</x:v>
      </x:c>
      <x:c r="U50" s="135"/>
      <x:c r="V50" s="135"/>
      <x:c r="W50" s="116" t="str">
        <x:v>Kein Einzelpunkt erforderlich</x:v>
      </x:c>
      <x:c r="X50" s="116" t="str">
        <x:v>Kein Einzelpunkt – bundesweiter Fachdienst</x:v>
      </x:c>
      <x:c r="Y50" s="116" t="str">
        <x:v>Technik 4.4.x – Neuaufnahme</x:v>
      </x:c>
      <x:c r="Z50" s="116" t="str"/>
      <x:c r="AA50" s="116" t="str">
        <x:v>https://www.arbeitsagentur.de/unternehmen/arbeitskraefte/technischer-beratungsdienst</x:v>
      </x:c>
      <x:c r="AB50" s="116" t="str"/>
      <x:c r="AC50" s="116" t="str">
        <x:v>2026-08-30</x:v>
      </x:c>
      <x:c r="AD50" s="116" t="str"/>
      <x:c r="AE50" s="116" t="str">
        <x:v>Bundesweiter Fachdienst; kein einzelner Kartenpunkt. Zugang über regionale Agentur für Arbeit/Jobcenter.</x:v>
      </x:c>
    </x:row>
    <x:row r="51">
      <x:c r="A51" s="116" t="str">
        <x:v>T-045</x:v>
      </x:c>
      <x:c r="B51" s="116" t="str">
        <x:v>Fachdienste für Hörgeschädigte Rheinland-Pfalz</x:v>
      </x:c>
      <x:c r="C51" s="116" t="str">
        <x:v>Aufnehmen</x:v>
      </x:c>
      <x:c r="D51" s="116" t="str">
        <x:v>A</x:v>
      </x:c>
      <x:c r="E51" s="116" t="str">
        <x:v>Technische Arbeitsplatzanpassung</x:v>
      </x:c>
      <x:c r="F51" s="116" t="str">
        <x:v>Arbeitsplatzberatung; technische Hör-/Kommunikationshilfe; Arbeitsassistenz; Förderberatung</x:v>
      </x:c>
      <x:c r="G51" s="116" t="str">
        <x:v>Spezialisierter Integrationsfachdienst</x:v>
      </x:c>
      <x:c r="H51" s="116" t="str">
        <x:v>Carl-Spitzweg-Straße 30</x:v>
      </x:c>
      <x:c r="I51" s="116" t="str">
        <x:v>67227</x:v>
      </x:c>
      <x:c r="J51" s="116" t="str">
        <x:v>Frankenthal (Pfalz)</x:v>
      </x:c>
      <x:c r="K51" s="116" t="str">
        <x:v>Rheinland-Pfalz</x:v>
      </x:c>
      <x:c r="L51" s="116" t="str">
        <x:v>Deutschland</x:v>
      </x:c>
      <x:c r="M51" s="116" t="str">
        <x:v>+49 6233 3458-0</x:v>
      </x:c>
      <x:c r="N51" s="116" t="str"/>
      <x:c r="O51" s="116" t="str">
        <x:v>kontakt@gehoerlose-rlp.de</x:v>
      </x:c>
      <x:c r="P51" s="116" t="str">
        <x:v>https://www.fd-gehoerlose-rlp.de/</x:v>
      </x:c>
      <x:c r="Q51" s="116" t="str"/>
      <x:c r="R51" s="116" t="str">
        <x:v>Arbeitsplatzberatung; technische Hör-/Kommunikationshilfe; Arbeitsassistenz; Förderberatung | Mit Humantechnik/WERMA und technischen Umsetzern verknüpfen.</x:v>
      </x:c>
      <x:c r="S51" s="116" t="str">
        <x:v>Integrationsamt-/Kostenträgerbezug</x:v>
      </x:c>
      <x:c r="T51" s="116" t="str">
        <x:v>Rheinland-Pfalz</x:v>
      </x:c>
      <x:c r="U51" s="135"/>
      <x:c r="V51" s="135"/>
      <x:c r="W51" s="116" t="str">
        <x:v>Adresse/Kontakt geprüft; numerische Hauskoordinate noch nicht separat verifiziert</x:v>
      </x:c>
      <x:c r="X51" s="116" t="str">
        <x:v>Kartenpunkt – Adresse geprüft</x:v>
      </x:c>
      <x:c r="Y51" s="116" t="str">
        <x:v>Technik 4.4.x – Neuaufnahme</x:v>
      </x:c>
      <x:c r="Z51" s="116" t="str"/>
      <x:c r="AA51" s="116" t="str">
        <x:v>https://www.fd-gehoerlose-rlp.de/</x:v>
      </x:c>
      <x:c r="AB51" s="116" t="str"/>
      <x:c r="AC51" s="116" t="str">
        <x:v>2026-08-30</x:v>
      </x:c>
      <x:c r="AD51" s="116" t="str">
        <x:v>Carl-Spitzweg-Straße 30, 67227 Frankenthal (Pfalz), Deutschland</x:v>
      </x:c>
      <x:c r="AE51" s="116" t="str">
        <x:v>Standort Frankenthal verifiziert.</x:v>
      </x:c>
    </x:row>
    <x:row r="52">
      <x:c r="A52" s="116" t="str">
        <x:v>P-002</x:v>
      </x:c>
      <x:c r="B52" s="116" t="str">
        <x:v>Feinwerktechnik Ritzenthaler GmbH</x:v>
      </x:c>
      <x:c r="C52" s="116" t="str">
        <x:v>Aufnehmen</x:v>
      </x:c>
      <x:c r="D52" s="116" t="str">
        <x:v>A+</x:v>
      </x:c>
      <x:c r="E52" s="116" t="str">
        <x:v>Technische Arbeitsplatzanpassung</x:v>
      </x:c>
      <x:c r="F52" s="116" t="str">
        <x:v>Vor-Ort-Analyse; Greifwegoptimierung; Materialbereitstellung; ergonomische Montage-/Arbeitsplätze; Konstruktion; eigene Fertigung; Umbau/Retrofit; Montage/Inbetriebnahme</x:v>
      </x:c>
      <x:c r="G52" s="116" t="str">
        <x:v>Technischer Umsetzer / Arbeitsplatzsysteme &amp; Vorrichtungen</x:v>
      </x:c>
      <x:c r="H52" s="116" t="str">
        <x:v>Staufener Straße 4</x:v>
      </x:c>
      <x:c r="I52" s="116" t="str">
        <x:v>79427</x:v>
      </x:c>
      <x:c r="J52" s="116" t="str">
        <x:v>Eschbach</x:v>
      </x:c>
      <x:c r="K52" s="116" t="str">
        <x:v>Baden-Württemberg</x:v>
      </x:c>
      <x:c r="L52" s="116" t="str">
        <x:v>Deutschland</x:v>
      </x:c>
      <x:c r="M52" s="116" t="str">
        <x:v>+49 7634 5071428</x:v>
      </x:c>
      <x:c r="N52" s="116" t="str"/>
      <x:c r="O52" s="116" t="str">
        <x:v>kontakt@fwtr.de</x:v>
      </x:c>
      <x:c r="P52" s="116" t="str">
        <x:v>https://fwtr.de/</x:v>
      </x:c>
      <x:c r="Q52" s="116" t="str"/>
      <x:c r="R52" s="116" t="str">
        <x:v>Vor-Ort-Analyse; Greifwegoptimierung; Materialbereitstellung; ergonomische Montage-/Arbeitsplätze; Konstruktion; eigene Fertigung; Umbau/Retrofit; Montage/Inbetriebnahme | Sehr guter Fit: Analyse, Entwicklung, Fertigung, Vor-Ort-Montage und Retrofit aus einer Hand.</x:v>
      </x:c>
      <x:c r="S52" s="116" t="str">
        <x:v>nicht spezifisch belegt</x:v>
      </x:c>
      <x:c r="T52" s="116" t="str">
        <x:v>regional + projektbezogen überregional</x:v>
      </x:c>
      <x:c r="U52" s="135"/>
      <x:c r="V52" s="135"/>
      <x:c r="W52" s="116" t="str">
        <x:v>Adresse/Kontakt geprüft; numerische Hauskoordinate noch nicht separat verifiziert</x:v>
      </x:c>
      <x:c r="X52" s="116" t="str">
        <x:v>Kartenpunkt – Adresse geprüft</x:v>
      </x:c>
      <x:c r="Y52" s="116" t="str">
        <x:v>Technik 4.4.x – Neuaufnahme</x:v>
      </x:c>
      <x:c r="Z52" s="116" t="str"/>
      <x:c r="AA52" s="116" t="str">
        <x:v>https://fwtr.de/leistungen/</x:v>
      </x:c>
      <x:c r="AB52" s="116" t="str"/>
      <x:c r="AC52" s="116" t="str">
        <x:v>2026-08-30</x:v>
      </x:c>
      <x:c r="AD52" s="116" t="str">
        <x:v>Staufener Straße 4, 79427 Eschbach, Deutschland</x:v>
      </x:c>
      <x:c r="AE52" s="116" t="str">
        <x:v>Sehr guter Fit: Analyse, Entwicklung, Fertigung, Vor-Ort-Montage und Retrofit aus einer Hand.</x:v>
      </x:c>
    </x:row>
    <x:row r="53">
      <x:c r="A53" s="116" t="str">
        <x:v>P-003</x:v>
      </x:c>
      <x:c r="B53" s="116" t="str">
        <x:v>Grabert Aluformguss GmbH</x:v>
      </x:c>
      <x:c r="C53" s="116" t="str">
        <x:v>Aufnehmen</x:v>
      </x:c>
      <x:c r="D53" s="116" t="str">
        <x:v>B</x:v>
      </x:c>
      <x:c r="E53" s="116" t="str">
        <x:v>Technische Arbeitsplatzanpassung</x:v>
      </x:c>
      <x:c r="F53" s="116" t="str">
        <x:v>Engineering; Modell-/Prototypenbau; Vorrichtungsbau; Maschinenbau; Montage; Handarbeitsplätze/Handlingsysteme projektbezogen</x:v>
      </x:c>
      <x:c r="G53" s="116" t="str">
        <x:v>Technischer Umsetzer / Sondermaschinen &amp; Vorrichtungen</x:v>
      </x:c>
      <x:c r="H53" s="116" t="str">
        <x:v>Salzstraße 153</x:v>
      </x:c>
      <x:c r="I53" s="116" t="str">
        <x:v>74076</x:v>
      </x:c>
      <x:c r="J53" s="116" t="str">
        <x:v>Heilbronn</x:v>
      </x:c>
      <x:c r="K53" s="116" t="str">
        <x:v>Baden-Württemberg</x:v>
      </x:c>
      <x:c r="L53" s="116" t="str">
        <x:v>Deutschland</x:v>
      </x:c>
      <x:c r="M53" s="116" t="str">
        <x:v>+49 7131 9568-0</x:v>
      </x:c>
      <x:c r="N53" s="116" t="str"/>
      <x:c r="O53" s="116" t="str">
        <x:v>info@grabert-aluformguss.de</x:v>
      </x:c>
      <x:c r="P53" s="116" t="str">
        <x:v>https://www.grabert-aluformguss.de/</x:v>
      </x:c>
      <x:c r="Q53" s="116" t="str"/>
      <x:c r="R53" s="116" t="str">
        <x:v>Engineering; Modell-/Prototypenbau; Vorrichtungsbau; Maschinenbau; Montage; Handarbeitsplätze/Handlingsysteme projektbezogen | Als projektbezogener technischer Umsetzer aufnehmen; Reha-Einzelfallbezug nicht ausdrücklich beworben.</x:v>
      </x:c>
      <x:c r="S53" s="116" t="str">
        <x:v>nicht spezifisch belegt</x:v>
      </x:c>
      <x:c r="T53" s="116" t="str">
        <x:v>regional + projektbezogen überregional</x:v>
      </x:c>
      <x:c r="U53" s="135"/>
      <x:c r="V53" s="135"/>
      <x:c r="W53" s="116" t="str">
        <x:v>Adresse/Kontakt geprüft; numerische Hauskoordinate noch nicht separat verifiziert</x:v>
      </x:c>
      <x:c r="X53" s="116" t="str">
        <x:v>Kartenpunkt – Adresse geprüft</x:v>
      </x:c>
      <x:c r="Y53" s="116" t="str">
        <x:v>Technik 4.4.x – Neuaufnahme</x:v>
      </x:c>
      <x:c r="Z53" s="116" t="str"/>
      <x:c r="AA53" s="116" t="str">
        <x:v>https://www.grabert-aluformguss.de/</x:v>
      </x:c>
      <x:c r="AB53" s="116" t="str"/>
      <x:c r="AC53" s="116" t="str">
        <x:v>2026-08-30</x:v>
      </x:c>
      <x:c r="AD53" s="116" t="str">
        <x:v>Salzstraße 153, 74076 Heilbronn, Deutschland</x:v>
      </x:c>
      <x:c r="AE53" s="116" t="str">
        <x:v>Als projektbezogener technischer Umsetzer aufnehmen; Reha-Einzelfallbezug nicht ausdrücklich beworben.</x:v>
      </x:c>
    </x:row>
    <x:row r="54">
      <x:c r="A54" s="116" t="str">
        <x:v>P-004</x:v>
      </x:c>
      <x:c r="B54" s="116" t="str">
        <x:v>Log &amp; Consult GmbH</x:v>
      </x:c>
      <x:c r="C54" s="116" t="str">
        <x:v>Aufnehmen</x:v>
      </x:c>
      <x:c r="D54" s="116" t="str">
        <x:v>A</x:v>
      </x:c>
      <x:c r="E54" s="116" t="str">
        <x:v>Technische Arbeitsplatzanpassung</x:v>
      </x:c>
      <x:c r="F54" s="116" t="str">
        <x:v>Individuelle Arbeitsplatzsysteme; Materialbereitstellung; Ergonomie; Entwicklung vom Entwurf/Prototyp bis Serie</x:v>
      </x:c>
      <x:c r="G54" s="116" t="str">
        <x:v>Technischer Umsetzer / Arbeitsplatz &amp; Materialfluss</x:v>
      </x:c>
      <x:c r="H54" s="116" t="str">
        <x:v>Amsterdamerstraße 9</x:v>
      </x:c>
      <x:c r="I54" s="116" t="str">
        <x:v>74081</x:v>
      </x:c>
      <x:c r="J54" s="116" t="str">
        <x:v>Heilbronn</x:v>
      </x:c>
      <x:c r="K54" s="116" t="str">
        <x:v>Baden-Württemberg</x:v>
      </x:c>
      <x:c r="L54" s="116" t="str">
        <x:v>Deutschland</x:v>
      </x:c>
      <x:c r="M54" s="116" t="str">
        <x:v>+49 7131 8993460</x:v>
      </x:c>
      <x:c r="N54" s="116" t="str"/>
      <x:c r="O54" s="116" t="str">
        <x:v>info@log-consult.com</x:v>
      </x:c>
      <x:c r="P54" s="116" t="str">
        <x:v>https://www.log-consult.com/</x:v>
      </x:c>
      <x:c r="Q54" s="116" t="str"/>
      <x:c r="R54" s="116" t="str">
        <x:v>Individuelle Arbeitsplatzsysteme; Materialbereitstellung; Ergonomie; Entwicklung vom Entwurf/Prototyp bis Serie | Klarer Fit für individuelle ergonomische Arbeitsplatz- und Materialflusslösungen.</x:v>
      </x:c>
      <x:c r="S54" s="116" t="str">
        <x:v>nicht spezifisch belegt</x:v>
      </x:c>
      <x:c r="T54" s="116" t="str">
        <x:v>regional + projektbezogen überregional</x:v>
      </x:c>
      <x:c r="U54" s="135"/>
      <x:c r="V54" s="135"/>
      <x:c r="W54" s="116" t="str">
        <x:v>Adresse/Kontakt geprüft; numerische Hauskoordinate noch nicht separat verifiziert</x:v>
      </x:c>
      <x:c r="X54" s="116" t="str">
        <x:v>Kartenpunkt – Adresse geprüft</x:v>
      </x:c>
      <x:c r="Y54" s="116" t="str">
        <x:v>Technik 4.4.x – Neuaufnahme</x:v>
      </x:c>
      <x:c r="Z54" s="116" t="str"/>
      <x:c r="AA54" s="116" t="str">
        <x:v>https://www.log-consult.com/</x:v>
      </x:c>
      <x:c r="AB54" s="116" t="str"/>
      <x:c r="AC54" s="116" t="str">
        <x:v>2026-08-30</x:v>
      </x:c>
      <x:c r="AD54" s="116" t="str">
        <x:v>Amsterdamerstraße 9, 74081 Heilbronn, Deutschland</x:v>
      </x:c>
      <x:c r="AE54" s="116" t="str">
        <x:v>Klarer Fit für individuelle ergonomische Arbeitsplatz- und Materialflusslösungen.</x:v>
      </x:c>
    </x:row>
    <x:row r="55">
      <x:c r="A55" s="116" t="str">
        <x:v>P-005</x:v>
      </x:c>
      <x:c r="B55" s="116" t="str">
        <x:v>AGIL Rehabilitationstechnik</x:v>
      </x:c>
      <x:c r="C55" s="116" t="str">
        <x:v>Aufnehmen</x:v>
      </x:c>
      <x:c r="D55" s="116" t="str">
        <x:v>B</x:v>
      </x:c>
      <x:c r="E55" s="116" t="str">
        <x:v>Technische Arbeitsplatzanpassung</x:v>
      </x:c>
      <x:c r="F55" s="116" t="str">
        <x:v>Elektrorollstühle; Sondersteuerungen; individuelle Sonderanfertigungen; technischer Außendienst und Werkstatt</x:v>
      </x:c>
      <x:c r="G55" s="116" t="str">
        <x:v>Technischer Ergänzungspartner / komplexe Rehatechnik</x:v>
      </x:c>
      <x:c r="H55" s="116" t="str">
        <x:v>Am Taubenfeld 14/1</x:v>
      </x:c>
      <x:c r="I55" s="116" t="str">
        <x:v>69123</x:v>
      </x:c>
      <x:c r="J55" s="116" t="str">
        <x:v>Heidelberg</x:v>
      </x:c>
      <x:c r="K55" s="116" t="str">
        <x:v>Baden-Württemberg</x:v>
      </x:c>
      <x:c r="L55" s="116" t="str">
        <x:v>Deutschland</x:v>
      </x:c>
      <x:c r="M55" s="116" t="str">
        <x:v>+49 6221 82240</x:v>
      </x:c>
      <x:c r="N55" s="116" t="str"/>
      <x:c r="O55" s="116" t="str">
        <x:v>reha@agil-info.de</x:v>
      </x:c>
      <x:c r="P55" s="116" t="str">
        <x:v>https://www.agil-info.de/</x:v>
      </x:c>
      <x:c r="Q55" s="116" t="str"/>
      <x:c r="R55" s="116" t="str">
        <x:v>Elektrorollstühle; Sondersteuerungen; individuelle Sonderanfertigungen; technischer Außendienst und Werkstatt | Nicht als primären Industrie-Arbeitsplatzberater führen; als Ergänzungspartner bei komplexer Mobilitäts-/Steuerungstechnik.</x:v>
      </x:c>
      <x:c r="S55" s="116" t="str">
        <x:v>nicht spezifisch belegt</x:v>
      </x:c>
      <x:c r="T55" s="116" t="str">
        <x:v>regional + projektbezogen überregional</x:v>
      </x:c>
      <x:c r="U55" s="135"/>
      <x:c r="V55" s="135"/>
      <x:c r="W55" s="116" t="str">
        <x:v>Adresse/Kontakt geprüft; numerische Hauskoordinate noch nicht separat verifiziert</x:v>
      </x:c>
      <x:c r="X55" s="116" t="str">
        <x:v>Kartenpunkt – Adresse geprüft</x:v>
      </x:c>
      <x:c r="Y55" s="116" t="str">
        <x:v>Technik 4.4.x – Neuaufnahme</x:v>
      </x:c>
      <x:c r="Z55" s="116" t="str"/>
      <x:c r="AA55" s="116" t="str">
        <x:v>https://www.agil-info.de/</x:v>
      </x:c>
      <x:c r="AB55" s="116" t="str"/>
      <x:c r="AC55" s="116" t="str">
        <x:v>2026-08-30</x:v>
      </x:c>
      <x:c r="AD55" s="116" t="str">
        <x:v>Am Taubenfeld 14/1, 69123 Heidelberg, Deutschland</x:v>
      </x:c>
      <x:c r="AE55" s="116" t="str">
        <x:v>Nicht als primären Industrie-Arbeitsplatzberater führen; als Ergänzungspartner bei komplexer Mobilitäts-/Steuerungstechnik.</x:v>
      </x:c>
    </x:row>
    <x:row r="56">
      <x:c r="A56" s="116" t="str">
        <x:v>P-006</x:v>
      </x:c>
      <x:c r="B56" s="116" t="str">
        <x:v>PETec GmbH</x:v>
      </x:c>
      <x:c r="C56" s="116" t="str">
        <x:v>Aufnehmen</x:v>
      </x:c>
      <x:c r="D56" s="116" t="str">
        <x:v>A</x:v>
      </x:c>
      <x:c r="E56" s="116" t="str">
        <x:v>Technische Arbeitsplatzanpassung</x:v>
      </x:c>
      <x:c r="F56" s="116" t="str">
        <x:v>Höhenverstellbare Montage-/Schweiß-/Schwerlasttische; Hub-/Dreh-/Kippfunktionen; Sonderanfertigungen</x:v>
      </x:c>
      <x:c r="G56" s="116" t="str">
        <x:v>Technischer Umsetzer / Schwerlast- &amp; Schweißtische</x:v>
      </x:c>
      <x:c r="H56" s="116" t="str">
        <x:v>Zum Osterfeld 6</x:v>
      </x:c>
      <x:c r="I56" s="116" t="str">
        <x:v>59872</x:v>
      </x:c>
      <x:c r="J56" s="116" t="str">
        <x:v>Meschede</x:v>
      </x:c>
      <x:c r="K56" s="116" t="str">
        <x:v>Nordrhein-Westfalen</x:v>
      </x:c>
      <x:c r="L56" s="116" t="str">
        <x:v>Deutschland</x:v>
      </x:c>
      <x:c r="M56" s="116" t="str">
        <x:v>+49 291 95277807</x:v>
      </x:c>
      <x:c r="N56" s="116" t="str"/>
      <x:c r="O56" s="116" t="str">
        <x:v>info@petec-gmbh.de</x:v>
      </x:c>
      <x:c r="P56" s="116" t="str">
        <x:v>https://www.petec-gmbh.de/</x:v>
      </x:c>
      <x:c r="Q56" s="116" t="str"/>
      <x:c r="R56" s="116" t="str">
        <x:v>Höhenverstellbare Montage-/Schweiß-/Schwerlasttische; Hub-/Dreh-/Kippfunktionen; Sonderanfertigungen | Spezialanbieter für Schwerlast-/Schweißfälle; überregional und fallbezogen priorisieren.</x:v>
      </x:c>
      <x:c r="S56" s="116" t="str">
        <x:v>nicht spezifisch belegt</x:v>
      </x:c>
      <x:c r="T56" s="116" t="str">
        <x:v>regional + projektbezogen überregional</x:v>
      </x:c>
      <x:c r="U56" s="135"/>
      <x:c r="V56" s="135"/>
      <x:c r="W56" s="116" t="str">
        <x:v>Adresse/Kontakt geprüft; numerische Hauskoordinate noch nicht separat verifiziert</x:v>
      </x:c>
      <x:c r="X56" s="116" t="str">
        <x:v>Kartenpunkt – Adresse geprüft</x:v>
      </x:c>
      <x:c r="Y56" s="116" t="str">
        <x:v>Technik 4.4.x – Neuaufnahme</x:v>
      </x:c>
      <x:c r="Z56" s="116" t="str"/>
      <x:c r="AA56" s="116" t="str">
        <x:v>https://www.petec-gmbh.de/</x:v>
      </x:c>
      <x:c r="AB56" s="116" t="str"/>
      <x:c r="AC56" s="116" t="str">
        <x:v>2026-08-30</x:v>
      </x:c>
      <x:c r="AD56" s="116" t="str">
        <x:v>Zum Osterfeld 6, 59872 Meschede, Deutschland</x:v>
      </x:c>
      <x:c r="AE56" s="116" t="str">
        <x:v>Spezialanbieter für Schwerlast-/Schweißfälle; überregional und fallbezogen priorisieren.</x:v>
      </x:c>
    </x:row>
    <x:row r="57">
      <x:c r="A57" s="116" t="str">
        <x:v>MED44-001</x:v>
      </x:c>
      <x:c r="B57" s="116" t="str">
        <x:v>Schmerztherapiezentrum Bad Mergentheim</x:v>
      </x:c>
      <x:c r="C57" s="116" t="str">
        <x:v>Aufnehmen</x:v>
      </x:c>
      <x:c r="D57" s="116" t="str">
        <x:v>A+</x:v>
      </x:c>
      <x:c r="E57" s="116" t="str">
        <x:v>Medizinische Reha</x:v>
      </x:c>
      <x:c r="F57" s="116" t="str">
        <x:v>Schmerztherapie; Schmerzpsychotherapie; MBOR</x:v>
      </x:c>
      <x:c r="G57" s="116" t="str">
        <x:v>Fachklinik + ambulante Schmerzpraxis</x:v>
      </x:c>
      <x:c r="H57" s="116" t="str">
        <x:v>Schönbornstraße 10</x:v>
      </x:c>
      <x:c r="I57" s="116" t="str">
        <x:v>97980</x:v>
      </x:c>
      <x:c r="J57" s="116" t="str">
        <x:v>Bad Mergentheim</x:v>
      </x:c>
      <x:c r="K57" s="116" t="str">
        <x:v>Baden-Württemberg</x:v>
      </x:c>
      <x:c r="L57" s="116" t="str">
        <x:v>Deutschland</x:v>
      </x:c>
      <x:c r="M57" s="116" t="str">
        <x:v>07931 5493-0; 0800 1983 198</x:v>
      </x:c>
      <x:c r="N57" s="116" t="str">
        <x:v>07931 5493-50</x:v>
      </x:c>
      <x:c r="O57" s="116" t="str">
        <x:v>info@schmerzklinik.com</x:v>
      </x:c>
      <x:c r="P57" s="116" t="str">
        <x:v>https://www.schmerzklinik.com/</x:v>
      </x:c>
      <x:c r="Q57" s="116" t="str">
        <x:v>Patientenmanagement / Carolin Leckert</x:v>
      </x:c>
      <x:c r="R57" s="116" t="str">
        <x:v>Multimodale und spezielle Schmerztherapie; Schmerzpsychotherapie; stationäre Behandlung/Rehabilitation; ambulante Schmerzpraxis am selben Standort; MBOR</x:v>
      </x:c>
      <x:c r="S57" s="116" t="str">
        <x:v>BG-Patienten und Berufsgenossenschaften ausdrücklich behandelt</x:v>
      </x:c>
      <x:c r="T57" s="116" t="str">
        <x:v>Main-Tauber; Heilbronn-Franken; Unterfranken; überregional</x:v>
      </x:c>
      <x:c r="U57" s="135" t="n">
        <x:v>49.5061968</x:v>
      </x:c>
      <x:c r="V57" s="135" t="n">
        <x:v>9.79003480327421</x:v>
      </x:c>
      <x:c r="W57" s="116" t="str">
        <x:v>Hausadresse und Standortkoordinate verifiziert</x:v>
      </x:c>
      <x:c r="X57" s="116" t="str">
        <x:v>Neuer Kartenpunkt</x:v>
      </x:c>
      <x:c r="Y57" s="116" t="str">
        <x:v>Neuaufnahme 4.4.x</x:v>
      </x:c>
      <x:c r="Z57" s="116" t="str"/>
      <x:c r="AA57" s="116" t="str">
        <x:v>https://www.schmerzklinik.com/patienten</x:v>
      </x:c>
      <x:c r="AB57" s="116" t="str">
        <x:v>Adress-/Kartenabgleich Schönbornstraße 10</x:v>
      </x:c>
      <x:c r="AC57" s="116" t="str">
        <x:v>2026-08-30</x:v>
      </x:c>
      <x:c r="AD57" s="116" t="str">
        <x:v>Schönbornstraße 10, 97980 Bad Mergentheim, Deutschland</x:v>
      </x:c>
      <x:c r="AE57" s="116" t="str">
        <x:v>A+; ambulant und stationär am selben Standort; besondere regionale Bedeutung.</x:v>
      </x:c>
    </x:row>
    <x:row r="58">
      <x:c r="A58" s="116" t="str">
        <x:v>NP44-001</x:v>
      </x:c>
      <x:c r="B58" s="116" t="str">
        <x:v>Gemeinschaftspraxis für Neurologie, Psychiatrie und Psychotherapie – Nowackanlage</x:v>
      </x:c>
      <x:c r="C58" s="116" t="str">
        <x:v>Aufnehmen</x:v>
      </x:c>
      <x:c r="D58" s="116" t="str">
        <x:v>A</x:v>
      </x:c>
      <x:c r="E58" s="116" t="str">
        <x:v>Neurologisch-psychiatrische Praxen</x:v>
      </x:c>
      <x:c r="F58" s="116" t="str">
        <x:v>Neurologie; Psychiatrie; Psychotherapie</x:v>
      </x:c>
      <x:c r="G58" s="116" t="str">
        <x:v>größere Gemeinschaftspraxis</x:v>
      </x:c>
      <x:c r="H58" s="116" t="str">
        <x:v>Nowackanlage 15</x:v>
      </x:c>
      <x:c r="I58" s="116" t="str">
        <x:v>76137</x:v>
      </x:c>
      <x:c r="J58" s="116" t="str">
        <x:v>Karlsruhe</x:v>
      </x:c>
      <x:c r="K58" s="116" t="str">
        <x:v>Baden-Württemberg</x:v>
      </x:c>
      <x:c r="L58" s="116" t="str">
        <x:v>Deutschland</x:v>
      </x:c>
      <x:c r="M58" s="116" t="str">
        <x:v>0721 388030</x:v>
      </x:c>
      <x:c r="N58" s="116" t="str">
        <x:v>0721 31978</x:v>
      </x:c>
      <x:c r="O58" s="116" t="str">
        <x:v>praxis@neurologie-psychiatrie-karlsruhe.de</x:v>
      </x:c>
      <x:c r="P58" s="116" t="str">
        <x:v>https://www.neurologie-psychiatrie-karlsruhe.de/</x:v>
      </x:c>
      <x:c r="Q58" s="116" t="str">
        <x:v>Dr. Petra Hubrich-Durm; Friedrich Fässler; Till van der List; Dr. Monika Bottlender; Dr. Franziska Uhrenbacher</x:v>
      </x:c>
      <x:c r="R58" s="116" t="str">
        <x:v>Neurologie; Psychiatrie; Psychotherapie; große fachübergreifende nervenärztliche Versorgung</x:v>
      </x:c>
      <x:c r="S58" s="116" t="str"/>
      <x:c r="T58" s="116" t="str">
        <x:v>Karlsruhe; Nordbaden</x:v>
      </x:c>
      <x:c r="U58" s="135" t="n">
        <x:v>49.00290335</x:v>
      </x:c>
      <x:c r="V58" s="135" t="n">
        <x:v>8.404285102037075</x:v>
      </x:c>
      <x:c r="W58" s="116" t="str">
        <x:v>Hausadresse und Gebäudekoordinate verifiziert</x:v>
      </x:c>
      <x:c r="X58" s="116" t="str">
        <x:v>Neuer Kartenpunkt</x:v>
      </x:c>
      <x:c r="Y58" s="116" t="str">
        <x:v>Neuaufnahme 4.4.x</x:v>
      </x:c>
      <x:c r="Z58" s="116" t="str"/>
      <x:c r="AA58" s="116" t="str">
        <x:v>https://www.neurologie-psychiatrie-karlsruhe.de/impressum/</x:v>
      </x:c>
      <x:c r="AB58" s="116" t="str">
        <x:v>Adresspunkt Nowackanlage 15 / Kartenverzeichnis</x:v>
      </x:c>
      <x:c r="AC58" s="116" t="str">
        <x:v>2026-08-30</x:v>
      </x:c>
      <x:c r="AD58" s="116" t="str">
        <x:v>Nowackanlage 15, 76137 Karlsruhe, Deutschland</x:v>
      </x:c>
      <x:c r="AE58" s="116" t="str">
        <x:v>Zusätzliche große Neuro-Psych-Praxis; bestehende Neuropraxis Karlsruhe Karlstraße 84 bleibt separat erhalten.</x:v>
      </x:c>
    </x:row>
    <x:row r="59">
      <x:c r="A59" s="116" t="str">
        <x:v>NP44-002</x:v>
      </x:c>
      <x:c r="B59" s="116" t="str">
        <x:v>Nervenheilkunde Weinheim</x:v>
      </x:c>
      <x:c r="C59" s="116" t="str">
        <x:v>Aufnehmen</x:v>
      </x:c>
      <x:c r="D59" s="116" t="str">
        <x:v>A</x:v>
      </x:c>
      <x:c r="E59" s="116" t="str">
        <x:v>Neurologisch-psychiatrische Praxen</x:v>
      </x:c>
      <x:c r="F59" s="116" t="str">
        <x:v>Neurologie; Psychiatrie; Psychotherapie</x:v>
      </x:c>
      <x:c r="G59" s="116" t="str">
        <x:v>größere nervenärztliche Gemeinschaftspraxis</x:v>
      </x:c>
      <x:c r="H59" s="116" t="str">
        <x:v>Hildastraße 14</x:v>
      </x:c>
      <x:c r="I59" s="116" t="str">
        <x:v>69469</x:v>
      </x:c>
      <x:c r="J59" s="116" t="str">
        <x:v>Weinheim</x:v>
      </x:c>
      <x:c r="K59" s="116" t="str">
        <x:v>Baden-Württemberg</x:v>
      </x:c>
      <x:c r="L59" s="116" t="str">
        <x:v>Deutschland</x:v>
      </x:c>
      <x:c r="M59" s="116" t="str">
        <x:v>06201 12641</x:v>
      </x:c>
      <x:c r="N59" s="116" t="str">
        <x:v>06201 12646</x:v>
      </x:c>
      <x:c r="O59" s="116" t="str">
        <x:v>info@nervenheilkunde-weinheim.de</x:v>
      </x:c>
      <x:c r="P59" s="116" t="str">
        <x:v>https://www.nervenheilkunde-weinheim.de/</x:v>
      </x:c>
      <x:c r="Q59" s="116" t="str">
        <x:v>Dr. Oliver Herrmann; Dr. Jens Th. Marx; Praxisteam</x:v>
      </x:c>
      <x:c r="R59" s="116" t="str">
        <x:v>Neurologie; Psychiatrie; Psychotherapie; regionale nervenärztliche Versorgung</x:v>
      </x:c>
      <x:c r="S59" s="116" t="str"/>
      <x:c r="T59" s="116" t="str">
        <x:v>Weinheim; Bergstraße; Rhein-Neckar</x:v>
      </x:c>
      <x:c r="U59" s="135" t="n">
        <x:v>49.5508075</x:v>
      </x:c>
      <x:c r="V59" s="135" t="n">
        <x:v>8.667045344005356</x:v>
      </x:c>
      <x:c r="W59" s="116" t="str">
        <x:v>Hausadresse und Standortkoordinate verifiziert</x:v>
      </x:c>
      <x:c r="X59" s="116" t="str">
        <x:v>Neuer Kartenpunkt</x:v>
      </x:c>
      <x:c r="Y59" s="116" t="str">
        <x:v>Neuaufnahme 4.4.x</x:v>
      </x:c>
      <x:c r="Z59" s="116" t="str"/>
      <x:c r="AA59" s="116" t="str">
        <x:v>https://www.nervenheilkunde-weinheim.de/</x:v>
      </x:c>
      <x:c r="AB59" s="116" t="str">
        <x:v>Adress-/Kartenabgleich Hildastraße 14</x:v>
      </x:c>
      <x:c r="AC59" s="116" t="str">
        <x:v>2026-08-30</x:v>
      </x:c>
      <x:c r="AD59" s="116" t="str">
        <x:v>Hildastraße 14, 69469 Weinheim, Deutschland</x:v>
      </x:c>
      <x:c r="AE59" s="116" t="str">
        <x:v>Pflichtstandort der Ergänzungsrunde Rhein-Neckar/Bergstraße.</x:v>
      </x:c>
    </x:row>
    <x:row r="60">
      <x:c r="A60" s="116" t="str">
        <x:v>NP44-003</x:v>
      </x:c>
      <x:c r="B60" s="116" t="str">
        <x:v>Praxis-Zentrum für Neurologie &amp; Psychiatrie Worms</x:v>
      </x:c>
      <x:c r="C60" s="116" t="str">
        <x:v>Aufnehmen</x:v>
      </x:c>
      <x:c r="D60" s="116" t="str">
        <x:v>A</x:v>
      </x:c>
      <x:c r="E60" s="116" t="str">
        <x:v>Neurologisch-psychiatrische Praxen</x:v>
      </x:c>
      <x:c r="F60" s="116" t="str">
        <x:v>Neurologie; Psychiatrie</x:v>
      </x:c>
      <x:c r="G60" s="116" t="str">
        <x:v>neurologisch-psychiatrische Gemeinschaftspraxis</x:v>
      </x:c>
      <x:c r="H60" s="116" t="str">
        <x:v>Bahnhofstraße 30</x:v>
      </x:c>
      <x:c r="I60" s="116" t="str">
        <x:v>67547</x:v>
      </x:c>
      <x:c r="J60" s="116" t="str">
        <x:v>Worms</x:v>
      </x:c>
      <x:c r="K60" s="116" t="str">
        <x:v>Rheinland-Pfalz</x:v>
      </x:c>
      <x:c r="L60" s="116" t="str">
        <x:v>Deutschland</x:v>
      </x:c>
      <x:c r="M60" s="116" t="str">
        <x:v>06241 2027944</x:v>
      </x:c>
      <x:c r="N60" s="116" t="str"/>
      <x:c r="O60" s="116" t="str">
        <x:v>praxis@np-worms.de</x:v>
      </x:c>
      <x:c r="P60" s="116" t="str">
        <x:v>https://www.np-worms.de/</x:v>
      </x:c>
      <x:c r="Q60" s="116" t="str">
        <x:v>Dr. Sepideh Jaeschke; Dr. Philipp Gruschka</x:v>
      </x:c>
      <x:c r="R60" s="116" t="str">
        <x:v>Neurologie; Psychiatrie; ambulante nervenärztliche Versorgung</x:v>
      </x:c>
      <x:c r="S60" s="116" t="str"/>
      <x:c r="T60" s="116" t="str">
        <x:v>Worms; Rheinhessen; Vorderpfalz</x:v>
      </x:c>
      <x:c r="U60" s="135" t="n">
        <x:v>49.63443975</x:v>
      </x:c>
      <x:c r="V60" s="135" t="n">
        <x:v>8.357414554032282</x:v>
      </x:c>
      <x:c r="W60" s="116" t="str">
        <x:v>Hausadresse und Standortkoordinate verifiziert</x:v>
      </x:c>
      <x:c r="X60" s="116" t="str">
        <x:v>Neuer Kartenpunkt</x:v>
      </x:c>
      <x:c r="Y60" s="116" t="str">
        <x:v>Neuaufnahme 4.4.x</x:v>
      </x:c>
      <x:c r="Z60" s="116" t="str"/>
      <x:c r="AA60" s="116" t="str">
        <x:v>https://www.np-worms.de/</x:v>
      </x:c>
      <x:c r="AB60" s="116" t="str">
        <x:v>Adress-/Kartenabgleich Bahnhofstraße 30</x:v>
      </x:c>
      <x:c r="AC60" s="116" t="str">
        <x:v>2026-08-30</x:v>
      </x:c>
      <x:c r="AD60" s="116" t="str">
        <x:v>Bahnhofstraße 30, 67547 Worms, Deutschland</x:v>
      </x:c>
      <x:c r="AE60" s="116" t="str">
        <x:v>Ergänzt das bereits vorhandene Klinikum/MVZ Worms um eine eigenständige größere ambulante Neuro-Psych-Praxis.</x:v>
      </x:c>
    </x:row>
    <x:row r="61">
      <x:c r="A61" s="116" t="str">
        <x:v>NP44-004</x:v>
      </x:c>
      <x:c r="B61" s="116" t="str">
        <x:v>Praxis Dr. Jürgen Lang – Neurologie &amp; Psychiatrie</x:v>
      </x:c>
      <x:c r="C61" s="116" t="str">
        <x:v>Aufnehmen</x:v>
      </x:c>
      <x:c r="D61" s="116" t="str">
        <x:v>B</x:v>
      </x:c>
      <x:c r="E61" s="116" t="str">
        <x:v>Neurologisch-psychiatrische Praxen</x:v>
      </x:c>
      <x:c r="F61" s="116" t="str">
        <x:v>Neurologie; Psychiatrie</x:v>
      </x:c>
      <x:c r="G61" s="116" t="str">
        <x:v>regionale nervenärztliche Praxis</x:v>
      </x:c>
      <x:c r="H61" s="116" t="str">
        <x:v>Würzburger Straße 23</x:v>
      </x:c>
      <x:c r="I61" s="116" t="str">
        <x:v>97941</x:v>
      </x:c>
      <x:c r="J61" s="116" t="str">
        <x:v>Tauberbischofsheim</x:v>
      </x:c>
      <x:c r="K61" s="116" t="str">
        <x:v>Baden-Württemberg</x:v>
      </x:c>
      <x:c r="L61" s="116" t="str">
        <x:v>Deutschland</x:v>
      </x:c>
      <x:c r="M61" s="116" t="str">
        <x:v>09341 12776</x:v>
      </x:c>
      <x:c r="N61" s="116" t="str">
        <x:v>09341 896507</x:v>
      </x:c>
      <x:c r="O61" s="116" t="str">
        <x:v>drlangtbb@t-online.de</x:v>
      </x:c>
      <x:c r="P61" s="116" t="str">
        <x:v>https://www.dr-juergen-lang.de/</x:v>
      </x:c>
      <x:c r="Q61" s="116" t="str">
        <x:v>Dr. Jürgen Lang / Praxisteam</x:v>
      </x:c>
      <x:c r="R61" s="116" t="str">
        <x:v>Neurologie; Psychiatrie; regionale ambulante Versorgung</x:v>
      </x:c>
      <x:c r="S61" s="116" t="str"/>
      <x:c r="T61" s="116" t="str">
        <x:v>Taubertal; Main-Tauber</x:v>
      </x:c>
      <x:c r="U61" s="135" t="n">
        <x:v>49.624317</x:v>
      </x:c>
      <x:c r="V61" s="135" t="n">
        <x:v>9.673737626125096</x:v>
      </x:c>
      <x:c r="W61" s="116" t="str">
        <x:v>Hausadresse und adressbezogene Koordinate verifiziert</x:v>
      </x:c>
      <x:c r="X61" s="116" t="str">
        <x:v>Neuer Kartenpunkt</x:v>
      </x:c>
      <x:c r="Y61" s="116" t="str">
        <x:v>Neuaufnahme 4.4.x – regionale Lückenschließung</x:v>
      </x:c>
      <x:c r="Z61" s="116" t="str"/>
      <x:c r="AA61" s="116" t="str">
        <x:v>https://www.dr-juergen-lang.de/</x:v>
      </x:c>
      <x:c r="AB61" s="116" t="str">
        <x:v>Adress-/Kartenabgleich Würzburger Straße 23</x:v>
      </x:c>
      <x:c r="AC61" s="116" t="str">
        <x:v>2026-08-30</x:v>
      </x:c>
      <x:c r="AD61" s="116" t="str">
        <x:v>Würzburger Straße 23, 97941 Tauberbischofsheim, Deutschland</x:v>
      </x:c>
      <x:c r="AE61" s="116" t="str">
        <x:v>Gezielte Lückenschließung Taubertal; ergänzt Neuropraxis Wertheim.</x:v>
      </x:c>
    </x:row>
    <x:row r="62">
      <x:c r="A62" s="116" t="str">
        <x:v>NP44-005</x:v>
      </x:c>
      <x:c r="B62" s="116" t="str">
        <x:v>MVZ für Neurologie und Psychiatrie Würzburg</x:v>
      </x:c>
      <x:c r="C62" s="116" t="str">
        <x:v>Aufnehmen</x:v>
      </x:c>
      <x:c r="D62" s="116" t="str">
        <x:v>A</x:v>
      </x:c>
      <x:c r="E62" s="116" t="str">
        <x:v>Neurologisch-psychiatrische Praxen</x:v>
      </x:c>
      <x:c r="F62" s="116" t="str">
        <x:v>Neurologie; Psychiatrie</x:v>
      </x:c>
      <x:c r="G62" s="116" t="str">
        <x:v>größeres MVZ – fachlich der Neurologie/Psychiatrie zugeordnet</x:v>
      </x:c>
      <x:c r="H62" s="116" t="str">
        <x:v>Schweinfurter Straße 1</x:v>
      </x:c>
      <x:c r="I62" s="116" t="str">
        <x:v>97080</x:v>
      </x:c>
      <x:c r="J62" s="116" t="str">
        <x:v>Würzburg</x:v>
      </x:c>
      <x:c r="K62" s="116" t="str">
        <x:v>Bayern</x:v>
      </x:c>
      <x:c r="L62" s="116" t="str">
        <x:v>Deutschland</x:v>
      </x:c>
      <x:c r="M62" s="116" t="str">
        <x:v>0931 7809441</x:v>
      </x:c>
      <x:c r="N62" s="116" t="str"/>
      <x:c r="O62" s="116" t="str">
        <x:v>kontakt@mvz-neuro.de</x:v>
      </x:c>
      <x:c r="P62" s="116" t="str">
        <x:v>https://www.mvz-neuro.de/</x:v>
      </x:c>
      <x:c r="Q62" s="116" t="str">
        <x:v>Dr. Hartmut Stieber; Andreas Bepperling; Team</x:v>
      </x:c>
      <x:c r="R62" s="116" t="str">
        <x:v>Neurologie; Psychiatrie; umfangreiche ambulante Fachdiagnostik</x:v>
      </x:c>
      <x:c r="S62" s="116" t="str"/>
      <x:c r="T62" s="116" t="str">
        <x:v>Würzburg; Unterfranken</x:v>
      </x:c>
      <x:c r="U62" s="135" t="n">
        <x:v>49.79906</x:v>
      </x:c>
      <x:c r="V62" s="135" t="n">
        <x:v>9.94476</x:v>
      </x:c>
      <x:c r="W62" s="116" t="str">
        <x:v>Hausadresse und Standortkoordinate verifiziert</x:v>
      </x:c>
      <x:c r="X62" s="116" t="str">
        <x:v>Neuer Kartenpunkt</x:v>
      </x:c>
      <x:c r="Y62" s="116" t="str">
        <x:v>Neuaufnahme 4.4.x</x:v>
      </x:c>
      <x:c r="Z62" s="116" t="str"/>
      <x:c r="AA62" s="116" t="str">
        <x:v>https://www.mvz-neuro.de/</x:v>
      </x:c>
      <x:c r="AB62" s="116" t="str">
        <x:v>Adress-/Kartenabgleich Schweinfurter Straße 1</x:v>
      </x:c>
      <x:c r="AC62" s="116" t="str">
        <x:v>2026-08-30</x:v>
      </x:c>
      <x:c r="AD62" s="116" t="str">
        <x:v>Schweinfurter Straße 1, 97080 Würzburg, Deutschland</x:v>
      </x:c>
      <x:c r="AE62" s="116" t="str">
        <x:v>MVZ wird nicht als eigene Hauptkategorie geführt, sondern unter Neurologie/Psychiatrie.</x:v>
      </x:c>
    </x:row>
    <x:row r="63">
      <x:c r="A63" s="116" t="str">
        <x:v>NP44-006</x:v>
      </x:c>
      <x:c r="B63" s="116" t="str">
        <x:v>meditz Würzburg</x:v>
      </x:c>
      <x:c r="C63" s="116" t="str">
        <x:v>Aufnehmen</x:v>
      </x:c>
      <x:c r="D63" s="116" t="str">
        <x:v>A</x:v>
      </x:c>
      <x:c r="E63" s="116" t="str">
        <x:v>Neurologisch-psychiatrische Praxen</x:v>
      </x:c>
      <x:c r="F63" s="116" t="str">
        <x:v>Neurologie; Psychiatrie; weitere Fachgebiete</x:v>
      </x:c>
      <x:c r="G63" s="116" t="str">
        <x:v>größeres interdisziplinäres Praxiszentrum – Neuro/Psych fachlich zugeordnet</x:v>
      </x:c>
      <x:c r="H63" s="116" t="str">
        <x:v>Frankfurter Straße 15a</x:v>
      </x:c>
      <x:c r="I63" s="116" t="str">
        <x:v>97082</x:v>
      </x:c>
      <x:c r="J63" s="116" t="str">
        <x:v>Würzburg</x:v>
      </x:c>
      <x:c r="K63" s="116" t="str">
        <x:v>Bayern</x:v>
      </x:c>
      <x:c r="L63" s="116" t="str">
        <x:v>Deutschland</x:v>
      </x:c>
      <x:c r="M63" s="116" t="str">
        <x:v>0931 322966</x:v>
      </x:c>
      <x:c r="N63" s="116" t="str">
        <x:v>0931 3229688</x:v>
      </x:c>
      <x:c r="O63" s="116" t="str">
        <x:v>praxis@meditz.org</x:v>
      </x:c>
      <x:c r="P63" s="116" t="str">
        <x:v>https://www.meditz-wuerzburg.de/</x:v>
      </x:c>
      <x:c r="Q63" s="116" t="str">
        <x:v>Hauptanmeldung / Fachbereich Neurologie-Psychiatrie</x:v>
      </x:c>
      <x:c r="R63" s="116" t="str">
        <x:v>Neurologie; Psychiatrie; interdisziplinäre ambulante Versorgung</x:v>
      </x:c>
      <x:c r="S63" s="116" t="str"/>
      <x:c r="T63" s="116" t="str">
        <x:v>Würzburg; Unterfranken</x:v>
      </x:c>
      <x:c r="U63" s="135" t="n">
        <x:v>49.78618945</x:v>
      </x:c>
      <x:c r="V63" s="135" t="n">
        <x:v>9.83314645</x:v>
      </x:c>
      <x:c r="W63" s="116" t="str">
        <x:v>Hausadresse und Standortkoordinate verifiziert</x:v>
      </x:c>
      <x:c r="X63" s="116" t="str">
        <x:v>Neuer Kartenpunkt</x:v>
      </x:c>
      <x:c r="Y63" s="116" t="str">
        <x:v>Neuaufnahme 4.4.x</x:v>
      </x:c>
      <x:c r="Z63" s="116" t="str"/>
      <x:c r="AA63" s="116" t="str">
        <x:v>https://www.meditz-wuerzburg.de/de/kontakt</x:v>
      </x:c>
      <x:c r="AB63" s="116" t="str">
        <x:v>Adress-/Kartenabgleich Frankfurter Straße 15a</x:v>
      </x:c>
      <x:c r="AC63" s="116" t="str">
        <x:v>2026-08-30</x:v>
      </x:c>
      <x:c r="AD63" s="116" t="str">
        <x:v>Frankfurter Straße 15a, 97082 Würzburg, Deutschland</x:v>
      </x:c>
      <x:c r="AE63" s="116" t="str">
        <x:v>Interdisziplinäre Einrichtung; in der Karte primär nach Fachgebiet, nicht als MVZ-Hauptkategorie.</x:v>
      </x:c>
    </x:row>
    <x:row r="64">
      <x:c r="A64" s="116" t="str">
        <x:v>NP44-007</x:v>
      </x:c>
      <x:c r="B64" s="116" t="str">
        <x:v>Nervenärztliche Gemeinschaftspraxis Schweinfurt</x:v>
      </x:c>
      <x:c r="C64" s="116" t="str">
        <x:v>Aufnehmen</x:v>
      </x:c>
      <x:c r="D64" s="116" t="str">
        <x:v>B</x:v>
      </x:c>
      <x:c r="E64" s="116" t="str">
        <x:v>Neurologisch-psychiatrische Praxen</x:v>
      </x:c>
      <x:c r="F64" s="116" t="str">
        <x:v>Neurologie; Psychiatrie; Psychotherapie</x:v>
      </x:c>
      <x:c r="G64" s="116" t="str">
        <x:v>nervenärztliche Gemeinschaftspraxis</x:v>
      </x:c>
      <x:c r="H64" s="116" t="str">
        <x:v>Obere Straße 9</x:v>
      </x:c>
      <x:c r="I64" s="116" t="str">
        <x:v>97421</x:v>
      </x:c>
      <x:c r="J64" s="116" t="str">
        <x:v>Schweinfurt</x:v>
      </x:c>
      <x:c r="K64" s="116" t="str">
        <x:v>Bayern</x:v>
      </x:c>
      <x:c r="L64" s="116" t="str">
        <x:v>Deutschland</x:v>
      </x:c>
      <x:c r="M64" s="116" t="str">
        <x:v>09721 18281</x:v>
      </x:c>
      <x:c r="N64" s="116" t="str">
        <x:v>09721 18288</x:v>
      </x:c>
      <x:c r="O64" s="116" t="str">
        <x:v>praxis@nerven-sw.de</x:v>
      </x:c>
      <x:c r="P64" s="116" t="str">
        <x:v>https://nervenaerzte-schweinfurt.de/</x:v>
      </x:c>
      <x:c r="Q64" s="116" t="str">
        <x:v>Dr. Henning Schuh; Dr. Christine Meesmann</x:v>
      </x:c>
      <x:c r="R64" s="116" t="str">
        <x:v>Neurologie; Psychiatrie; Psychotherapie</x:v>
      </x:c>
      <x:c r="S64" s="116" t="str"/>
      <x:c r="T64" s="116" t="str">
        <x:v>Schweinfurt; Unterfranken</x:v>
      </x:c>
      <x:c r="U64" s="135" t="n">
        <x:v>50.0465438</x:v>
      </x:c>
      <x:c r="V64" s="135" t="n">
        <x:v>10.2336267</x:v>
      </x:c>
      <x:c r="W64" s="116" t="str">
        <x:v>Hausadresse und Standortkoordinate verifiziert</x:v>
      </x:c>
      <x:c r="X64" s="116" t="str">
        <x:v>Neuer Kartenpunkt</x:v>
      </x:c>
      <x:c r="Y64" s="116" t="str">
        <x:v>Neuaufnahme 4.4.x – Unterfranken</x:v>
      </x:c>
      <x:c r="Z64" s="116" t="str"/>
      <x:c r="AA64" s="116" t="str">
        <x:v>https://nervenaerzte-schweinfurt.de/</x:v>
      </x:c>
      <x:c r="AB64" s="116" t="str">
        <x:v>Adress-/Kartenabgleich Obere Straße 9</x:v>
      </x:c>
      <x:c r="AC64" s="116" t="str">
        <x:v>2026-08-30</x:v>
      </x:c>
      <x:c r="AD64" s="116" t="str">
        <x:v>Obere Straße 9, 97421 Schweinfurt, Deutschland</x:v>
      </x:c>
      <x:c r="AE64" s="116" t="str">
        <x:v>Unterfranken-Ergänzung außerhalb Würzburg.</x:v>
      </x:c>
    </x:row>
    <x:row r="65">
      <x:c r="A65" s="116" t="str">
        <x:v>BR44-001</x:v>
      </x:c>
      <x:c r="B65" s="116" t="str">
        <x:v>Berufsförderungswerk Frankfurt am Main e.V. – Bad Vilbel</x:v>
      </x:c>
      <x:c r="C65" s="116" t="str">
        <x:v>Aufnehmen</x:v>
      </x:c>
      <x:c r="D65" s="116" t="str">
        <x:v>A+</x:v>
      </x:c>
      <x:c r="E65" s="116" t="str">
        <x:v>Berufliche Reha</x:v>
      </x:c>
      <x:c r="F65" s="116" t="str">
        <x:v>BFW; Assessment; Reha-Vorbereitung; Qualifizierung; berufliche Integration</x:v>
      </x:c>
      <x:c r="G65" s="116" t="str">
        <x:v>Berufsförderungswerk</x:v>
      </x:c>
      <x:c r="H65" s="116" t="str">
        <x:v>Huizener Straße 60</x:v>
      </x:c>
      <x:c r="I65" s="116" t="str">
        <x:v>61118</x:v>
      </x:c>
      <x:c r="J65" s="116" t="str">
        <x:v>Bad Vilbel</x:v>
      </x:c>
      <x:c r="K65" s="116" t="str">
        <x:v>Hessen</x:v>
      </x:c>
      <x:c r="L65" s="116" t="str">
        <x:v>Deutschland</x:v>
      </x:c>
      <x:c r="M65" s="116" t="str">
        <x:v>06101 400-0; 06101 400-283</x:v>
      </x:c>
      <x:c r="N65" s="116" t="str">
        <x:v>06101 400-174</x:v>
      </x:c>
      <x:c r="O65" s="116" t="str">
        <x:v>info@bfw-frankfurt.de; simone.thate@bfw-frankfurt.de</x:v>
      </x:c>
      <x:c r="P65" s="116" t="str">
        <x:v>https://bfw-frankfurt.de/</x:v>
      </x:c>
      <x:c r="Q65" s="116" t="str">
        <x:v>Simone Thate; für Berufsgenossenschaften: Katrin Pichlmüller</x:v>
      </x:c>
      <x:c r="R65" s="116" t="str">
        <x:v>RehaAssessment; Arbeitserprobung; Reha-Vorbereitung; technische, kaufmännische und IT-Qualifizierungen; berufliche Integration</x:v>
      </x:c>
      <x:c r="S65" s="116" t="str">
        <x:v>Eigene Ansprechpartner für Berufsgenossenschaften veröffentlicht</x:v>
      </x:c>
      <x:c r="T65" s="116" t="str">
        <x:v>Rhein-Main; Hessen; überregional</x:v>
      </x:c>
      <x:c r="U65" s="135"/>
      <x:c r="V65" s="135"/>
      <x:c r="W65" s="116" t="str">
        <x:v>Hausadresse verifiziert; numerische Einrichtungskordinate noch nicht belastbar separat bestätigt</x:v>
      </x:c>
      <x:c r="X65" s="116" t="str">
        <x:v>Neuer Kartenpunkt – nach Geocode-Freigabe</x:v>
      </x:c>
      <x:c r="Y65" s="116" t="str">
        <x:v>Neuaufnahme 4.4.x</x:v>
      </x:c>
      <x:c r="Z65" s="116" t="str"/>
      <x:c r="AA65" s="116" t="str">
        <x:v>https://bfw-frankfurt.de/infos-links/kontakte</x:v>
      </x:c>
      <x:c r="AB65" s="116" t="str">
        <x:v>Primäradresse BFW; keine Kamera-/Näherungskoordinate als Hauspunkt übernommen</x:v>
      </x:c>
      <x:c r="AC65" s="116" t="str">
        <x:v>2026-08-30</x:v>
      </x:c>
      <x:c r="AD65" s="116" t="str">
        <x:v>Huizener Straße 60, 61118 Bad Vilbel, Deutschland</x:v>
      </x:c>
      <x:c r="AE65" s="116" t="str">
        <x:v>Bad Vilbel verbindlich aufnehmen. Regionalcenter Kassel ausdrücklich nicht in den Kartenbestand übernehmen.</x:v>
      </x:c>
    </x:row>
    <x:row r="66">
      <x:c r="A66" s="116" t="str">
        <x:v>MOB44-001</x:v>
      </x:c>
      <x:c r="B66" s="116" t="str">
        <x:v>Fahrschule Klaus – Standort Mundenheim</x:v>
      </x:c>
      <x:c r="C66" s="116" t="str">
        <x:v>Aufnehmen</x:v>
      </x:c>
      <x:c r="D66" s="116" t="str">
        <x:v>A</x:v>
      </x:c>
      <x:c r="E66" s="116" t="str">
        <x:v>Kfz &amp; Mobilität</x:v>
      </x:c>
      <x:c r="F66" s="116" t="str">
        <x:v>Fahrschule; Mobilität</x:v>
      </x:c>
      <x:c r="G66" s="116" t="str">
        <x:v>Fahrschule / regionaler Mobilitätspartner</x:v>
      </x:c>
      <x:c r="H66" s="116" t="str">
        <x:v>Saarlandstraße 19</x:v>
      </x:c>
      <x:c r="I66" s="116" t="str">
        <x:v>67061</x:v>
      </x:c>
      <x:c r="J66" s="116" t="str">
        <x:v>Ludwigshafen am Rhein</x:v>
      </x:c>
      <x:c r="K66" s="116" t="str">
        <x:v>Rheinland-Pfalz</x:v>
      </x:c>
      <x:c r="L66" s="116" t="str">
        <x:v>Deutschland</x:v>
      </x:c>
      <x:c r="M66" s="116" t="str">
        <x:v>0621 5720228</x:v>
      </x:c>
      <x:c r="N66" s="116" t="str"/>
      <x:c r="O66" s="116" t="str">
        <x:v>info@fahrschuleklaus.de</x:v>
      </x:c>
      <x:c r="P66" s="116" t="str">
        <x:v>https://www.fahrschuleklaus.de/</x:v>
      </x:c>
      <x:c r="Q66" s="116" t="str">
        <x:v>Fahrschule Klaus</x:v>
      </x:c>
      <x:c r="R66" s="116" t="str">
        <x:v>Fahrausbildung; regionaler Fahrschulstandort; Eignung für Reha-Fälle fallbezogen prüfen</x:v>
      </x:c>
      <x:c r="S66" s="116" t="str"/>
      <x:c r="T66" s="116" t="str">
        <x:v>Ludwigshafen; Vorderpfalz; Rhein-Neckar</x:v>
      </x:c>
      <x:c r="U66" s="135" t="n">
        <x:v>49.465814</x:v>
      </x:c>
      <x:c r="V66" s="135" t="n">
        <x:v>8.431694</x:v>
      </x:c>
      <x:c r="W66" s="116" t="str">
        <x:v>Hausadresse und adressbezogene Koordinate verifiziert</x:v>
      </x:c>
      <x:c r="X66" s="116" t="str">
        <x:v>Neuer Kartenpunkt</x:v>
      </x:c>
      <x:c r="Y66" s="116" t="str">
        <x:v>Neuaufnahme 4.4.x</x:v>
      </x:c>
      <x:c r="Z66" s="116" t="str"/>
      <x:c r="AA66" s="116" t="str">
        <x:v>https://www.fahrschuleklaus.de/</x:v>
      </x:c>
      <x:c r="AB66" s="116" t="str">
        <x:v>Adress-/Kartenabgleich Saarlandstraße 19</x:v>
      </x:c>
      <x:c r="AC66" s="116" t="str">
        <x:v>2026-08-30</x:v>
      </x:c>
      <x:c r="AD66" s="116" t="str">
        <x:v>Saarlandstraße 19, 67061 Ludwigshafen am Rhein, Deutschland</x:v>
      </x:c>
      <x:c r="AE66" s="116" t="str">
        <x:v>Von mehreren Standorten wird Mundenheim als Kartenpunkt geführt.</x:v>
      </x:c>
    </x:row>
    <x:row r="67">
      <x:c r="A67" s="116" t="str">
        <x:v>MOB44-002</x:v>
      </x:c>
      <x:c r="B67" s="116" t="str">
        <x:v>Fahrschule Zawatzky – Behindertenfahrschule</x:v>
      </x:c>
      <x:c r="C67" s="116" t="str">
        <x:v>Aufnehmen</x:v>
      </x:c>
      <x:c r="D67" s="116" t="str">
        <x:v>A+</x:v>
      </x:c>
      <x:c r="E67" s="116" t="str">
        <x:v>Kfz &amp; Mobilität</x:v>
      </x:c>
      <x:c r="F67" s="116" t="str">
        <x:v>Behindertenfahrschule; Fahreignung; Fahrtraining</x:v>
      </x:c>
      <x:c r="G67" s="116" t="str">
        <x:v>Behindertenfahrschule</x:v>
      </x:c>
      <x:c r="H67" s="116" t="str">
        <x:v>Am Kalkbrunnen 1</x:v>
      </x:c>
      <x:c r="I67" s="116" t="str">
        <x:v>69151</x:v>
      </x:c>
      <x:c r="J67" s="116" t="str">
        <x:v>Neckargemünd</x:v>
      </x:c>
      <x:c r="K67" s="116" t="str">
        <x:v>Baden-Württemberg</x:v>
      </x:c>
      <x:c r="L67" s="116" t="str">
        <x:v>Deutschland</x:v>
      </x:c>
      <x:c r="M67" s="116" t="str">
        <x:v>06223 2155</x:v>
      </x:c>
      <x:c r="N67" s="116" t="str"/>
      <x:c r="O67" s="116" t="str">
        <x:v>fahrschule@zawatzky.de</x:v>
      </x:c>
      <x:c r="P67" s="116" t="str">
        <x:v>https://zawatzky.de/behindertenfahrschule/heidelberg/</x:v>
      </x:c>
      <x:c r="Q67" s="116" t="str">
        <x:v>Fahrschule Zawatzky</x:v>
      </x:c>
      <x:c r="R67" s="116" t="str">
        <x:v>Behindertenfahrschule; Fahrausbildung und Beratung bei körperlichen Einschränkungen</x:v>
      </x:c>
      <x:c r="S67" s="116" t="str"/>
      <x:c r="T67" s="116" t="str">
        <x:v>Rhein-Neckar; Nordbaden; überregional</x:v>
      </x:c>
      <x:c r="U67" s="135" t="n">
        <x:v>49.381819</x:v>
      </x:c>
      <x:c r="V67" s="135" t="n">
        <x:v>8.801512</x:v>
      </x:c>
      <x:c r="W67" s="116" t="str">
        <x:v>Hausadresse und Standortkoordinate verifiziert</x:v>
      </x:c>
      <x:c r="X67" s="116" t="str">
        <x:v>Neuer separater Kartenpunkt</x:v>
      </x:c>
      <x:c r="Y67" s="116" t="str">
        <x:v>Neuaufnahme 4.4.x – getrennt vom Mobilcenter</x:v>
      </x:c>
      <x:c r="Z67" s="116" t="str">
        <x:v>ID 224 Mobilcenter Zawatzky Meckesheim</x:v>
      </x:c>
      <x:c r="AA67" s="116" t="str">
        <x:v>https://zawatzky.de/fahrschule/kontakt/</x:v>
      </x:c>
      <x:c r="AB67" s="116" t="str">
        <x:v>Adress-/Kartenabgleich Am Kalkbrunnen 1</x:v>
      </x:c>
      <x:c r="AC67" s="116" t="str">
        <x:v>2026-08-30</x:v>
      </x:c>
      <x:c r="AD67" s="116" t="str">
        <x:v>Am Kalkbrunnen 1, 69151 Neckargemünd, Deutschland</x:v>
      </x:c>
      <x:c r="AE67" s="116" t="str">
        <x:v>Fahrschule und Fahrzeugumbau ausdrücklich getrennt führen, aber miteinander verknüpfen.</x:v>
      </x:c>
    </x:row>
    <x:row r="68">
      <x:c r="A68" s="116" t="str">
        <x:v>CO44-001</x:v>
      </x:c>
      <x:c r="B68" s="116" t="str">
        <x:v>pebb gmbh – Ober-Hilbersheim</x:v>
      </x:c>
      <x:c r="C68" s="116" t="str">
        <x:v>Aufnehmen</x:v>
      </x:c>
      <x:c r="D68" s="116" t="str">
        <x:v>A</x:v>
      </x:c>
      <x:c r="E68" s="116" t="str">
        <x:v>Berufliche Reha / Coaching</x:v>
      </x:c>
      <x:c r="F68" s="116" t="str">
        <x:v>BEM; berufliche Entwicklung; Coaching</x:v>
      </x:c>
      <x:c r="G68" s="116" t="str">
        <x:v>BEM-/Coaching-Anbieter</x:v>
      </x:c>
      <x:c r="H68" s="116" t="str">
        <x:v>Sprendlinger Straße 20a</x:v>
      </x:c>
      <x:c r="I68" s="116" t="str">
        <x:v>55437</x:v>
      </x:c>
      <x:c r="J68" s="116" t="str">
        <x:v>Ober-Hilbersheim</x:v>
      </x:c>
      <x:c r="K68" s="116" t="str">
        <x:v>Rheinland-Pfalz</x:v>
      </x:c>
      <x:c r="L68" s="116" t="str">
        <x:v>Deutschland</x:v>
      </x:c>
      <x:c r="M68" s="116" t="str">
        <x:v>06728 621</x:v>
      </x:c>
      <x:c r="N68" s="116" t="str">
        <x:v>06728 1248</x:v>
      </x:c>
      <x:c r="O68" s="116" t="str">
        <x:v>info@pebb.de</x:v>
      </x:c>
      <x:c r="P68" s="116" t="str">
        <x:v>https://www.pebb.de/</x:v>
      </x:c>
      <x:c r="Q68" s="116" t="str">
        <x:v>Tasja van Krüchten / Standort</x:v>
      </x:c>
      <x:c r="R68" s="116" t="str">
        <x:v>Externes Betriebliches Eingliederungsmanagement; berufliche Entwicklung; Beratung</x:v>
      </x:c>
      <x:c r="S68" s="116" t="str"/>
      <x:c r="T68" s="116" t="str">
        <x:v>Rheinland-Pfalz; Saarland; überregional</x:v>
      </x:c>
      <x:c r="U68" s="135"/>
      <x:c r="V68" s="135"/>
      <x:c r="W68" s="116" t="str">
        <x:v>Hausadresse und Kontakt verifiziert; numerische Hauskoordinate noch nicht separat belastbar bestätigt</x:v>
      </x:c>
      <x:c r="X68" s="116" t="str">
        <x:v>Neuer Kartenpunkt – nach Geocode-Freigabe</x:v>
      </x:c>
      <x:c r="Y68" s="116" t="str">
        <x:v>Neuaufnahme 4.4.x</x:v>
      </x:c>
      <x:c r="Z68" s="116" t="str">
        <x:v>pebb zwei gmbh</x:v>
      </x:c>
      <x:c r="AA68" s="116" t="str">
        <x:v>https://www.pebb.de/kontakt/impressum/</x:v>
      </x:c>
      <x:c r="AB68" s="116" t="str">
        <x:v>Primäradresse; numerische Koordinate bewusst offen</x:v>
      </x:c>
      <x:c r="AC68" s="116" t="str">
        <x:v>2026-08-30</x:v>
      </x:c>
      <x:c r="AD68" s="116" t="str">
        <x:v>Sprendlinger Straße 20a, 55437 Ober-Hilbersheim, Deutschland</x:v>
      </x:c>
      <x:c r="AE68" s="116" t="str">
        <x:v>pebb und pebb zwei am selben Standort getrennt führen und verknüpfen.</x:v>
      </x:c>
    </x:row>
    <x:row r="69">
      <x:c r="A69" s="116" t="str">
        <x:v>CO44-002</x:v>
      </x:c>
      <x:c r="B69" s="116" t="str">
        <x:v>pebb zwei gmbh – Ober-Hilbersheim</x:v>
      </x:c>
      <x:c r="C69" s="116" t="str">
        <x:v>Aufnehmen</x:v>
      </x:c>
      <x:c r="D69" s="116" t="str">
        <x:v>A+</x:v>
      </x:c>
      <x:c r="E69" s="116" t="str">
        <x:v>Berufliche Reha / Arbeitsvermittlung</x:v>
      </x:c>
      <x:c r="F69" s="116" t="str">
        <x:v>Arbeitsvermittlung; Berufswegplanung; Coaching</x:v>
      </x:c>
      <x:c r="G69" s="116" t="str">
        <x:v>Reha-Arbeitsvermittlung / berufliche Integration</x:v>
      </x:c>
      <x:c r="H69" s="116" t="str">
        <x:v>Sprendlinger Straße 20a</x:v>
      </x:c>
      <x:c r="I69" s="116" t="str">
        <x:v>55437</x:v>
      </x:c>
      <x:c r="J69" s="116" t="str">
        <x:v>Ober-Hilbersheim</x:v>
      </x:c>
      <x:c r="K69" s="116" t="str">
        <x:v>Rheinland-Pfalz</x:v>
      </x:c>
      <x:c r="L69" s="116" t="str">
        <x:v>Deutschland</x:v>
      </x:c>
      <x:c r="M69" s="116" t="str">
        <x:v>06728 621</x:v>
      </x:c>
      <x:c r="N69" s="116" t="str">
        <x:v>06728 1248</x:v>
      </x:c>
      <x:c r="O69" s="116" t="str">
        <x:v>ober-hilbersheim@pebbzwei.de</x:v>
      </x:c>
      <x:c r="P69" s="116" t="str">
        <x:v>https://www.pebbzwei.de/</x:v>
      </x:c>
      <x:c r="Q69" s="116" t="str">
        <x:v>Standort Ober-Hilbersheim</x:v>
      </x:c>
      <x:c r="R69" s="116" t="str">
        <x:v>Betreute Arbeitsvermittlung; Berufswegplanung; berufliche Integration und Coaching</x:v>
      </x:c>
      <x:c r="S69" s="116" t="str"/>
      <x:c r="T69" s="116" t="str">
        <x:v>Rheinland-Pfalz; Saarland; überregional</x:v>
      </x:c>
      <x:c r="U69" s="135"/>
      <x:c r="V69" s="135"/>
      <x:c r="W69" s="116" t="str">
        <x:v>Hausadresse und Kontakt verifiziert; numerische Hauskoordinate noch nicht separat belastbar bestätigt</x:v>
      </x:c>
      <x:c r="X69" s="116" t="str">
        <x:v>Neuer Kartenpunkt – gleicher Standort, eigener Datensatz</x:v>
      </x:c>
      <x:c r="Y69" s="116" t="str">
        <x:v>Neuaufnahme 4.4.x</x:v>
      </x:c>
      <x:c r="Z69" s="116" t="str">
        <x:v>pebb gmbh</x:v>
      </x:c>
      <x:c r="AA69" s="116" t="str">
        <x:v>https://www.pebbzwei.de/standorte/rheinland-pfalz-saarland/</x:v>
      </x:c>
      <x:c r="AB69" s="116" t="str">
        <x:v>Primäradresse; numerische Koordinate bewusst offen</x:v>
      </x:c>
      <x:c r="AC69" s="116" t="str">
        <x:v>2026-08-30</x:v>
      </x:c>
      <x:c r="AD69" s="116" t="str">
        <x:v>Sprendlinger Straße 20a, 55437 Ober-Hilbersheim, Deutschland</x:v>
      </x:c>
      <x:c r="AE69" s="116" t="str">
        <x:v>Besonders relevant als Reha-Arbeitsvermittler; nicht mit pebb gmbh zusammenziehen.</x:v>
      </x:c>
    </x:row>
    <x:row r="70">
      <x:c r="A70" s="116" t="str">
        <x:v>PF44-001</x:v>
      </x:c>
      <x:c r="B70" s="116" t="str">
        <x:v>reha assist GmbH</x:v>
      </x:c>
      <x:c r="C70" s="116" t="str">
        <x:v>Aufnehmen</x:v>
      </x:c>
      <x:c r="D70" s="116" t="str">
        <x:v>A</x:v>
      </x:c>
      <x:c r="E70" s="116" t="str">
        <x:v>Reha-Management / Pflege</x:v>
      </x:c>
      <x:c r="F70" s="116" t="str">
        <x:v>Reha-Management; Pflegeberatung; Barrierefreiheit; Mobilität; berufliche Perspektive</x:v>
      </x:c>
      <x:c r="G70" s="116" t="str">
        <x:v>bundesweiter Reha- und Pflegeberatungsdienst</x:v>
      </x:c>
      <x:c r="H70" s="116" t="str">
        <x:v>Kleinbahnstraße 27</x:v>
      </x:c>
      <x:c r="I70" s="116" t="str">
        <x:v>59759</x:v>
      </x:c>
      <x:c r="J70" s="116" t="str">
        <x:v>Arnsberg</x:v>
      </x:c>
      <x:c r="K70" s="116" t="str">
        <x:v>Nordrhein-Westfalen</x:v>
      </x:c>
      <x:c r="L70" s="116" t="str">
        <x:v>Deutschland</x:v>
      </x:c>
      <x:c r="M70" s="116" t="str">
        <x:v>+49 2932 9397-0</x:v>
      </x:c>
      <x:c r="N70" s="116" t="str">
        <x:v>+49 2932 9397-100</x:v>
      </x:c>
      <x:c r="O70" s="116" t="str">
        <x:v>kontakt@reha-assist.com</x:v>
      </x:c>
      <x:c r="P70" s="116" t="str">
        <x:v>https://www.reha-assist.com/</x:v>
      </x:c>
      <x:c r="Q70" s="116" t="str">
        <x:v>Pflegeberatung / Reha-Management</x:v>
      </x:c>
      <x:c r="R70" s="116" t="str">
        <x:v>Reha-Management; professionelle Pflegeberatung; Pflegebedarf; Hilfsmittel; barrierefreies Wohnen; Mobilitätslösungen; berufliche Perspektive</x:v>
      </x:c>
      <x:c r="S70" s="116" t="str"/>
      <x:c r="T70" s="116" t="str">
        <x:v>bundesweit</x:v>
      </x:c>
      <x:c r="U70" s="135" t="n">
        <x:v>51.43588</x:v>
      </x:c>
      <x:c r="V70" s="135" t="n">
        <x:v>7.97324</x:v>
      </x:c>
      <x:c r="W70" s="116" t="str">
        <x:v>Hausadresse und Gebäudekoordinate verifiziert</x:v>
      </x:c>
      <x:c r="X70" s="116" t="str">
        <x:v>Neuer Kartenpunkt + bundesweites Servicegebiet</x:v>
      </x:c>
      <x:c r="Y70" s="116" t="str">
        <x:v>Neuaufnahme 4.4.x</x:v>
      </x:c>
      <x:c r="Z70" s="116" t="str"/>
      <x:c r="AA70" s="116" t="str">
        <x:v>https://www.reha-assist.com/pflegeberatung/</x:v>
      </x:c>
      <x:c r="AB70" s="116" t="str">
        <x:v>Gebäudepunkt Kleinbahnstraße 27 / OpenStreetMap-basierter Kartenabgleich</x:v>
      </x:c>
      <x:c r="AC70" s="116" t="str">
        <x:v>2026-08-30</x:v>
      </x:c>
      <x:c r="AD70" s="116" t="str">
        <x:v>Kleinbahnstraße 27, 59759 Arnsberg, Deutschland</x:v>
      </x:c>
      <x:c r="AE70" s="116" t="str">
        <x:v>Konkreter Pflege-/Reha-Dienst; ersetzt keinen generischen 'Pflegeberater GUV'-Sammelpunkt.</x:v>
      </x:c>
    </x:row>
    <x:row r="71">
      <x:c r="A71" s="116" t="str">
        <x:v>BEST-153</x:v>
      </x:c>
      <x:c r="B71" s="116" t="str">
        <x:v>Neuropraxis Wertheim</x:v>
      </x:c>
      <x:c r="C71" s="116" t="str">
        <x:v>Bestand aktualisieren</x:v>
      </x:c>
      <x:c r="D71" s="116" t="str">
        <x:v>A</x:v>
      </x:c>
      <x:c r="E71" s="116" t="str">
        <x:v>Neurologisch-psychiatrische Praxen</x:v>
      </x:c>
      <x:c r="F71" s="116" t="str">
        <x:v>Neurologie; Psychiatrie</x:v>
      </x:c>
      <x:c r="G71" s="116" t="str">
        <x:v>regional bedeutsame neurologisch-psychiatrische Praxis</x:v>
      </x:c>
      <x:c r="H71" s="116" t="str">
        <x:v>Bahnhofstraße 33</x:v>
      </x:c>
      <x:c r="I71" s="116" t="str">
        <x:v>97877</x:v>
      </x:c>
      <x:c r="J71" s="116" t="str">
        <x:v>Wertheim</x:v>
      </x:c>
      <x:c r="K71" s="116" t="str">
        <x:v>Baden-Württemberg</x:v>
      </x:c>
      <x:c r="L71" s="116" t="str">
        <x:v>Deutschland</x:v>
      </x:c>
      <x:c r="M71" s="116" t="str">
        <x:v>09342 9157040</x:v>
      </x:c>
      <x:c r="N71" s="116" t="str">
        <x:v>09342 9157042</x:v>
      </x:c>
      <x:c r="O71" s="116" t="str">
        <x:v>info@neuropraxis-wertheim.de</x:v>
      </x:c>
      <x:c r="P71" s="116" t="str">
        <x:v>https://www.neuropraxis-wertheim.de/</x:v>
      </x:c>
      <x:c r="Q71" s="116" t="str">
        <x:v>Dr. medic Ioana Trifan; Dr. medic Laura Matasaru</x:v>
      </x:c>
      <x:c r="R71" s="116" t="str">
        <x:v>Neurologie; Psychiatrie; NLG/NCS; EEG; evozierte Potentiale; Doppler; Gutachten; Botulinumtoxin</x:v>
      </x:c>
      <x:c r="S71" s="116" t="str"/>
      <x:c r="T71" s="116" t="str">
        <x:v>Wertheim; Taubertal; Unterfranken</x:v>
      </x:c>
      <x:c r="U71" s="135" t="n">
        <x:v>49.7659492</x:v>
      </x:c>
      <x:c r="V71" s="135" t="n">
        <x:v>9.5095414</x:v>
      </x:c>
      <x:c r="W71" s="116" t="str">
        <x:v>adressgenau verifiziert</x:v>
      </x:c>
      <x:c r="X71" s="116" t="str">
        <x:v>Bestehenden Kartenpunkt aktualisieren</x:v>
      </x:c>
      <x:c r="Y71" s="116" t="str">
        <x:v>Bereits im Altbestand – keine Dublette</x:v>
      </x:c>
      <x:c r="Z71" s="116" t="str"/>
      <x:c r="AA71" s="116" t="str">
        <x:v>https://www.neuropraxis-wertheim.de/kontakt</x:v>
      </x:c>
      <x:c r="AB71" s="116" t="str">
        <x:v>OpenStreetMap/Nominatim – Altbestand Geo-QA</x:v>
      </x:c>
      <x:c r="AC71" s="116" t="str">
        <x:v>2026-08-30</x:v>
      </x:c>
      <x:c r="AD71" s="116" t="str">
        <x:v>Bahnhofstraße 33, 97877 Wertheim, Deutschland</x:v>
      </x:c>
      <x:c r="AE71" s="116" t="str">
        <x:v>Verbindlich als fester Aufnahmebestand; Kategorie von 'Sonstige' auf Neurologie/Psychiatrie bereinigen.</x:v>
      </x:c>
    </x:row>
    <x:row r="72">
      <x:c r="A72" s="116" t="str">
        <x:v>BEST-152</x:v>
      </x:c>
      <x:c r="B72" s="116" t="str">
        <x:v>NervenDocks – Praxis für Neurologie &amp; Psychiatrie</x:v>
      </x:c>
      <x:c r="C72" s="116" t="str">
        <x:v>Bestand aktualisieren</x:v>
      </x:c>
      <x:c r="D72" s="116" t="str">
        <x:v>A</x:v>
      </x:c>
      <x:c r="E72" s="116" t="str">
        <x:v>Neurologisch-psychiatrische Praxen</x:v>
      </x:c>
      <x:c r="F72" s="116" t="str">
        <x:v>Neurologie; Psychiatrie</x:v>
      </x:c>
      <x:c r="G72" s="116" t="str">
        <x:v>größere regionale Neuro-Psych-Praxis</x:v>
      </x:c>
      <x:c r="H72" s="116" t="str">
        <x:v>Dr.-Konrad-Adenauer-Straße 37c</x:v>
      </x:c>
      <x:c r="I72" s="116" t="str">
        <x:v>74722</x:v>
      </x:c>
      <x:c r="J72" s="116" t="str">
        <x:v>Buchen</x:v>
      </x:c>
      <x:c r="K72" s="116" t="str">
        <x:v>Baden-Württemberg</x:v>
      </x:c>
      <x:c r="L72" s="116" t="str">
        <x:v>Deutschland</x:v>
      </x:c>
      <x:c r="M72" s="116" t="str">
        <x:v>06281 56446-0</x:v>
      </x:c>
      <x:c r="N72" s="116" t="str">
        <x:v>06281 56446-20</x:v>
      </x:c>
      <x:c r="O72" s="116" t="str">
        <x:v>postfach@nervendocks.de</x:v>
      </x:c>
      <x:c r="P72" s="116" t="str">
        <x:v>https://www.nervendocks.de/</x:v>
      </x:c>
      <x:c r="Q72" s="116" t="str">
        <x:v>Dr. Marco Pohl; Dr. Viktoria Schreiber; Dr. Hans Weidmann</x:v>
      </x:c>
      <x:c r="R72" s="116" t="str">
        <x:v>Neurologie; Psychiatrie; moderne Diagnostik; kurzfristige Neurologie-Termine; Ärzte-Anmeldung</x:v>
      </x:c>
      <x:c r="S72" s="116" t="str"/>
      <x:c r="T72" s="116" t="str">
        <x:v>Neckar-Odenwald; Odenwald</x:v>
      </x:c>
      <x:c r="U72" s="135" t="n">
        <x:v>49.5239117</x:v>
      </x:c>
      <x:c r="V72" s="135" t="n">
        <x:v>9.3101384</x:v>
      </x:c>
      <x:c r="W72" s="116" t="str">
        <x:v>adressgenau verifiziert</x:v>
      </x:c>
      <x:c r="X72" s="116" t="str">
        <x:v>Bestehenden Kartenpunkt priorisieren/taggen</x:v>
      </x:c>
      <x:c r="Y72" s="116" t="str">
        <x:v>Bereits im Altbestand – keine Dublette</x:v>
      </x:c>
      <x:c r="Z72" s="116" t="str"/>
      <x:c r="AA72" s="116" t="str">
        <x:v>https://www.nervendocks.de/</x:v>
      </x:c>
      <x:c r="AB72" s="116" t="str">
        <x:v>OpenStreetMap/Nominatim – Altbestand Geo-QA</x:v>
      </x:c>
      <x:c r="AC72" s="116" t="str">
        <x:v>2026-08-30</x:v>
      </x:c>
      <x:c r="AD72" s="116" t="str">
        <x:v>Dr.-Konrad-Adenauer-Straße 37c, 74722 Buchen, Deutschland</x:v>
      </x:c>
      <x:c r="AE72" s="116" t="str">
        <x:v>Deckt die gezielte Odenwald-Lücke bereits ab.</x:v>
      </x:c>
    </x:row>
    <x:row r="73">
      <x:c r="A73" s="116" t="str">
        <x:v>BEST-340</x:v>
      </x:c>
      <x:c r="B73" s="116" t="str">
        <x:v>Stephanuswerk Isny – Bildungszentrum</x:v>
      </x:c>
      <x:c r="C73" s="116" t="str">
        <x:v>Bestand aktualisieren</x:v>
      </x:c>
      <x:c r="D73" s="116" t="str">
        <x:v>A</x:v>
      </x:c>
      <x:c r="E73" s="116" t="str">
        <x:v>Berufliche Reha / Neurologie Phase E</x:v>
      </x:c>
      <x:c r="F73" s="116" t="str">
        <x:v>Phase E; LTA; berufliche Rehabilitation</x:v>
      </x:c>
      <x:c r="G73" s="116" t="str">
        <x:v>Bildungszentrum / beruflicher Reha-Baustein</x:v>
      </x:c>
      <x:c r="H73" s="116" t="str">
        <x:v>Maierhöfener Straße 56</x:v>
      </x:c>
      <x:c r="I73" s="116" t="str">
        <x:v>88316</x:v>
      </x:c>
      <x:c r="J73" s="116" t="str">
        <x:v>Isny im Allgäu</x:v>
      </x:c>
      <x:c r="K73" s="116" t="str">
        <x:v>Baden-Württemberg</x:v>
      </x:c>
      <x:c r="L73" s="116" t="str">
        <x:v>Deutschland</x:v>
      </x:c>
      <x:c r="M73" s="116" t="str">
        <x:v>07562 74-0; 07562 74-1700</x:v>
      </x:c>
      <x:c r="N73" s="116" t="str"/>
      <x:c r="O73" s="116" t="str">
        <x:v>bildungszentrum.stephanuswerk@ev-heimstiftung.de</x:v>
      </x:c>
      <x:c r="P73" s="116" t="str">
        <x:v>https://www.stephanuswerk-isny.de/bildungszentrum/</x:v>
      </x:c>
      <x:c r="Q73" s="116" t="str">
        <x:v>Aufnahmebüro Bildungszentrum</x:v>
      </x:c>
      <x:c r="R73" s="116" t="str">
        <x:v>Reha-Assessment; Eignungsabklärung; Arbeitserprobung; Ausbildung/Umschulung; berufliche Integration</x:v>
      </x:c>
      <x:c r="S73" s="116" t="str"/>
      <x:c r="T73" s="116" t="str">
        <x:v>Baden-Württemberg Süd; überregional</x:v>
      </x:c>
      <x:c r="U73" s="135" t="n">
        <x:v>47.684787</x:v>
      </x:c>
      <x:c r="V73" s="135" t="n">
        <x:v>10.038184</x:v>
      </x:c>
      <x:c r="W73" s="116" t="str">
        <x:v>Hausadresse verifiziert</x:v>
      </x:c>
      <x:c r="X73" s="116" t="str">
        <x:v>Bestehenden Kartenpunkt fachlich korrigieren</x:v>
      </x:c>
      <x:c r="Y73" s="116" t="str">
        <x:v>Bereits in 4.3 enthalten</x:v>
      </x:c>
      <x:c r="Z73" s="116" t="str"/>
      <x:c r="AA73" s="116" t="str">
        <x:v>https://www.stephanuswerk-isny.de/bildungszentrum/</x:v>
      </x:c>
      <x:c r="AB73" s="116" t="str">
        <x:v>Master 4.3 – Hausadresse/Standort geprüft</x:v>
      </x:c>
      <x:c r="AC73" s="116" t="str">
        <x:v>2026-08-30</x:v>
      </x:c>
      <x:c r="AD73" s="116" t="str">
        <x:v>Maierhöfener Straße 56, 88316 Isny im Allgäu, Deutschland</x:v>
      </x:c>
      <x:c r="AE73" s="116" t="str">
        <x:v>Phase E/LTA; ausdrücklich keine medizinische Phase-A-D-Klinik.</x:v>
      </x:c>
    </x:row>
    <x:row r="74">
      <x:c r="A74" s="116" t="str">
        <x:v>BEST-B01</x:v>
      </x:c>
      <x:c r="B74" s="116" t="str">
        <x:v>Asklepios Schlossberg Klinik Bad König</x:v>
      </x:c>
      <x:c r="C74" s="116" t="str">
        <x:v>Bestand bestätigen</x:v>
      </x:c>
      <x:c r="D74" s="116" t="str">
        <x:v>A</x:v>
      </x:c>
      <x:c r="E74" s="116" t="str">
        <x:v>Neurologische Reha</x:v>
      </x:c>
      <x:c r="F74" s="116" t="str">
        <x:v>Neurologie; Phase B</x:v>
      </x:c>
      <x:c r="G74" s="116" t="str">
        <x:v>Neurologische Frührehabilitation Phase B</x:v>
      </x:c>
      <x:c r="H74" s="116" t="str">
        <x:v>Frankfurter Straße 33</x:v>
      </x:c>
      <x:c r="I74" s="116" t="str">
        <x:v>64732</x:v>
      </x:c>
      <x:c r="J74" s="116" t="str">
        <x:v>Bad König</x:v>
      </x:c>
      <x:c r="K74" s="116" t="str">
        <x:v>Hessen</x:v>
      </x:c>
      <x:c r="L74" s="116" t="str">
        <x:v>Deutschland</x:v>
      </x:c>
      <x:c r="M74" s="116" t="str">
        <x:v>06063 501-0; 06063 501-362</x:v>
      </x:c>
      <x:c r="N74" s="116" t="str"/>
      <x:c r="O74" s="116" t="str"/>
      <x:c r="P74" s="116" t="str">
        <x:v>https://www.asklepios.com/bad-koenig/</x:v>
      </x:c>
      <x:c r="Q74" s="116" t="str">
        <x:v>Dr. Michael Hartwich; Melanie Jahn</x:v>
      </x:c>
      <x:c r="R74" s="116" t="str">
        <x:v>Neurologische Frührehabilitation Phase B</x:v>
      </x:c>
      <x:c r="S74" s="116" t="str"/>
      <x:c r="T74" s="116" t="str">
        <x:v>Odenwald; Südhessen; Rhein-Main</x:v>
      </x:c>
      <x:c r="U74" s="135" t="n">
        <x:v>49.74512</x:v>
      </x:c>
      <x:c r="V74" s="135" t="n">
        <x:v>9.00504</x:v>
      </x:c>
      <x:c r="W74" s="116" t="str">
        <x:v>Einrichtungsstandort geprüft</x:v>
      </x:c>
      <x:c r="X74" s="116" t="str">
        <x:v>Bestand – Phase-B-Zuordnung bestätigen</x:v>
      </x:c>
      <x:c r="Y74" s="116" t="str">
        <x:v>4.4.2 bereits ergänzt</x:v>
      </x:c>
      <x:c r="Z74" s="116" t="str"/>
      <x:c r="AA74" s="116" t="str">
        <x:v>https://www.asklepios.com/bad-koenig/</x:v>
      </x:c>
      <x:c r="AB74" s="116" t="str">
        <x:v>Master 4.4 – dokumentierter Einrichtungsstandort</x:v>
      </x:c>
      <x:c r="AC74" s="116" t="str">
        <x:v>2026-08-30</x:v>
      </x:c>
      <x:c r="AD74" s="116" t="str">
        <x:v>Frankfurter Straße 33, 64732 Bad König, Deutschland</x:v>
      </x:c>
      <x:c r="AE74" s="116" t="str">
        <x:v>Keine zusätzliche Phase-C-Zuordnung übernehmen.</x:v>
      </x:c>
    </x:row>
    <x:row r="75">
      <x:c r="A75" s="116" t="str">
        <x:v>BEST-B02</x:v>
      </x:c>
      <x:c r="B75" s="116" t="str">
        <x:v>SRH Kurpfalzkrankenhaus Heidelberg</x:v>
      </x:c>
      <x:c r="C75" s="116" t="str">
        <x:v>Bestand bestätigen</x:v>
      </x:c>
      <x:c r="D75" s="116" t="str">
        <x:v>A</x:v>
      </x:c>
      <x:c r="E75" s="116" t="str">
        <x:v>Neurologische Reha</x:v>
      </x:c>
      <x:c r="F75" s="116" t="str">
        <x:v>Neurologie; Phase B</x:v>
      </x:c>
      <x:c r="G75" s="116" t="str">
        <x:v>Neurologische Frührehabilitation Phase B</x:v>
      </x:c>
      <x:c r="H75" s="116" t="str">
        <x:v>Bonhoefferstraße 5</x:v>
      </x:c>
      <x:c r="I75" s="116" t="str">
        <x:v>69123</x:v>
      </x:c>
      <x:c r="J75" s="116" t="str">
        <x:v>Heidelberg</x:v>
      </x:c>
      <x:c r="K75" s="116" t="str">
        <x:v>Baden-Württemberg</x:v>
      </x:c>
      <x:c r="L75" s="116" t="str">
        <x:v>Deutschland</x:v>
      </x:c>
      <x:c r="M75" s="116" t="str">
        <x:v>06221 88-4010; 06221 88-4101</x:v>
      </x:c>
      <x:c r="N75" s="116" t="str"/>
      <x:c r="O75" s="116" t="str">
        <x:v>info.kkh@srh.de</x:v>
      </x:c>
      <x:c r="P75" s="116" t="str">
        <x:v>https://www.srh.de/</x:v>
      </x:c>
      <x:c r="Q75" s="116" t="str">
        <x:v>Beate Paschka / Patientenmanagement</x:v>
      </x:c>
      <x:c r="R75" s="116" t="str">
        <x:v>Neurologische Frührehabilitation Phase B</x:v>
      </x:c>
      <x:c r="S75" s="116" t="str"/>
      <x:c r="T75" s="116" t="str">
        <x:v>Rhein-Neckar; Nordbaden</x:v>
      </x:c>
      <x:c r="U75" s="135" t="n">
        <x:v>49.4136</x:v>
      </x:c>
      <x:c r="V75" s="135" t="n">
        <x:v>8.65381</x:v>
      </x:c>
      <x:c r="W75" s="116" t="str">
        <x:v>Einrichtungsstandort geprüft</x:v>
      </x:c>
      <x:c r="X75" s="116" t="str">
        <x:v>Bestand – Phase-B-Zuordnung bestätigen</x:v>
      </x:c>
      <x:c r="Y75" s="116" t="str">
        <x:v>4.4.2 bereits ergänzt</x:v>
      </x:c>
      <x:c r="Z75" s="116" t="str"/>
      <x:c r="AA75" s="116" t="str">
        <x:v>https://www.srh.de/</x:v>
      </x:c>
      <x:c r="AB75" s="116" t="str">
        <x:v>Master 4.4 – dokumentierter Einrichtungsstandort</x:v>
      </x:c>
      <x:c r="AC75" s="116" t="str">
        <x:v>2026-08-30</x:v>
      </x:c>
      <x:c r="AD75" s="116" t="str">
        <x:v>Bonhoefferstraße 5, 69123 Heidelberg, Deutschland</x:v>
      </x:c>
      <x:c r="AE75" s="116" t="str">
        <x:v>Keine zusätzliche Phase-C-Zuordnung übernehmen.</x:v>
      </x:c>
    </x:row>
    <x:row r="76">
      <x:c r="A76" s="116" t="str">
        <x:v>BEST-F01</x:v>
      </x:c>
      <x:c r="B76" s="116" t="str">
        <x:v>Junge Pflege St. Anastasia – Fachpflege Neurophase F</x:v>
      </x:c>
      <x:c r="C76" s="116" t="str">
        <x:v>Bestand bestätigen</x:v>
      </x:c>
      <x:c r="D76" s="116" t="str">
        <x:v>A</x:v>
      </x:c>
      <x:c r="E76" s="116" t="str">
        <x:v>Neurologische Reha</x:v>
      </x:c>
      <x:c r="F76" s="116" t="str">
        <x:v>Neurologie; Phase F</x:v>
      </x:c>
      <x:c r="G76" s="116" t="str">
        <x:v>Neurologische Fachpflege / Phase F</x:v>
      </x:c>
      <x:c r="H76" s="116" t="str">
        <x:v>Albert-Schweitzer-Straße 3</x:v>
      </x:c>
      <x:c r="I76" s="116" t="str">
        <x:v>67117</x:v>
      </x:c>
      <x:c r="J76" s="116" t="str">
        <x:v>Limburgerhof</x:v>
      </x:c>
      <x:c r="K76" s="116" t="str">
        <x:v>Rheinland-Pfalz</x:v>
      </x:c>
      <x:c r="L76" s="116" t="str">
        <x:v>Deutschland</x:v>
      </x:c>
      <x:c r="M76" s="116" t="str">
        <x:v>06236 470-1502</x:v>
      </x:c>
      <x:c r="N76" s="116" t="str"/>
      <x:c r="O76" s="116" t="str">
        <x:v>stefanie.kreutz@cbs-speyer.de</x:v>
      </x:c>
      <x:c r="P76" s="116" t="str">
        <x:v>https://www.caritas-speyer.de/standorte/caritas-altenzentren/st-anastasia</x:v>
      </x:c>
      <x:c r="Q76" s="116" t="str">
        <x:v>Stefanie Kreutz</x:v>
      </x:c>
      <x:c r="R76" s="116" t="str">
        <x:v>Neurophase F; erworbene Schädel-Hirn-Verletzungen; Wachkoma; Trachealkanülen-Management</x:v>
      </x:c>
      <x:c r="S76" s="116" t="str"/>
      <x:c r="T76" s="116" t="str">
        <x:v>Vorderpfalz; Rhein-Neckar</x:v>
      </x:c>
      <x:c r="U76" s="135" t="n">
        <x:v>49.4239552</x:v>
      </x:c>
      <x:c r="V76" s="135" t="n">
        <x:v>8.3822111</x:v>
      </x:c>
      <x:c r="W76" s="116" t="str">
        <x:v>Gebäude-/Adresspunkt verifiziert</x:v>
      </x:c>
      <x:c r="X76" s="116" t="str">
        <x:v>Bestand – Phase F bestätigen</x:v>
      </x:c>
      <x:c r="Y76" s="116" t="str">
        <x:v>Bereits 4.3 vorhanden</x:v>
      </x:c>
      <x:c r="Z76" s="116" t="str"/>
      <x:c r="AA76" s="116" t="str">
        <x:v>https://www.caritas-speyer.de/standorte/caritas-altenzentren/st-anastasia</x:v>
      </x:c>
      <x:c r="AB76" s="116" t="str">
        <x:v>Master 4.3 / dokumentierte Geoquelle</x:v>
      </x:c>
      <x:c r="AC76" s="116" t="str">
        <x:v>2026-08-30</x:v>
      </x:c>
      <x:c r="AD76" s="116" t="str">
        <x:v>Albert-Schweitzer-Straße 3, 67117 Limburgerhof, Deutschland</x:v>
      </x:c>
      <x:c r="AE76" s="116" t="str">
        <x:v>Aktiver Phase-F-Standort; Storchenpark Speyer dagegen entfernen.</x:v>
      </x:c>
    </x:row>
    <x:row r="77">
      <x:c r="A77" s="116" t="str">
        <x:v>BEST-224</x:v>
      </x:c>
      <x:c r="B77" s="116" t="str">
        <x:v>Mobilcenter Zawatzky GmbH – Meckesheim</x:v>
      </x:c>
      <x:c r="C77" s="116" t="str">
        <x:v>Bestand bestätigen</x:v>
      </x:c>
      <x:c r="D77" s="116" t="str">
        <x:v>A</x:v>
      </x:c>
      <x:c r="E77" s="116" t="str">
        <x:v>Kfz &amp; Mobilität</x:v>
      </x:c>
      <x:c r="F77" s="116" t="str">
        <x:v>Fahrzeuganpassung; Kfz-Hilfe; Mobilität</x:v>
      </x:c>
      <x:c r="G77" s="116" t="str">
        <x:v>Spezialanbieter Fahrzeugumbau</x:v>
      </x:c>
      <x:c r="H77" s="116" t="str">
        <x:v>Bemannsbruch 2-4</x:v>
      </x:c>
      <x:c r="I77" s="116" t="str">
        <x:v>74909</x:v>
      </x:c>
      <x:c r="J77" s="116" t="str">
        <x:v>Meckesheim</x:v>
      </x:c>
      <x:c r="K77" s="116" t="str">
        <x:v>Baden-Württemberg</x:v>
      </x:c>
      <x:c r="L77" s="116" t="str">
        <x:v>Deutschland</x:v>
      </x:c>
      <x:c r="M77" s="116" t="str">
        <x:v>06226 9217-0</x:v>
      </x:c>
      <x:c r="N77" s="116" t="str"/>
      <x:c r="O77" s="116" t="str">
        <x:v>info@zawatzky.de</x:v>
      </x:c>
      <x:c r="P77" s="116" t="str">
        <x:v>https://zawatzky.de/standorte/meckesheim/</x:v>
      </x:c>
      <x:c r="Q77" s="116" t="str"/>
      <x:c r="R77" s="116" t="str">
        <x:v>Behindertengerechter Fahrzeugumbau; Fahr- und Lenkhilfen; Rollstuhlverladung; Service/Wartung</x:v>
      </x:c>
      <x:c r="S77" s="116" t="str"/>
      <x:c r="T77" s="116" t="str">
        <x:v>Rhein-Neckar; Nordbaden; überregional</x:v>
      </x:c>
      <x:c r="U77" s="135" t="n">
        <x:v>49.322596</x:v>
      </x:c>
      <x:c r="V77" s="135" t="n">
        <x:v>8.8047106</x:v>
      </x:c>
      <x:c r="W77" s="116" t="str">
        <x:v>adressgenau verifiziert</x:v>
      </x:c>
      <x:c r="X77" s="116" t="str">
        <x:v>Bestehenden Kartenpunkt beibehalten</x:v>
      </x:c>
      <x:c r="Y77" s="116" t="str">
        <x:v>Bereits im Bestand (ID 224)</x:v>
      </x:c>
      <x:c r="Z77" s="116" t="str">
        <x:v>MOB44-002 Fahrschule Zawatzky Neckargemünd</x:v>
      </x:c>
      <x:c r="AA77" s="116" t="str">
        <x:v>https://zawatzky.de/standorte/</x:v>
      </x:c>
      <x:c r="AB77" s="116" t="str">
        <x:v>OpenStreetMap/Nominatim – Altbestand</x:v>
      </x:c>
      <x:c r="AC77" s="116" t="str">
        <x:v>2026-08-30</x:v>
      </x:c>
      <x:c r="AD77" s="116" t="str">
        <x:v>Bemannsbruch 2-4, 74909 Meckesheim, Deutschland</x:v>
      </x:c>
      <x:c r="AE77" s="116" t="str">
        <x:v>Umbau und Fahrschule getrennt führen, aber verknüpfen.</x:v>
      </x:c>
    </x:row>
    <x:row r="78">
      <x:c r="A78" s="116" t="str">
        <x:v>BEST-319</x:v>
      </x:c>
      <x:c r="B78" s="116" t="str">
        <x:v>Gerd Waldvogel – Kfz-Sachverständiger</x:v>
      </x:c>
      <x:c r="C78" s="116" t="str">
        <x:v>Bestand bestätigen</x:v>
      </x:c>
      <x:c r="D78" s="116" t="str">
        <x:v>B</x:v>
      </x:c>
      <x:c r="E78" s="116" t="str">
        <x:v>Kfz &amp; Mobilität</x:v>
      </x:c>
      <x:c r="F78" s="116" t="str">
        <x:v>Kfz-Sachverständiger; Mobilität</x:v>
      </x:c>
      <x:c r="G78" s="116" t="str">
        <x:v>Kfz-Sachverständiger</x:v>
      </x:c>
      <x:c r="H78" s="116" t="str">
        <x:v>Am Kalkofen 20</x:v>
      </x:c>
      <x:c r="I78" s="116" t="str">
        <x:v>64732</x:v>
      </x:c>
      <x:c r="J78" s="116" t="str">
        <x:v>Bad König</x:v>
      </x:c>
      <x:c r="K78" s="116" t="str">
        <x:v>Hessen</x:v>
      </x:c>
      <x:c r="L78" s="116" t="str">
        <x:v>Deutschland</x:v>
      </x:c>
      <x:c r="M78" s="116" t="str">
        <x:v>06163 9437952; 0151 54845669</x:v>
      </x:c>
      <x:c r="N78" s="116" t="str"/>
      <x:c r="O78" s="116" t="str">
        <x:v>gerd.waldvogel@yahoo.de</x:v>
      </x:c>
      <x:c r="P78" s="116" t="str"/>
      <x:c r="Q78" s="116" t="str"/>
      <x:c r="R78" s="116" t="str">
        <x:v>Kfz-Sachverständigenleistungen; fallbezogene Begutachtung im Mobilitätskontext</x:v>
      </x:c>
      <x:c r="S78" s="116" t="str"/>
      <x:c r="T78" s="116" t="str">
        <x:v>Odenwald; Rhein-Main; regional</x:v>
      </x:c>
      <x:c r="U78" s="135" t="n">
        <x:v>49.767115</x:v>
      </x:c>
      <x:c r="V78" s="135" t="n">
        <x:v>8.945748</x:v>
      </x:c>
      <x:c r="W78" s="116" t="str">
        <x:v>adressbezogener Punkt geprüft</x:v>
      </x:c>
      <x:c r="X78" s="116" t="str">
        <x:v>Bestehenden Kartenpunkt beibehalten</x:v>
      </x:c>
      <x:c r="Y78" s="116" t="str">
        <x:v>Bereits im Bestand (ID 319)</x:v>
      </x:c>
      <x:c r="Z78" s="116" t="str"/>
      <x:c r="AA78" s="116" t="str"/>
      <x:c r="AB78" s="116" t="str">
        <x:v>Master 4.3 / dokumentierte Geoquelle</x:v>
      </x:c>
      <x:c r="AC78" s="116" t="str">
        <x:v>2026-08-30</x:v>
      </x:c>
      <x:c r="AD78" s="116" t="str">
        <x:v>Am Kalkofen 20, 64732 Bad König, Deutschland</x:v>
      </x:c>
      <x:c r="AE78" s="116" t="str">
        <x:v>PLZ 64732 ist der aktuelle/geprüfte Stand.</x:v>
      </x:c>
    </x:row>
    <x:row r="79">
      <x:c r="A79" s="116" t="str">
        <x:v>BEST-SOZ1</x:v>
      </x:c>
      <x:c r="B79" s="116" t="str">
        <x:v>Jochen Martini – Architektur/Gutachten Wohnen</x:v>
      </x:c>
      <x:c r="C79" s="116" t="str">
        <x:v>Bestand bestätigen</x:v>
      </x:c>
      <x:c r="D79" s="116" t="str">
        <x:v>A</x:v>
      </x:c>
      <x:c r="E79" s="116" t="str">
        <x:v>Soziale Teilhabe / Wohnen</x:v>
      </x:c>
      <x:c r="F79" s="116" t="str">
        <x:v>Wohnraumanpassung; Barrierefreiheit; Architektur; Gutachten</x:v>
      </x:c>
      <x:c r="G79" s="116" t="str">
        <x:v>Architekt / Gutachter Wohnen</x:v>
      </x:c>
      <x:c r="H79" s="116" t="str">
        <x:v>Am Dicken Stein 49</x:v>
      </x:c>
      <x:c r="I79" s="116" t="str">
        <x:v>67466</x:v>
      </x:c>
      <x:c r="J79" s="116" t="str">
        <x:v>Lambrecht (Pfalz)</x:v>
      </x:c>
      <x:c r="K79" s="116" t="str">
        <x:v>Rheinland-Pfalz</x:v>
      </x:c>
      <x:c r="L79" s="116" t="str">
        <x:v>Deutschland</x:v>
      </x:c>
      <x:c r="M79" s="116" t="str">
        <x:v>06325 980590</x:v>
      </x:c>
      <x:c r="N79" s="116" t="str"/>
      <x:c r="O79" s="116" t="str">
        <x:v>Jochen.martini@t-online.de</x:v>
      </x:c>
      <x:c r="P79" s="116" t="str"/>
      <x:c r="Q79" s="116" t="str"/>
      <x:c r="R79" s="116" t="str">
        <x:v>Wohnraumanpassung; Barrierefreiheit; architektonische Begutachtung und Planung</x:v>
      </x:c>
      <x:c r="S79" s="116" t="str"/>
      <x:c r="T79" s="116" t="str">
        <x:v>Pfalz; Rhein-Neckar; regional</x:v>
      </x:c>
      <x:c r="U79" s="135"/>
      <x:c r="V79" s="135"/>
      <x:c r="W79" s="116" t="str">
        <x:v>Adresse bestätigt; numerische Hauskoordinate im Gesamtimport nicht neu überschrieben</x:v>
      </x:c>
      <x:c r="X79" s="116" t="str">
        <x:v>Bestehenden Kartenpunkt verbindlich beibehalten</x:v>
      </x:c>
      <x:c r="Y79" s="116" t="str">
        <x:v>Bereits im Bestand / 4.4.3 Kartenfix</x:v>
      </x:c>
      <x:c r="Z79" s="116" t="str"/>
      <x:c r="AA79" s="116" t="str"/>
      <x:c r="AB79" s="116" t="str"/>
      <x:c r="AC79" s="116" t="str">
        <x:v>2026-08-30</x:v>
      </x:c>
      <x:c r="AD79" s="116" t="str">
        <x:v>Am Dicken Stein 49, 67466 Lambrecht (Pfalz), Deutschland</x:v>
      </x:c>
      <x:c r="AE79" s="116" t="str">
        <x:v>Soziale Teilhabe/Wohnen als eigenständiger Bereich; Martini darf nicht erneut verloren gehen.</x:v>
      </x:c>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AE1"/>
    <x:mergeCell ref="A2:AE2"/>
  </x:mergeCells>
  <x:conditionalFormatting sqref="C5:C79">
    <x:cfRule type="expression" dxfId="18" priority="1">
      <x:formula>C5="Aufnehmen"</x:formula>
    </x:cfRule>
    <x:cfRule type="expression" dxfId="19" priority="2">
      <x:formula>LEFT(C5,7)="Bestand"</x:formula>
    </x:cfRule>
  </x:conditionalFormatting>
  <x:conditionalFormatting sqref="D5:D79">
    <x:cfRule type="expression" dxfId="20" priority="3">
      <x:formula>D5="A+"</x:formula>
    </x:cfRule>
  </x:conditionalFormatting>
  <x:pageMargins left="0.7" right="0.7" top="0.75" bottom="0.75" header="0.3" footer="0.3"/>
  <x:tableParts count="1">
    <x:tablePart xmlns:r="http://schemas.openxmlformats.org/officeDocument/2006/relationships" r:id="Rb2913558436c425f"/>
  </x:tableParts>
</x:worksheet>
</file>

<file path=xl/worksheets/sheet26.xml><?xml version="1.0" encoding="utf-8"?>
<x:worksheet xmlns:x="http://schemas.openxmlformats.org/spreadsheetml/2006/main">
  <x:sheetFormatPr defaultRowHeight="15"/>
  <x:cols>
    <x:col min="1" max="1" width="34" hidden="0" customWidth="1"/>
    <x:col min="2" max="2" width="12" hidden="0" customWidth="1"/>
    <x:col min="4" max="4" width="29" hidden="0" customWidth="1"/>
    <x:col min="5" max="5" width="18" hidden="0" customWidth="1"/>
    <x:col min="6" max="6" width="48" hidden="0" customWidth="1"/>
    <x:col min="7" max="7" width="48" hidden="0" customWidth="1"/>
    <x:col min="8" max="8" width="28" hidden="0" customWidth="1"/>
    <x:col min="3" max="3" width="4" hidden="0" customWidth="1"/>
  </x:cols>
  <x:sheetData>
    <x:row r="1" ht="30" customHeight="1">
      <x:c r="A1" s="245" t="str">
        <x:v>BG-RehaManager Südwest – FINALER 4.4.x-Abschlussstand</x:v>
      </x:c>
      <x:c r="B1" s="245"/>
      <x:c r="C1" s="245"/>
      <x:c r="D1" s="245"/>
      <x:c r="E1" s="245"/>
      <x:c r="F1" s="245"/>
      <x:c r="G1" s="245"/>
      <x:c r="H1" s="245"/>
      <x:c r="I1" s="113"/>
      <x:c r="J1" s="113"/>
      <x:c r="K1" s="113"/>
      <x:c r="L1" s="113"/>
      <x:c r="M1" s="113"/>
      <x:c r="N1" s="113"/>
      <x:c r="O1" s="113"/>
      <x:c r="P1" s="113"/>
      <x:c r="Q1" s="113"/>
      <x:c r="R1" s="113"/>
      <x:c r="S1" s="113"/>
      <x:c r="T1" s="113"/>
      <x:c r="U1" s="113"/>
      <x:c r="V1" s="113"/>
      <x:c r="W1" s="113"/>
      <x:c r="X1" s="113"/>
      <x:c r="Y1" s="113"/>
      <x:c r="Z1" s="113"/>
      <x:c r="AA1" s="113"/>
      <x:c r="AB1" s="113"/>
      <x:c r="AC1" s="113"/>
      <x:c r="AD1" s="113"/>
      <x:c r="AE1" s="113"/>
    </x:row>
    <x:row r="2" ht="18" customHeight="1">
      <x:c r="A2" s="255" t="str">
        <x:v>Stand 31.08.2026 · Schlussrunde Fahrrad-/Spezialradanpassung und Wohnen/Lifttechnik ergänzt; bisherige 4.4.x-Lückenrunden bleiben abgeschlossen</x:v>
      </x:c>
      <x:c r="B2" s="255"/>
      <x:c r="C2" s="255"/>
      <x:c r="D2" s="255"/>
      <x:c r="E2" s="255"/>
      <x:c r="F2" s="255"/>
      <x:c r="G2" s="255"/>
      <x:c r="H2" s="255"/>
      <x:c r="I2" s="113"/>
      <x:c r="J2" s="113"/>
      <x:c r="K2" s="113"/>
      <x:c r="L2" s="113"/>
      <x:c r="M2" s="113"/>
      <x:c r="N2" s="113"/>
      <x:c r="O2" s="113"/>
      <x:c r="P2" s="113"/>
      <x:c r="Q2" s="113"/>
      <x:c r="R2" s="113"/>
      <x:c r="S2" s="113"/>
      <x:c r="T2" s="113"/>
      <x:c r="U2" s="113"/>
      <x:c r="V2" s="113"/>
      <x:c r="W2" s="113"/>
      <x:c r="X2" s="113"/>
      <x:c r="Y2" s="113"/>
      <x:c r="Z2" s="113"/>
      <x:c r="AA2" s="113"/>
      <x:c r="AB2" s="113"/>
      <x:c r="AC2" s="113"/>
      <x:c r="AD2" s="113"/>
      <x:c r="AE2" s="113"/>
    </x:row>
    <x:row r="3" ht="18" customHeight="1">
      <x:c r="A3" s="241"/>
      <x:c r="B3" s="241"/>
      <x:c r="C3" s="241"/>
      <x:c r="D3" s="241"/>
      <x:c r="E3" s="241"/>
      <x:c r="F3" s="241"/>
      <x:c r="G3" s="241"/>
      <x:c r="H3" s="241"/>
      <x:c r="I3" s="113"/>
      <x:c r="J3" s="113"/>
      <x:c r="K3" s="113"/>
      <x:c r="L3" s="113"/>
      <x:c r="M3" s="113"/>
      <x:c r="N3" s="113"/>
      <x:c r="O3" s="113"/>
      <x:c r="P3" s="113"/>
      <x:c r="Q3" s="113"/>
      <x:c r="R3" s="113"/>
      <x:c r="S3" s="113"/>
      <x:c r="T3" s="113"/>
      <x:c r="U3" s="113"/>
      <x:c r="V3" s="113"/>
      <x:c r="W3" s="113"/>
      <x:c r="X3" s="113"/>
      <x:c r="Y3" s="113"/>
      <x:c r="Z3" s="113"/>
      <x:c r="AA3" s="113"/>
      <x:c r="AB3" s="113"/>
      <x:c r="AC3" s="113"/>
      <x:c r="AD3" s="113"/>
      <x:c r="AE3" s="113"/>
    </x:row>
    <x:row r="4" ht="18" customHeight="1">
      <x:c r="A4" s="257" t="str">
        <x:v>Kennzahl</x:v>
      </x:c>
      <x:c r="B4" s="257" t="str">
        <x:v>Wert</x:v>
      </x:c>
      <x:c r="C4" s="241"/>
      <x:c r="D4" s="257" t="str">
        <x:v>Bereich</x:v>
      </x:c>
      <x:c r="E4" s="257" t="str">
        <x:v>Status</x:v>
      </x:c>
      <x:c r="F4" s="257" t="str">
        <x:v>Kernentscheidung</x:v>
      </x:c>
      <x:c r="G4" s="257" t="str">
        <x:v>Import-/Kartenlogik</x:v>
      </x:c>
      <x:c r="H4" s="257" t="str">
        <x:v>Ergebnis</x:v>
      </x:c>
      <x:c r="I4" s="113"/>
      <x:c r="J4" s="113"/>
      <x:c r="K4" s="113"/>
      <x:c r="L4" s="113"/>
      <x:c r="M4" s="113"/>
      <x:c r="N4" s="113"/>
      <x:c r="O4" s="113"/>
      <x:c r="P4" s="113"/>
      <x:c r="Q4" s="113"/>
      <x:c r="R4" s="113"/>
      <x:c r="S4" s="113"/>
      <x:c r="T4" s="113"/>
      <x:c r="U4" s="113"/>
      <x:c r="V4" s="113"/>
      <x:c r="W4" s="113"/>
      <x:c r="X4" s="113"/>
      <x:c r="Y4" s="113"/>
      <x:c r="Z4" s="113"/>
      <x:c r="AA4" s="113"/>
      <x:c r="AB4" s="113"/>
      <x:c r="AC4" s="113"/>
      <x:c r="AD4" s="113"/>
      <x:c r="AE4" s="113"/>
    </x:row>
    <x:row r="5" ht="18" customHeight="1">
      <x:c r="A5" s="241" t="str">
        <x:v>Aktive Neuaufnahmen</x:v>
      </x:c>
      <x:c r="B5" s="241" t="n">
        <x:v>104</x:v>
      </x:c>
      <x:c r="C5" s="241"/>
      <x:c r="D5" s="234" t="str">
        <x:v>Pflegeberatung / Pflegegutachten</x:v>
      </x:c>
      <x:c r="E5" s="234" t="str">
        <x:v>ABGESCHLOSSEN</x:v>
      </x:c>
      <x:c r="F5" s="234" t="str">
        <x:v>BG-Kliniken + externe SGB-VII-Sachverständige + bundesweite Dienste</x:v>
      </x:c>
      <x:c r="G5" s="234" t="str">
        <x:v>Klinik-Subservices ohne Doppel-Pin; HQ bundesweiter Dienste nicht für Distanzranking</x:v>
      </x:c>
      <x:c r="H5" s="234" t="str">
        <x:v>9 geprüfte Strukturen</x:v>
      </x:c>
      <x:c r="I5" s="113"/>
      <x:c r="J5" s="113"/>
      <x:c r="K5" s="113"/>
      <x:c r="L5" s="113"/>
      <x:c r="M5" s="113"/>
      <x:c r="N5" s="113"/>
      <x:c r="O5" s="113"/>
      <x:c r="P5" s="113"/>
      <x:c r="Q5" s="113"/>
      <x:c r="R5" s="113"/>
      <x:c r="S5" s="113"/>
      <x:c r="T5" s="113"/>
      <x:c r="U5" s="113"/>
      <x:c r="V5" s="113"/>
      <x:c r="W5" s="113"/>
      <x:c r="X5" s="113"/>
      <x:c r="Y5" s="113"/>
      <x:c r="Z5" s="113"/>
      <x:c r="AA5" s="113"/>
      <x:c r="AB5" s="113"/>
      <x:c r="AC5" s="113"/>
      <x:c r="AD5" s="113"/>
      <x:c r="AE5" s="113"/>
    </x:row>
    <x:row r="6" ht="18" customHeight="1">
      <x:c r="A6" s="241" t="str">
        <x:v>davon Technik</x:v>
      </x:c>
      <x:c r="B6" s="241" t="n">
        <x:v>52</x:v>
      </x:c>
      <x:c r="C6" s="241"/>
      <x:c r="D6" s="234" t="str">
        <x:v>Arbeitsvermittlung / Reha-Integration</x:v>
      </x:c>
      <x:c r="E6" s="234" t="str">
        <x:v>ABGESCHLOSSEN</x:v>
      </x:c>
      <x:c r="F6" s="234" t="str">
        <x:v>BG-/Versicherungs-Rehadienste priorisiert; AVGS-Ebene separat</x:v>
      </x:c>
      <x:c r="G6" s="234" t="str">
        <x:v>26 Ziel-/Prüfeinträge; JobBG nur historischer Prüfeintrag</x:v>
      </x:c>
      <x:c r="H6" s="234" t="str">
        <x:v>breite regionale + überregionale Abdeckung</x:v>
      </x:c>
      <x:c r="I6" s="113"/>
      <x:c r="J6" s="113"/>
      <x:c r="K6" s="113"/>
      <x:c r="L6" s="113"/>
      <x:c r="M6" s="113"/>
      <x:c r="N6" s="113"/>
      <x:c r="O6" s="113"/>
      <x:c r="P6" s="113"/>
      <x:c r="Q6" s="113"/>
      <x:c r="R6" s="113"/>
      <x:c r="S6" s="113"/>
      <x:c r="T6" s="113"/>
      <x:c r="U6" s="113"/>
      <x:c r="V6" s="113"/>
      <x:c r="W6" s="113"/>
      <x:c r="X6" s="113"/>
      <x:c r="Y6" s="113"/>
      <x:c r="Z6" s="113"/>
      <x:c r="AA6" s="113"/>
      <x:c r="AB6" s="113"/>
      <x:c r="AC6" s="113"/>
      <x:c r="AD6" s="113"/>
      <x:c r="AE6" s="113"/>
    </x:row>
    <x:row r="7" ht="18" customHeight="1">
      <x:c r="A7" s="241" t="str">
        <x:v>davon nichttechnisch</x:v>
      </x:c>
      <x:c r="B7" s="241" t="n">
        <x:v>52</x:v>
      </x:c>
      <x:c r="C7" s="241"/>
      <x:c r="D7" s="234" t="str">
        <x:v>Neuro-Psych</x:v>
      </x:c>
      <x:c r="E7" s="234" t="str">
        <x:v>ABGESCHLOSSEN</x:v>
      </x:c>
      <x:c r="F7" s="234" t="str">
        <x:v>Mannheim, Heidelberg, Heilbronn, Frankfurt ergänzt</x:v>
      </x:c>
      <x:c r="G7" s="234" t="str">
        <x:v>selektiv – keine Vollsammlung kleiner Einzelpraxen</x:v>
      </x:c>
      <x:c r="H7" s="234" t="str">
        <x:v>16 Schlüsselanbieter</x:v>
      </x:c>
      <x:c r="I7" s="113"/>
      <x:c r="J7" s="113"/>
      <x:c r="K7" s="113"/>
      <x:c r="L7" s="113"/>
      <x:c r="M7" s="113"/>
      <x:c r="N7" s="113"/>
      <x:c r="O7" s="113"/>
      <x:c r="P7" s="113"/>
      <x:c r="Q7" s="113"/>
      <x:c r="R7" s="113"/>
      <x:c r="S7" s="113"/>
      <x:c r="T7" s="113"/>
      <x:c r="U7" s="113"/>
      <x:c r="V7" s="113"/>
      <x:c r="W7" s="113"/>
      <x:c r="X7" s="113"/>
      <x:c r="Y7" s="113"/>
      <x:c r="Z7" s="113"/>
      <x:c r="AA7" s="113"/>
      <x:c r="AB7" s="113"/>
      <x:c r="AC7" s="113"/>
      <x:c r="AD7" s="113"/>
      <x:c r="AE7" s="113"/>
    </x:row>
    <x:row r="8" ht="18" customHeight="1">
      <x:c r="A8" s="241" t="str">
        <x:v>Bestand aktualisieren/bestätigen</x:v>
      </x:c>
      <x:c r="B8" s="241" t="n">
        <x:v>17</x:v>
      </x:c>
      <x:c r="C8" s="241"/>
      <x:c r="D8" s="234" t="str">
        <x:v>Arbeitsmedizin Speyer</x:v>
      </x:c>
      <x:c r="E8" s="234" t="str">
        <x:v>KORRIGIERT</x:v>
      </x:c>
      <x:c r="F8" s="234" t="str">
        <x:v>Dr. med. Stephanie Grabs · Eselsdamm 46</x:v>
      </x:c>
      <x:c r="G8" s="234" t="str">
        <x:v>alte Schreibweise/Adresse verwerfen</x:v>
      </x:c>
      <x:c r="H8" s="234" t="str">
        <x:v>Bestand aktualisieren</x:v>
      </x:c>
      <x:c r="I8" s="113"/>
      <x:c r="J8" s="113"/>
      <x:c r="K8" s="113"/>
      <x:c r="L8" s="113"/>
      <x:c r="M8" s="113"/>
      <x:c r="N8" s="113"/>
      <x:c r="O8" s="113"/>
      <x:c r="P8" s="113"/>
      <x:c r="Q8" s="113"/>
      <x:c r="R8" s="113"/>
      <x:c r="S8" s="113"/>
      <x:c r="T8" s="113"/>
      <x:c r="U8" s="113"/>
      <x:c r="V8" s="113"/>
      <x:c r="W8" s="113"/>
      <x:c r="X8" s="113"/>
      <x:c r="Y8" s="113"/>
      <x:c r="Z8" s="113"/>
      <x:c r="AA8" s="113"/>
      <x:c r="AB8" s="113"/>
      <x:c r="AC8" s="113"/>
      <x:c r="AD8" s="113"/>
      <x:c r="AE8" s="113"/>
    </x:row>
    <x:row r="9" ht="18" customHeight="1">
      <x:c r="A9" s="241" t="str">
        <x:v>A+ Neuaufnahmen</x:v>
      </x:c>
      <x:c r="B9" s="241" t="n">
        <x:v>47</x:v>
      </x:c>
      <x:c r="C9" s="241"/>
      <x:c r="D9" s="234" t="str">
        <x:v>Fuß-Check Saarlouis</x:v>
      </x:c>
      <x:c r="E9" s="234" t="str">
        <x:v>GESICHERT</x:v>
      </x:c>
      <x:c r="F9" s="234" t="str">
        <x:v>Spezialanbieter im Erhaltungsbestand</x:v>
      </x:c>
      <x:c r="G9" s="234" t="str">
        <x:v>BG-Klinik-Sprechstunde nur bei neuer aktueller Bestätigung als Unterdienst</x:v>
      </x:c>
      <x:c r="H9" s="234" t="str">
        <x:v>Bestand behalten</x:v>
      </x:c>
      <x:c r="I9" s="113"/>
      <x:c r="J9" s="113"/>
      <x:c r="K9" s="113"/>
      <x:c r="L9" s="113"/>
      <x:c r="M9" s="113"/>
      <x:c r="N9" s="113"/>
      <x:c r="O9" s="113"/>
      <x:c r="P9" s="113"/>
      <x:c r="Q9" s="113"/>
      <x:c r="R9" s="113"/>
      <x:c r="S9" s="113"/>
      <x:c r="T9" s="113"/>
      <x:c r="U9" s="113"/>
      <x:c r="V9" s="113"/>
      <x:c r="W9" s="113"/>
      <x:c r="X9" s="113"/>
      <x:c r="Y9" s="113"/>
      <x:c r="Z9" s="113"/>
      <x:c r="AA9" s="113"/>
      <x:c r="AB9" s="113"/>
      <x:c r="AC9" s="113"/>
      <x:c r="AD9" s="113"/>
      <x:c r="AE9" s="113"/>
    </x:row>
    <x:row r="10" ht="18" customHeight="1">
      <x:c r="A10" s="241" t="str">
        <x:v>Master-Import-/Änderungszeilen</x:v>
      </x:c>
      <x:c r="B10" s="241" t="n">
        <x:v>121</x:v>
      </x:c>
      <x:c r="C10" s="241"/>
      <x:c r="D10" s="234" t="str">
        <x:v>Technik</x:v>
      </x:c>
      <x:c r="E10" s="234" t="str">
        <x:v>ABGESCHLOSSEN</x:v>
      </x:c>
      <x:c r="F10" s="234" t="str">
        <x:v>52 Importzeilen</x:v>
      </x:c>
      <x:c r="G10" s="234" t="str">
        <x:v>bestehende Geo-Prüfung unverändert erhalten</x:v>
      </x:c>
      <x:c r="H10" s="234" t="str">
        <x:v>fertig</x:v>
      </x:c>
      <x:c r="I10" s="113"/>
      <x:c r="J10" s="113"/>
      <x:c r="K10" s="113"/>
      <x:c r="L10" s="113"/>
      <x:c r="M10" s="113"/>
      <x:c r="N10" s="113"/>
      <x:c r="O10" s="113"/>
      <x:c r="P10" s="113"/>
      <x:c r="Q10" s="113"/>
      <x:c r="R10" s="113"/>
      <x:c r="S10" s="113"/>
      <x:c r="T10" s="113"/>
      <x:c r="U10" s="113"/>
      <x:c r="V10" s="113"/>
      <x:c r="W10" s="113"/>
      <x:c r="X10" s="113"/>
      <x:c r="Y10" s="113"/>
      <x:c r="Z10" s="113"/>
      <x:c r="AA10" s="113"/>
      <x:c r="AB10" s="113"/>
      <x:c r="AC10" s="113"/>
      <x:c r="AD10" s="113"/>
      <x:c r="AE10" s="113"/>
    </x:row>
    <x:row r="11" ht="18" customHeight="1">
      <x:c r="A11" s="241" t="str">
        <x:v>Pflege-/Gutachten-Ansicht</x:v>
      </x:c>
      <x:c r="B11" s="241" t="n">
        <x:v>9</x:v>
      </x:c>
      <x:c r="C11" s="241"/>
      <x:c r="D11" s="234" t="str">
        <x:v>Neurologie Phasen / EUTB</x:v>
      </x:c>
      <x:c r="E11" s="234" t="str">
        <x:v>ABGESCHLOSSEN</x:v>
      </x:c>
      <x:c r="F11" s="234" t="str">
        <x:v>bestehende geprüfte Fachblätter bleiben Referenz</x:v>
      </x:c>
      <x:c r="G11" s="234" t="str">
        <x:v>keine erneute Vollrecherche</x:v>
      </x:c>
      <x:c r="H11" s="234" t="str">
        <x:v>fertig</x:v>
      </x:c>
      <x:c r="I11" s="113"/>
      <x:c r="J11" s="113"/>
      <x:c r="K11" s="113"/>
      <x:c r="L11" s="113"/>
      <x:c r="M11" s="113"/>
      <x:c r="N11" s="113"/>
      <x:c r="O11" s="113"/>
      <x:c r="P11" s="113"/>
      <x:c r="Q11" s="113"/>
      <x:c r="R11" s="113"/>
      <x:c r="S11" s="113"/>
      <x:c r="T11" s="113"/>
      <x:c r="U11" s="113"/>
      <x:c r="V11" s="113"/>
      <x:c r="W11" s="113"/>
      <x:c r="X11" s="113"/>
      <x:c r="Y11" s="113"/>
      <x:c r="Z11" s="113"/>
      <x:c r="AA11" s="113"/>
      <x:c r="AB11" s="113"/>
      <x:c r="AC11" s="113"/>
      <x:c r="AD11" s="113"/>
      <x:c r="AE11" s="113"/>
    </x:row>
    <x:row r="12" ht="18" customHeight="1">
      <x:c r="A12" s="241" t="str">
        <x:v>Arbeitsvermittlung – Prüf-/Zielansicht</x:v>
      </x:c>
      <x:c r="B12" s="241" t="n">
        <x:v>26</x:v>
      </x:c>
      <x:c r="C12" s="241"/>
      <x:c r="D12" s="241"/>
      <x:c r="E12" s="241"/>
      <x:c r="F12" s="241"/>
      <x:c r="G12" s="241"/>
      <x:c r="H12" s="241"/>
      <x:c r="I12" s="113"/>
      <x:c r="J12" s="113"/>
      <x:c r="K12" s="113"/>
      <x:c r="L12" s="113"/>
      <x:c r="M12" s="113"/>
      <x:c r="N12" s="113"/>
      <x:c r="O12" s="113"/>
      <x:c r="P12" s="113"/>
      <x:c r="Q12" s="113"/>
      <x:c r="R12" s="113"/>
      <x:c r="S12" s="113"/>
      <x:c r="T12" s="113"/>
      <x:c r="U12" s="113"/>
      <x:c r="V12" s="113"/>
      <x:c r="W12" s="113"/>
      <x:c r="X12" s="113"/>
      <x:c r="Y12" s="113"/>
      <x:c r="Z12" s="113"/>
      <x:c r="AA12" s="113"/>
      <x:c r="AB12" s="113"/>
      <x:c r="AC12" s="113"/>
      <x:c r="AD12" s="113"/>
      <x:c r="AE12" s="113"/>
    </x:row>
    <x:row r="13" ht="18" customHeight="1">
      <x:c r="A13" s="242" t="str">
        <x:v>Neuro-Psych – selektiver Zielbestand</x:v>
      </x:c>
      <x:c r="B13" s="242" t="n">
        <x:v>16</x:v>
      </x:c>
      <x:c r="C13" s="242"/>
      <x:c r="D13" s="242"/>
      <x:c r="E13" s="242"/>
      <x:c r="F13" s="242"/>
      <x:c r="G13" s="242"/>
      <x:c r="H13" s="242"/>
      <x:c r="I13" s="113"/>
      <x:c r="J13" s="113"/>
      <x:c r="K13" s="113"/>
      <x:c r="L13" s="113"/>
      <x:c r="M13" s="113"/>
      <x:c r="N13" s="113"/>
      <x:c r="O13" s="113"/>
      <x:c r="P13" s="113"/>
      <x:c r="Q13" s="113"/>
      <x:c r="R13" s="113"/>
      <x:c r="S13" s="113"/>
      <x:c r="T13" s="113"/>
      <x:c r="U13" s="113"/>
      <x:c r="V13" s="113"/>
      <x:c r="W13" s="113"/>
      <x:c r="X13" s="113"/>
      <x:c r="Y13" s="113"/>
      <x:c r="Z13" s="113"/>
      <x:c r="AA13" s="113"/>
      <x:c r="AB13" s="113"/>
      <x:c r="AC13" s="113"/>
      <x:c r="AD13" s="113"/>
      <x:c r="AE13" s="113"/>
    </x:row>
    <x:row r="14" ht="18" customHeight="1">
      <x:c r="A14" s="241" t="str">
        <x:v>Fahrrad-/Spezialradansicht</x:v>
      </x:c>
      <x:c r="B14" s="241" t="n">
        <x:v>10</x:v>
      </x:c>
      <x:c r="C14" s="241"/>
      <x:c r="D14" s="241" t="str">
        <x:v>Mobilität / Spezialrad</x:v>
      </x:c>
      <x:c r="E14" s="241" t="str">
        <x:v>ABGESCHLOSSEN</x:v>
      </x:c>
      <x:c r="F14" s="241" t="str">
        <x:v>Einhandbedienung/Armamputation + Spezialrad-/Therapieradkompetenz</x:v>
      </x:c>
      <x:c r="G14" s="241" t="str">
        <x:v>9 Karten-/Fachpunkte + HASE BIKES als Technikverweis ohne Regionalpin</x:v>
      </x:c>
      <x:c r="H14" s="241" t="str">
        <x:v>10 Datensätze</x:v>
      </x:c>
      <x:c r="I14" s="113"/>
      <x:c r="J14" s="113"/>
      <x:c r="K14" s="113"/>
      <x:c r="L14" s="113"/>
      <x:c r="M14" s="113"/>
      <x:c r="N14" s="113"/>
      <x:c r="O14" s="113"/>
      <x:c r="P14" s="113"/>
      <x:c r="Q14" s="113"/>
      <x:c r="R14" s="113"/>
      <x:c r="S14" s="113"/>
      <x:c r="T14" s="113"/>
      <x:c r="U14" s="113"/>
      <x:c r="V14" s="113"/>
      <x:c r="W14" s="113"/>
      <x:c r="X14" s="113"/>
      <x:c r="Y14" s="113"/>
      <x:c r="Z14" s="113"/>
      <x:c r="AA14" s="113"/>
      <x:c r="AB14" s="113"/>
      <x:c r="AC14" s="113"/>
      <x:c r="AD14" s="113"/>
      <x:c r="AE14" s="113"/>
    </x:row>
    <x:row r="15" ht="18" customHeight="1">
      <x:c r="A15" s="241" t="str">
        <x:v>Wohnen/Lifttechnik-Ansicht</x:v>
      </x:c>
      <x:c r="B15" s="241" t="n">
        <x:v>5</x:v>
      </x:c>
      <x:c r="C15" s="241"/>
      <x:c r="D15" s="241" t="str">
        <x:v>Wohnen / Lifttechnik</x:v>
      </x:c>
      <x:c r="E15" s="241" t="str">
        <x:v>ABGESCHLOSSEN</x:v>
      </x:c>
      <x:c r="F15" s="241" t="str">
        <x:v>Regionale Fachbetriebe mit Beratung/Planung, Montage und Service</x:v>
      </x:c>
      <x:c r="G15" s="241" t="str">
        <x:v>Treppen-, Plattform-/Rollstuhl-, Hub-, Senkrecht- und Homelift-Kompetenz</x:v>
      </x:c>
      <x:c r="H15" s="241" t="str">
        <x:v>5 Datensätze</x:v>
      </x:c>
      <x:c r="I15" s="113"/>
      <x:c r="J15" s="113"/>
      <x:c r="K15" s="113"/>
      <x:c r="L15" s="113"/>
      <x:c r="M15" s="113"/>
      <x:c r="N15" s="113"/>
      <x:c r="O15" s="113"/>
      <x:c r="P15" s="113"/>
      <x:c r="Q15" s="113"/>
      <x:c r="R15" s="113"/>
      <x:c r="S15" s="113"/>
      <x:c r="T15" s="113"/>
      <x:c r="U15" s="113"/>
      <x:c r="V15" s="113"/>
      <x:c r="W15" s="113"/>
      <x:c r="X15" s="113"/>
      <x:c r="Y15" s="113"/>
      <x:c r="Z15" s="113"/>
      <x:c r="AA15" s="113"/>
      <x:c r="AB15" s="113"/>
      <x:c r="AC15" s="113"/>
      <x:c r="AD15" s="113"/>
      <x:c r="AE15" s="113"/>
    </x:row>
    <x:row r="16" ht="18" customHeight="1">
      <x:c r="A16" s="259" t="str">
        <x:v>Abschlussentscheidung</x:v>
      </x:c>
      <x:c r="B16" s="259"/>
      <x:c r="C16" s="259"/>
      <x:c r="D16" s="259"/>
      <x:c r="E16" s="259"/>
      <x:c r="F16" s="259"/>
      <x:c r="G16" s="259"/>
      <x:c r="H16" s="259"/>
      <x:c r="I16" s="113"/>
      <x:c r="J16" s="113"/>
      <x:c r="K16" s="113"/>
      <x:c r="L16" s="113"/>
      <x:c r="M16" s="113"/>
      <x:c r="N16" s="113"/>
      <x:c r="O16" s="113"/>
      <x:c r="P16" s="113"/>
      <x:c r="Q16" s="113"/>
      <x:c r="R16" s="113"/>
      <x:c r="S16" s="113"/>
      <x:c r="T16" s="113"/>
      <x:c r="U16" s="113"/>
      <x:c r="V16" s="113"/>
      <x:c r="W16" s="113"/>
      <x:c r="X16" s="113"/>
      <x:c r="Y16" s="113"/>
      <x:c r="Z16" s="113"/>
      <x:c r="AA16" s="113"/>
      <x:c r="AB16" s="113"/>
      <x:c r="AC16" s="113"/>
      <x:c r="AD16" s="113"/>
      <x:c r="AE16" s="113"/>
    </x:row>
    <x:row r="17" ht="18" customHeight="1">
      <x:c r="A17" s="203" t="str">
        <x:v>Der Anbieter-/Leistungsbestand 4.4.x ist nach Einfügung der Schlussrunde vom 31.08.2026 fachlich eingefroren. Offen bleiben nur Merge-/Deployment-QA, Geocoding der neu hinzugekommenen realen Kartenpunkte sowie ausdrücklich markierte Statusprüfungen.</x:v>
      </x:c>
      <x:c r="B17" s="203"/>
      <x:c r="C17" s="203"/>
      <x:c r="D17" s="203"/>
      <x:c r="E17" s="203"/>
      <x:c r="F17" s="203"/>
      <x:c r="G17" s="203"/>
      <x:c r="H17" s="203"/>
      <x:c r="I17" s="113"/>
      <x:c r="J17" s="113"/>
      <x:c r="K17" s="113"/>
      <x:c r="L17" s="113"/>
      <x:c r="M17" s="113"/>
      <x:c r="N17" s="113"/>
      <x:c r="O17" s="113"/>
      <x:c r="P17" s="113"/>
      <x:c r="Q17" s="113"/>
      <x:c r="R17" s="113"/>
      <x:c r="S17" s="113"/>
      <x:c r="T17" s="113"/>
      <x:c r="U17" s="113"/>
      <x:c r="V17" s="113"/>
      <x:c r="W17" s="113"/>
      <x:c r="X17" s="113"/>
      <x:c r="Y17" s="113"/>
      <x:c r="Z17" s="113"/>
      <x:c r="AA17" s="113"/>
      <x:c r="AB17" s="113"/>
      <x:c r="AC17" s="113"/>
      <x:c r="AD17" s="113"/>
      <x:c r="AE17" s="113"/>
    </x:row>
    <x:row r="18" ht="18" customHeight="1">
      <x:c r="A18" s="203"/>
      <x:c r="B18" s="203"/>
      <x:c r="C18" s="203"/>
      <x:c r="D18" s="203"/>
      <x:c r="E18" s="203"/>
      <x:c r="F18" s="203"/>
      <x:c r="G18" s="203"/>
      <x:c r="H18" s="203"/>
      <x:c r="I18" s="113"/>
      <x:c r="J18" s="113"/>
      <x:c r="K18" s="113"/>
      <x:c r="L18" s="113"/>
      <x:c r="M18" s="113"/>
      <x:c r="N18" s="113"/>
      <x:c r="O18" s="113"/>
      <x:c r="P18" s="113"/>
      <x:c r="Q18" s="113"/>
      <x:c r="R18" s="113"/>
      <x:c r="S18" s="113"/>
      <x:c r="T18" s="113"/>
      <x:c r="U18" s="113"/>
      <x:c r="V18" s="113"/>
      <x:c r="W18" s="113"/>
      <x:c r="X18" s="113"/>
      <x:c r="Y18" s="113"/>
      <x:c r="Z18" s="113"/>
      <x:c r="AA18" s="113"/>
      <x:c r="AB18" s="113"/>
      <x:c r="AC18" s="113"/>
      <x:c r="AD18" s="113"/>
      <x:c r="AE18" s="113"/>
    </x:row>
    <x:row r="19" ht="18" customHeight="1">
      <x:c r="A19" s="203"/>
      <x:c r="B19" s="203"/>
      <x:c r="C19" s="203"/>
      <x:c r="D19" s="203"/>
      <x:c r="E19" s="203"/>
      <x:c r="F19" s="203"/>
      <x:c r="G19" s="203"/>
      <x:c r="H19" s="203"/>
      <x:c r="I19" s="113"/>
      <x:c r="J19" s="113"/>
      <x:c r="K19" s="113"/>
      <x:c r="L19" s="113"/>
      <x:c r="M19" s="113"/>
      <x:c r="N19" s="113"/>
      <x:c r="O19" s="113"/>
      <x:c r="P19" s="113"/>
      <x:c r="Q19" s="113"/>
      <x:c r="R19" s="113"/>
      <x:c r="S19" s="113"/>
      <x:c r="T19" s="113"/>
      <x:c r="U19" s="113"/>
      <x:c r="V19" s="113"/>
      <x:c r="W19" s="113"/>
      <x:c r="X19" s="113"/>
      <x:c r="Y19" s="113"/>
      <x:c r="Z19" s="113"/>
      <x:c r="AA19" s="113"/>
      <x:c r="AB19" s="113"/>
      <x:c r="AC19" s="113"/>
      <x:c r="AD19" s="113"/>
      <x:c r="AE19" s="113"/>
    </x:row>
    <x:row r="20" ht="18" customHeight="1">
      <x:c r="A20" s="241"/>
      <x:c r="B20" s="241"/>
      <x:c r="C20" s="241"/>
      <x:c r="D20" s="241"/>
      <x:c r="E20" s="241"/>
      <x:c r="F20" s="241"/>
      <x:c r="G20" s="241"/>
      <x:c r="H20" s="241"/>
      <x:c r="I20" s="113"/>
      <x:c r="J20" s="113"/>
      <x:c r="K20" s="113"/>
      <x:c r="L20" s="113"/>
      <x:c r="M20" s="113"/>
      <x:c r="N20" s="113"/>
      <x:c r="O20" s="113"/>
      <x:c r="P20" s="113"/>
      <x:c r="Q20" s="113"/>
      <x:c r="R20" s="113"/>
      <x:c r="S20" s="113"/>
      <x:c r="T20" s="113"/>
      <x:c r="U20" s="113"/>
      <x:c r="V20" s="113"/>
      <x:c r="W20" s="113"/>
      <x:c r="X20" s="113"/>
      <x:c r="Y20" s="113"/>
      <x:c r="Z20" s="113"/>
      <x:c r="AA20" s="113"/>
      <x:c r="AB20" s="113"/>
      <x:c r="AC20" s="113"/>
      <x:c r="AD20" s="113"/>
      <x:c r="AE20" s="113"/>
    </x:row>
    <x:row r="21" ht="18" customHeight="1">
      <x:c r="A21" s="241"/>
      <x:c r="B21" s="241"/>
      <x:c r="C21" s="241"/>
      <x:c r="D21" s="241"/>
      <x:c r="E21" s="241"/>
      <x:c r="F21" s="241"/>
      <x:c r="G21" s="241"/>
      <x:c r="H21" s="241"/>
      <x:c r="I21" s="113"/>
      <x:c r="J21" s="113"/>
      <x:c r="K21" s="113"/>
      <x:c r="L21" s="113"/>
      <x:c r="M21" s="113"/>
      <x:c r="N21" s="113"/>
      <x:c r="O21" s="113"/>
      <x:c r="P21" s="113"/>
      <x:c r="Q21" s="113"/>
      <x:c r="R21" s="113"/>
      <x:c r="S21" s="113"/>
      <x:c r="T21" s="113"/>
      <x:c r="U21" s="113"/>
      <x:c r="V21" s="113"/>
      <x:c r="W21" s="113"/>
      <x:c r="X21" s="113"/>
      <x:c r="Y21" s="113"/>
      <x:c r="Z21" s="113"/>
      <x:c r="AA21" s="113"/>
      <x:c r="AB21" s="113"/>
      <x:c r="AC21" s="113"/>
      <x:c r="AD21" s="113"/>
      <x:c r="AE21" s="113"/>
    </x:row>
    <x:row r="22" ht="18" customHeight="1">
      <x:c r="A22" s="241"/>
      <x:c r="B22" s="241"/>
      <x:c r="C22" s="241"/>
      <x:c r="D22" s="241"/>
      <x:c r="E22" s="241"/>
      <x:c r="F22" s="241"/>
      <x:c r="G22" s="241"/>
      <x:c r="H22" s="241"/>
      <x:c r="I22" s="113"/>
      <x:c r="J22" s="113"/>
      <x:c r="K22" s="113"/>
      <x:c r="L22" s="113"/>
      <x:c r="M22" s="113"/>
      <x:c r="N22" s="113"/>
      <x:c r="O22" s="113"/>
      <x:c r="P22" s="113"/>
      <x:c r="Q22" s="113"/>
      <x:c r="R22" s="113"/>
      <x:c r="S22" s="113"/>
      <x:c r="T22" s="113"/>
      <x:c r="U22" s="113"/>
      <x:c r="V22" s="113"/>
      <x:c r="W22" s="113"/>
      <x:c r="X22" s="113"/>
      <x:c r="Y22" s="113"/>
      <x:c r="Z22" s="113"/>
      <x:c r="AA22" s="113"/>
      <x:c r="AB22" s="113"/>
      <x:c r="AC22" s="113"/>
      <x:c r="AD22" s="113"/>
      <x:c r="AE22" s="113"/>
    </x:row>
    <x:row r="23" ht="18" customHeight="1">
      <x:c r="A23" s="241"/>
      <x:c r="B23" s="241"/>
      <x:c r="C23" s="241"/>
      <x:c r="D23" s="241"/>
      <x:c r="E23" s="241"/>
      <x:c r="F23" s="241"/>
      <x:c r="G23" s="241"/>
      <x:c r="H23" s="241"/>
      <x:c r="I23" s="113"/>
      <x:c r="J23" s="113"/>
      <x:c r="K23" s="113"/>
      <x:c r="L23" s="113"/>
      <x:c r="M23" s="113"/>
      <x:c r="N23" s="113"/>
      <x:c r="O23" s="113"/>
      <x:c r="P23" s="113"/>
      <x:c r="Q23" s="113"/>
      <x:c r="R23" s="113"/>
      <x:c r="S23" s="113"/>
      <x:c r="T23" s="113"/>
      <x:c r="U23" s="113"/>
      <x:c r="V23" s="113"/>
      <x:c r="W23" s="113"/>
      <x:c r="X23" s="113"/>
      <x:c r="Y23" s="113"/>
      <x:c r="Z23" s="113"/>
      <x:c r="AA23" s="113"/>
      <x:c r="AB23" s="113"/>
      <x:c r="AC23" s="113"/>
      <x:c r="AD23" s="113"/>
      <x:c r="AE23" s="113"/>
    </x:row>
    <x:row r="24" ht="18" customHeight="1">
      <x:c r="A24" s="241"/>
      <x:c r="B24" s="241"/>
      <x:c r="C24" s="241"/>
      <x:c r="D24" s="241"/>
      <x:c r="E24" s="241"/>
      <x:c r="F24" s="241"/>
      <x:c r="G24" s="241"/>
      <x:c r="H24" s="241"/>
      <x:c r="I24" s="113"/>
      <x:c r="J24" s="113"/>
      <x:c r="K24" s="113"/>
      <x:c r="L24" s="113"/>
      <x:c r="M24" s="113"/>
      <x:c r="N24" s="113"/>
      <x:c r="O24" s="113"/>
      <x:c r="P24" s="113"/>
      <x:c r="Q24" s="113"/>
      <x:c r="R24" s="113"/>
      <x:c r="S24" s="113"/>
      <x:c r="T24" s="113"/>
      <x:c r="U24" s="113"/>
      <x:c r="V24" s="113"/>
      <x:c r="W24" s="113"/>
      <x:c r="X24" s="113"/>
      <x:c r="Y24" s="113"/>
      <x:c r="Z24" s="113"/>
      <x:c r="AA24" s="113"/>
      <x:c r="AB24" s="113"/>
      <x:c r="AC24" s="113"/>
      <x:c r="AD24" s="113"/>
      <x:c r="AE24" s="113"/>
    </x:row>
    <x:row r="25" ht="18" customHeight="1">
      <x:c r="A25" s="241"/>
      <x:c r="B25" s="241"/>
      <x:c r="C25" s="241"/>
      <x:c r="D25" s="241"/>
      <x:c r="E25" s="241"/>
      <x:c r="F25" s="241"/>
      <x:c r="G25" s="241"/>
      <x:c r="H25" s="241"/>
      <x:c r="I25" s="113"/>
      <x:c r="J25" s="113"/>
      <x:c r="K25" s="113"/>
      <x:c r="L25" s="113"/>
      <x:c r="M25" s="113"/>
      <x:c r="N25" s="113"/>
      <x:c r="O25" s="113"/>
      <x:c r="P25" s="113"/>
      <x:c r="Q25" s="113"/>
      <x:c r="R25" s="113"/>
      <x:c r="S25" s="113"/>
      <x:c r="T25" s="113"/>
      <x:c r="U25" s="113"/>
      <x:c r="V25" s="113"/>
      <x:c r="W25" s="113"/>
      <x:c r="X25" s="113"/>
      <x:c r="Y25" s="113"/>
      <x:c r="Z25" s="113"/>
      <x:c r="AA25" s="113"/>
      <x:c r="AB25" s="113"/>
      <x:c r="AC25" s="113"/>
      <x:c r="AD25" s="113"/>
      <x:c r="AE25" s="113"/>
    </x:row>
    <x:row r="26" ht="18" customHeight="1">
      <x:c r="A26" s="241"/>
      <x:c r="B26" s="241"/>
      <x:c r="C26" s="241"/>
      <x:c r="D26" s="241"/>
      <x:c r="E26" s="241"/>
      <x:c r="F26" s="241"/>
      <x:c r="G26" s="241"/>
      <x:c r="H26" s="241"/>
      <x:c r="I26" s="113"/>
      <x:c r="J26" s="113"/>
      <x:c r="K26" s="113"/>
      <x:c r="L26" s="113"/>
      <x:c r="M26" s="113"/>
      <x:c r="N26" s="113"/>
      <x:c r="O26" s="113"/>
      <x:c r="P26" s="113"/>
      <x:c r="Q26" s="113"/>
      <x:c r="R26" s="113"/>
      <x:c r="S26" s="113"/>
      <x:c r="T26" s="113"/>
      <x:c r="U26" s="113"/>
      <x:c r="V26" s="113"/>
      <x:c r="W26" s="113"/>
      <x:c r="X26" s="113"/>
      <x:c r="Y26" s="113"/>
      <x:c r="Z26" s="113"/>
      <x:c r="AA26" s="113"/>
      <x:c r="AB26" s="113"/>
      <x:c r="AC26" s="113"/>
      <x:c r="AD26" s="113"/>
      <x:c r="AE26" s="113"/>
    </x:row>
    <x:row r="27" ht="18" customHeight="1">
      <x:c r="A27" s="241"/>
      <x:c r="B27" s="241"/>
      <x:c r="C27" s="241"/>
      <x:c r="D27" s="241"/>
      <x:c r="E27" s="241"/>
      <x:c r="F27" s="241"/>
      <x:c r="G27" s="241"/>
      <x:c r="H27" s="241"/>
      <x:c r="I27" s="113"/>
      <x:c r="J27" s="113"/>
      <x:c r="K27" s="113"/>
      <x:c r="L27" s="113"/>
      <x:c r="M27" s="113"/>
      <x:c r="N27" s="113"/>
      <x:c r="O27" s="113"/>
      <x:c r="P27" s="113"/>
      <x:c r="Q27" s="113"/>
      <x:c r="R27" s="113"/>
      <x:c r="S27" s="113"/>
      <x:c r="T27" s="113"/>
      <x:c r="U27" s="113"/>
      <x:c r="V27" s="113"/>
      <x:c r="W27" s="113"/>
      <x:c r="X27" s="113"/>
      <x:c r="Y27" s="113"/>
      <x:c r="Z27" s="113"/>
      <x:c r="AA27" s="113"/>
      <x:c r="AB27" s="113"/>
      <x:c r="AC27" s="113"/>
      <x:c r="AD27" s="113"/>
      <x:c r="AE27" s="113"/>
    </x:row>
    <x:row r="28" ht="18" customHeight="1">
      <x:c r="A28" s="241"/>
      <x:c r="B28" s="241"/>
      <x:c r="C28" s="241"/>
      <x:c r="D28" s="241"/>
      <x:c r="E28" s="241"/>
      <x:c r="F28" s="241"/>
      <x:c r="G28" s="241"/>
      <x:c r="H28" s="241"/>
      <x:c r="I28" s="113"/>
      <x:c r="J28" s="113"/>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row>
    <x:row r="29" ht="18" customHeight="1">
      <x:c r="A29" s="241"/>
      <x:c r="B29" s="241"/>
      <x:c r="C29" s="241"/>
      <x:c r="D29" s="241"/>
      <x:c r="E29" s="241"/>
      <x:c r="F29" s="241"/>
      <x:c r="G29" s="241"/>
      <x:c r="H29" s="241"/>
      <x:c r="I29" s="113"/>
      <x:c r="J29" s="113"/>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row>
    <x:row r="30" ht="18" customHeight="1">
      <x:c r="A30" s="241"/>
      <x:c r="B30" s="241"/>
      <x:c r="C30" s="241"/>
      <x:c r="D30" s="241"/>
      <x:c r="E30" s="241"/>
      <x:c r="F30" s="241"/>
      <x:c r="G30" s="241"/>
      <x:c r="H30" s="241"/>
      <x:c r="I30" s="113"/>
      <x:c r="J30" s="113"/>
      <x:c r="K30" s="113"/>
      <x:c r="L30" s="113"/>
      <x:c r="M30" s="113"/>
      <x:c r="N30" s="113"/>
      <x:c r="O30" s="113"/>
      <x:c r="P30" s="113"/>
      <x:c r="Q30" s="113"/>
      <x:c r="R30" s="113"/>
      <x:c r="S30" s="113"/>
      <x:c r="T30" s="113"/>
      <x:c r="U30" s="113"/>
      <x:c r="V30" s="113"/>
      <x:c r="W30" s="113"/>
      <x:c r="X30" s="113"/>
      <x:c r="Y30" s="113"/>
      <x:c r="Z30" s="113"/>
      <x:c r="AA30" s="113"/>
      <x:c r="AB30" s="113"/>
      <x:c r="AC30" s="113"/>
      <x:c r="AD30" s="113"/>
      <x:c r="AE30" s="113"/>
    </x:row>
    <x:row r="31">
      <x:c r="A31" s="113"/>
      <x:c r="B31" s="113"/>
      <x:c r="C31" s="113"/>
      <x:c r="D31" s="113"/>
      <x:c r="E31" s="113"/>
      <x:c r="F31" s="113"/>
      <x:c r="G31" s="113"/>
      <x:c r="H31" s="113"/>
      <x:c r="I31" s="113"/>
      <x:c r="J31" s="113"/>
      <x:c r="K31" s="113"/>
      <x:c r="L31" s="113"/>
      <x:c r="M31" s="113"/>
      <x:c r="N31" s="113"/>
      <x:c r="O31" s="113"/>
      <x:c r="P31" s="113"/>
      <x:c r="Q31" s="113"/>
      <x:c r="R31" s="113"/>
      <x:c r="S31" s="113"/>
      <x:c r="T31" s="113"/>
      <x:c r="U31" s="113"/>
      <x:c r="V31" s="113"/>
      <x:c r="W31" s="113"/>
      <x:c r="X31" s="113"/>
      <x:c r="Y31" s="113"/>
      <x:c r="Z31" s="113"/>
      <x:c r="AA31" s="113"/>
      <x:c r="AB31" s="113"/>
      <x:c r="AC31" s="113"/>
      <x:c r="AD31" s="113"/>
      <x:c r="AE31" s="113"/>
    </x:row>
    <x:row r="32">
      <x:c r="A32" s="113"/>
      <x:c r="B32" s="113"/>
      <x:c r="C32" s="113"/>
      <x:c r="D32" s="113"/>
      <x:c r="E32" s="113"/>
      <x:c r="F32" s="113"/>
      <x:c r="G32" s="113"/>
      <x:c r="H32" s="113"/>
      <x:c r="I32" s="113"/>
      <x:c r="J32" s="113"/>
      <x:c r="K32" s="113"/>
      <x:c r="L32" s="113"/>
      <x:c r="M32" s="113"/>
      <x:c r="N32" s="113"/>
      <x:c r="O32" s="113"/>
      <x:c r="P32" s="113"/>
      <x:c r="Q32" s="113"/>
      <x:c r="R32" s="113"/>
      <x:c r="S32" s="113"/>
      <x:c r="T32" s="113"/>
      <x:c r="U32" s="113"/>
      <x:c r="V32" s="113"/>
      <x:c r="W32" s="113"/>
      <x:c r="X32" s="113"/>
      <x:c r="Y32" s="113"/>
      <x:c r="Z32" s="113"/>
      <x:c r="AA32" s="113"/>
      <x:c r="AB32" s="113"/>
      <x:c r="AC32" s="113"/>
      <x:c r="AD32" s="113"/>
      <x:c r="AE32" s="113"/>
    </x:row>
    <x:row r="33">
      <x:c r="A33" s="113"/>
      <x:c r="B33" s="113"/>
      <x:c r="C33" s="113"/>
      <x:c r="D33" s="113"/>
      <x:c r="E33" s="113"/>
      <x:c r="F33" s="113"/>
      <x:c r="G33" s="113"/>
      <x:c r="H33" s="113"/>
      <x:c r="I33" s="113"/>
      <x:c r="J33" s="113"/>
      <x:c r="K33" s="113"/>
      <x:c r="L33" s="113"/>
      <x:c r="M33" s="113"/>
      <x:c r="N33" s="113"/>
      <x:c r="O33" s="113"/>
      <x:c r="P33" s="113"/>
      <x:c r="Q33" s="113"/>
      <x:c r="R33" s="113"/>
      <x:c r="S33" s="113"/>
      <x:c r="T33" s="113"/>
      <x:c r="U33" s="113"/>
      <x:c r="V33" s="113"/>
      <x:c r="W33" s="113"/>
      <x:c r="X33" s="113"/>
      <x:c r="Y33" s="113"/>
      <x:c r="Z33" s="113"/>
      <x:c r="AA33" s="113"/>
      <x:c r="AB33" s="113"/>
      <x:c r="AC33" s="113"/>
      <x:c r="AD33" s="113"/>
      <x:c r="AE33" s="113"/>
    </x:row>
    <x:row r="34">
      <x:c r="A34" s="113"/>
      <x:c r="B34" s="113"/>
      <x:c r="C34" s="113"/>
      <x:c r="D34" s="113"/>
      <x:c r="E34" s="113"/>
      <x:c r="F34" s="113"/>
      <x:c r="G34" s="113"/>
      <x:c r="H34" s="113"/>
      <x:c r="I34" s="113"/>
      <x:c r="J34" s="113"/>
      <x:c r="K34" s="113"/>
      <x:c r="L34" s="113"/>
      <x:c r="M34" s="113"/>
      <x:c r="N34" s="113"/>
      <x:c r="O34" s="113"/>
      <x:c r="P34" s="113"/>
      <x:c r="Q34" s="113"/>
      <x:c r="R34" s="113"/>
      <x:c r="S34" s="113"/>
      <x:c r="T34" s="113"/>
      <x:c r="U34" s="113"/>
      <x:c r="V34" s="113"/>
      <x:c r="W34" s="113"/>
      <x:c r="X34" s="113"/>
      <x:c r="Y34" s="113"/>
      <x:c r="Z34" s="113"/>
      <x:c r="AA34" s="113"/>
      <x:c r="AB34" s="113"/>
      <x:c r="AC34" s="113"/>
      <x:c r="AD34" s="113"/>
      <x:c r="AE34" s="113"/>
    </x:row>
    <x:row r="35">
      <x:c r="A35" s="113"/>
      <x:c r="B35" s="113"/>
      <x:c r="C35" s="113"/>
      <x:c r="D35" s="113"/>
      <x:c r="E35" s="113"/>
      <x:c r="F35" s="113"/>
      <x:c r="G35" s="113"/>
      <x:c r="H35" s="113"/>
      <x:c r="I35" s="113"/>
      <x:c r="J35" s="113"/>
      <x:c r="K35" s="113"/>
      <x:c r="L35" s="113"/>
      <x:c r="M35" s="113"/>
      <x:c r="N35" s="113"/>
      <x:c r="O35" s="113"/>
      <x:c r="P35" s="113"/>
      <x:c r="Q35" s="113"/>
      <x:c r="R35" s="113"/>
      <x:c r="S35" s="113"/>
      <x:c r="T35" s="113"/>
      <x:c r="U35" s="113"/>
      <x:c r="V35" s="113"/>
      <x:c r="W35" s="113"/>
      <x:c r="X35" s="113"/>
      <x:c r="Y35" s="113"/>
      <x:c r="Z35" s="113"/>
      <x:c r="AA35" s="113"/>
      <x:c r="AB35" s="113"/>
      <x:c r="AC35" s="113"/>
      <x:c r="AD35" s="113"/>
      <x:c r="AE35" s="113"/>
    </x:row>
    <x:row r="36">
      <x:c r="A36" s="113"/>
      <x:c r="B36" s="113"/>
      <x:c r="C36" s="113"/>
      <x:c r="D36" s="113"/>
      <x:c r="E36" s="113"/>
      <x:c r="F36" s="113"/>
      <x:c r="G36" s="113"/>
      <x:c r="H36" s="113"/>
      <x:c r="I36" s="113"/>
      <x:c r="J36" s="113"/>
      <x:c r="K36" s="113"/>
      <x:c r="L36" s="113"/>
      <x:c r="M36" s="113"/>
      <x:c r="N36" s="113"/>
      <x:c r="O36" s="113"/>
      <x:c r="P36" s="113"/>
      <x:c r="Q36" s="113"/>
      <x:c r="R36" s="113"/>
      <x:c r="S36" s="113"/>
      <x:c r="T36" s="113"/>
      <x:c r="U36" s="113"/>
      <x:c r="V36" s="113"/>
      <x:c r="W36" s="113"/>
      <x:c r="X36" s="113"/>
      <x:c r="Y36" s="113"/>
      <x:c r="Z36" s="113"/>
      <x:c r="AA36" s="113"/>
      <x:c r="AB36" s="113"/>
      <x:c r="AC36" s="113"/>
      <x:c r="AD36" s="113"/>
      <x:c r="AE36" s="113"/>
    </x:row>
    <x:row r="37">
      <x:c r="A37" s="113"/>
      <x:c r="B37" s="113"/>
      <x:c r="C37" s="113"/>
      <x:c r="D37" s="113"/>
      <x:c r="E37" s="113"/>
      <x:c r="F37" s="113"/>
      <x:c r="G37" s="113"/>
      <x:c r="H37" s="113"/>
      <x:c r="I37" s="113"/>
      <x:c r="J37" s="113"/>
      <x:c r="K37" s="113"/>
      <x:c r="L37" s="113"/>
      <x:c r="M37" s="113"/>
      <x:c r="N37" s="113"/>
      <x:c r="O37" s="113"/>
      <x:c r="P37" s="113"/>
      <x:c r="Q37" s="113"/>
      <x:c r="R37" s="113"/>
      <x:c r="S37" s="113"/>
      <x:c r="T37" s="113"/>
      <x:c r="U37" s="113"/>
      <x:c r="V37" s="113"/>
      <x:c r="W37" s="113"/>
      <x:c r="X37" s="113"/>
      <x:c r="Y37" s="113"/>
      <x:c r="Z37" s="113"/>
      <x:c r="AA37" s="113"/>
      <x:c r="AB37" s="113"/>
      <x:c r="AC37" s="113"/>
      <x:c r="AD37" s="113"/>
      <x:c r="AE37" s="113"/>
    </x:row>
    <x:row r="38">
      <x:c r="A38" s="113"/>
      <x:c r="B38" s="113"/>
      <x:c r="C38" s="113"/>
      <x:c r="D38" s="113"/>
      <x:c r="E38" s="113"/>
      <x:c r="F38" s="113"/>
      <x:c r="G38" s="113"/>
      <x:c r="H38" s="113"/>
      <x:c r="I38" s="113"/>
      <x:c r="J38" s="113"/>
      <x:c r="K38" s="113"/>
      <x:c r="L38" s="113"/>
      <x:c r="M38" s="113"/>
      <x:c r="N38" s="113"/>
      <x:c r="O38" s="113"/>
      <x:c r="P38" s="113"/>
      <x:c r="Q38" s="113"/>
      <x:c r="R38" s="113"/>
      <x:c r="S38" s="113"/>
      <x:c r="T38" s="113"/>
      <x:c r="U38" s="113"/>
      <x:c r="V38" s="113"/>
      <x:c r="W38" s="113"/>
      <x:c r="X38" s="113"/>
      <x:c r="Y38" s="113"/>
      <x:c r="Z38" s="113"/>
      <x:c r="AA38" s="113"/>
      <x:c r="AB38" s="113"/>
      <x:c r="AC38" s="113"/>
      <x:c r="AD38" s="113"/>
      <x:c r="AE38" s="113"/>
    </x:row>
    <x:row r="39">
      <x:c r="A39" s="113"/>
      <x:c r="B39" s="113"/>
      <x:c r="C39" s="113"/>
      <x:c r="D39" s="113"/>
      <x:c r="E39" s="113"/>
      <x:c r="F39" s="113"/>
      <x:c r="G39" s="113"/>
      <x:c r="H39" s="113"/>
      <x:c r="I39" s="113"/>
      <x:c r="J39" s="113"/>
      <x:c r="K39" s="113"/>
      <x:c r="L39" s="113"/>
      <x:c r="M39" s="113"/>
      <x:c r="N39" s="113"/>
      <x:c r="O39" s="113"/>
      <x:c r="P39" s="113"/>
      <x:c r="Q39" s="113"/>
      <x:c r="R39" s="113"/>
      <x:c r="S39" s="113"/>
      <x:c r="T39" s="113"/>
      <x:c r="U39" s="113"/>
      <x:c r="V39" s="113"/>
      <x:c r="W39" s="113"/>
      <x:c r="X39" s="113"/>
      <x:c r="Y39" s="113"/>
      <x:c r="Z39" s="113"/>
      <x:c r="AA39" s="113"/>
      <x:c r="AB39" s="113"/>
      <x:c r="AC39" s="113"/>
      <x:c r="AD39" s="113"/>
      <x:c r="AE39" s="113"/>
    </x:row>
    <x:row r="40">
      <x:c r="A40" s="113"/>
      <x:c r="B40" s="113"/>
      <x:c r="C40" s="113"/>
      <x:c r="D40" s="113"/>
      <x:c r="E40" s="113"/>
      <x:c r="F40" s="113"/>
      <x:c r="G40" s="113"/>
      <x:c r="H40" s="113"/>
      <x:c r="I40" s="113"/>
      <x:c r="J40" s="113"/>
      <x:c r="K40" s="113"/>
      <x:c r="L40" s="113"/>
      <x:c r="M40" s="113"/>
      <x:c r="N40" s="113"/>
      <x:c r="O40" s="113"/>
      <x:c r="P40" s="113"/>
      <x:c r="Q40" s="113"/>
      <x:c r="R40" s="113"/>
      <x:c r="S40" s="113"/>
      <x:c r="T40" s="113"/>
      <x:c r="U40" s="113"/>
      <x:c r="V40" s="113"/>
      <x:c r="W40" s="113"/>
      <x:c r="X40" s="113"/>
      <x:c r="Y40" s="113"/>
      <x:c r="Z40" s="113"/>
      <x:c r="AA40" s="113"/>
      <x:c r="AB40" s="113"/>
      <x:c r="AC40" s="113"/>
      <x:c r="AD40" s="113"/>
      <x:c r="AE40" s="113"/>
    </x:row>
    <x:row r="41">
      <x:c r="A41" s="113"/>
      <x:c r="B41" s="113"/>
      <x:c r="C41" s="113"/>
      <x:c r="D41" s="113"/>
      <x:c r="E41" s="113"/>
      <x:c r="F41" s="113"/>
      <x:c r="G41" s="113"/>
      <x:c r="H41" s="113"/>
      <x:c r="I41" s="113"/>
      <x:c r="J41" s="113"/>
      <x:c r="K41" s="113"/>
      <x:c r="L41" s="113"/>
      <x:c r="M41" s="113"/>
      <x:c r="N41" s="113"/>
      <x:c r="O41" s="113"/>
      <x:c r="P41" s="113"/>
      <x:c r="Q41" s="113"/>
      <x:c r="R41" s="113"/>
      <x:c r="S41" s="113"/>
      <x:c r="T41" s="113"/>
      <x:c r="U41" s="113"/>
      <x:c r="V41" s="113"/>
      <x:c r="W41" s="113"/>
      <x:c r="X41" s="113"/>
      <x:c r="Y41" s="113"/>
      <x:c r="Z41" s="113"/>
      <x:c r="AA41" s="113"/>
      <x:c r="AB41" s="113"/>
      <x:c r="AC41" s="113"/>
      <x:c r="AD41" s="113"/>
      <x:c r="AE41" s="113"/>
    </x:row>
    <x:row r="42">
      <x:c r="A42" s="113"/>
      <x:c r="B42" s="113"/>
      <x:c r="C42" s="113"/>
      <x:c r="D42" s="113"/>
      <x:c r="E42" s="113"/>
      <x:c r="F42" s="113"/>
      <x:c r="G42" s="113"/>
      <x:c r="H42" s="113"/>
      <x:c r="I42" s="113"/>
      <x:c r="J42" s="113"/>
      <x:c r="K42" s="113"/>
      <x:c r="L42" s="113"/>
      <x:c r="M42" s="113"/>
      <x:c r="N42" s="113"/>
      <x:c r="O42" s="113"/>
      <x:c r="P42" s="113"/>
      <x:c r="Q42" s="113"/>
      <x:c r="R42" s="113"/>
      <x:c r="S42" s="113"/>
      <x:c r="T42" s="113"/>
      <x:c r="U42" s="113"/>
      <x:c r="V42" s="113"/>
      <x:c r="W42" s="113"/>
      <x:c r="X42" s="113"/>
      <x:c r="Y42" s="113"/>
      <x:c r="Z42" s="113"/>
      <x:c r="AA42" s="113"/>
      <x:c r="AB42" s="113"/>
      <x:c r="AC42" s="113"/>
      <x:c r="AD42" s="113"/>
      <x:c r="AE42" s="113"/>
    </x:row>
    <x:row r="43">
      <x:c r="A43" s="113"/>
      <x:c r="B43" s="113"/>
      <x:c r="C43" s="113"/>
      <x:c r="D43" s="113"/>
      <x:c r="E43" s="113"/>
      <x:c r="F43" s="113"/>
      <x:c r="G43" s="113"/>
      <x:c r="H43" s="113"/>
      <x:c r="I43" s="113"/>
      <x:c r="J43" s="113"/>
      <x:c r="K43" s="113"/>
      <x:c r="L43" s="113"/>
      <x:c r="M43" s="113"/>
      <x:c r="N43" s="113"/>
      <x:c r="O43" s="113"/>
      <x:c r="P43" s="113"/>
      <x:c r="Q43" s="113"/>
      <x:c r="R43" s="113"/>
      <x:c r="S43" s="113"/>
      <x:c r="T43" s="113"/>
      <x:c r="U43" s="113"/>
      <x:c r="V43" s="113"/>
      <x:c r="W43" s="113"/>
      <x:c r="X43" s="113"/>
      <x:c r="Y43" s="113"/>
      <x:c r="Z43" s="113"/>
      <x:c r="AA43" s="113"/>
      <x:c r="AB43" s="113"/>
      <x:c r="AC43" s="113"/>
      <x:c r="AD43" s="113"/>
      <x:c r="AE43" s="113"/>
    </x:row>
    <x:row r="44">
      <x:c r="A44" s="113"/>
      <x:c r="B44" s="113"/>
      <x:c r="C44" s="113"/>
      <x:c r="D44" s="113"/>
      <x:c r="E44" s="113"/>
      <x:c r="F44" s="113"/>
      <x:c r="G44" s="113"/>
      <x:c r="H44" s="113"/>
      <x:c r="I44" s="113"/>
      <x:c r="J44" s="113"/>
      <x:c r="K44" s="113"/>
      <x:c r="L44" s="113"/>
      <x:c r="M44" s="113"/>
      <x:c r="N44" s="113"/>
      <x:c r="O44" s="113"/>
      <x:c r="P44" s="113"/>
      <x:c r="Q44" s="113"/>
      <x:c r="R44" s="113"/>
      <x:c r="S44" s="113"/>
      <x:c r="T44" s="113"/>
      <x:c r="U44" s="113"/>
      <x:c r="V44" s="113"/>
      <x:c r="W44" s="113"/>
      <x:c r="X44" s="113"/>
      <x:c r="Y44" s="113"/>
      <x:c r="Z44" s="113"/>
      <x:c r="AA44" s="113"/>
      <x:c r="AB44" s="113"/>
      <x:c r="AC44" s="113"/>
      <x:c r="AD44" s="113"/>
      <x:c r="AE44" s="113"/>
    </x:row>
    <x:row r="45">
      <x:c r="A45" s="113"/>
      <x:c r="B45" s="113"/>
      <x:c r="C45" s="113"/>
      <x:c r="D45" s="113"/>
      <x:c r="E45" s="113"/>
      <x:c r="F45" s="113"/>
      <x:c r="G45" s="113"/>
      <x:c r="H45" s="113"/>
      <x:c r="I45" s="113"/>
      <x:c r="J45" s="113"/>
      <x:c r="K45" s="113"/>
      <x:c r="L45" s="113"/>
      <x:c r="M45" s="113"/>
      <x:c r="N45" s="113"/>
      <x:c r="O45" s="113"/>
      <x:c r="P45" s="113"/>
      <x:c r="Q45" s="113"/>
      <x:c r="R45" s="113"/>
      <x:c r="S45" s="113"/>
      <x:c r="T45" s="113"/>
      <x:c r="U45" s="113"/>
      <x:c r="V45" s="113"/>
      <x:c r="W45" s="113"/>
      <x:c r="X45" s="113"/>
      <x:c r="Y45" s="113"/>
      <x:c r="Z45" s="113"/>
      <x:c r="AA45" s="113"/>
      <x:c r="AB45" s="113"/>
      <x:c r="AC45" s="113"/>
      <x:c r="AD45" s="113"/>
      <x:c r="AE45" s="113"/>
    </x:row>
    <x:row r="46">
      <x:c r="A46" s="113"/>
      <x:c r="B46" s="113"/>
      <x:c r="C46" s="113"/>
      <x:c r="D46" s="113"/>
      <x:c r="E46" s="113"/>
      <x:c r="F46" s="113"/>
      <x:c r="G46" s="113"/>
      <x:c r="H46" s="113"/>
      <x:c r="I46" s="113"/>
      <x:c r="J46" s="113"/>
      <x:c r="K46" s="113"/>
      <x:c r="L46" s="113"/>
      <x:c r="M46" s="113"/>
      <x:c r="N46" s="113"/>
      <x:c r="O46" s="113"/>
      <x:c r="P46" s="113"/>
      <x:c r="Q46" s="113"/>
      <x:c r="R46" s="113"/>
      <x:c r="S46" s="113"/>
      <x:c r="T46" s="113"/>
      <x:c r="U46" s="113"/>
      <x:c r="V46" s="113"/>
      <x:c r="W46" s="113"/>
      <x:c r="X46" s="113"/>
      <x:c r="Y46" s="113"/>
      <x:c r="Z46" s="113"/>
      <x:c r="AA46" s="113"/>
      <x:c r="AB46" s="113"/>
      <x:c r="AC46" s="113"/>
      <x:c r="AD46" s="113"/>
      <x:c r="AE46" s="113"/>
    </x:row>
    <x:row r="47">
      <x:c r="A47" s="113"/>
      <x:c r="B47" s="113"/>
      <x:c r="C47" s="113"/>
      <x:c r="D47" s="113"/>
      <x:c r="E47" s="113"/>
      <x:c r="F47" s="113"/>
      <x:c r="G47" s="113"/>
      <x:c r="H47" s="113"/>
      <x:c r="I47" s="113"/>
      <x:c r="J47" s="113"/>
      <x:c r="K47" s="113"/>
      <x:c r="L47" s="113"/>
      <x:c r="M47" s="113"/>
      <x:c r="N47" s="113"/>
      <x:c r="O47" s="113"/>
      <x:c r="P47" s="113"/>
      <x:c r="Q47" s="113"/>
      <x:c r="R47" s="113"/>
      <x:c r="S47" s="113"/>
      <x:c r="T47" s="113"/>
      <x:c r="U47" s="113"/>
      <x:c r="V47" s="113"/>
      <x:c r="W47" s="113"/>
      <x:c r="X47" s="113"/>
      <x:c r="Y47" s="113"/>
      <x:c r="Z47" s="113"/>
      <x:c r="AA47" s="113"/>
      <x:c r="AB47" s="113"/>
      <x:c r="AC47" s="113"/>
      <x:c r="AD47" s="113"/>
      <x:c r="AE47" s="113"/>
    </x:row>
    <x:row r="48">
      <x:c r="A48" s="113"/>
      <x:c r="B48" s="113"/>
      <x:c r="C48" s="113"/>
      <x:c r="D48" s="113"/>
      <x:c r="E48" s="113"/>
      <x:c r="F48" s="113"/>
      <x:c r="G48" s="113"/>
      <x:c r="H48" s="113"/>
      <x:c r="I48" s="113"/>
      <x:c r="J48" s="113"/>
      <x:c r="K48" s="113"/>
      <x:c r="L48" s="113"/>
      <x:c r="M48" s="113"/>
      <x:c r="N48" s="113"/>
      <x:c r="O48" s="113"/>
      <x:c r="P48" s="113"/>
      <x:c r="Q48" s="113"/>
      <x:c r="R48" s="113"/>
      <x:c r="S48" s="113"/>
      <x:c r="T48" s="113"/>
      <x:c r="U48" s="113"/>
      <x:c r="V48" s="113"/>
      <x:c r="W48" s="113"/>
      <x:c r="X48" s="113"/>
      <x:c r="Y48" s="113"/>
      <x:c r="Z48" s="113"/>
      <x:c r="AA48" s="113"/>
      <x:c r="AB48" s="113"/>
      <x:c r="AC48" s="113"/>
      <x:c r="AD48" s="113"/>
      <x:c r="AE48" s="113"/>
    </x:row>
    <x:row r="49">
      <x:c r="A49" s="113"/>
      <x:c r="B49" s="113"/>
      <x:c r="C49" s="113"/>
      <x:c r="D49" s="113"/>
      <x:c r="E49" s="113"/>
      <x:c r="F49" s="113"/>
      <x:c r="G49" s="113"/>
      <x:c r="H49" s="113"/>
      <x:c r="I49" s="113"/>
      <x:c r="J49" s="113"/>
      <x:c r="K49" s="113"/>
      <x:c r="L49" s="113"/>
      <x:c r="M49" s="113"/>
      <x:c r="N49" s="113"/>
      <x:c r="O49" s="113"/>
      <x:c r="P49" s="113"/>
      <x:c r="Q49" s="113"/>
      <x:c r="R49" s="113"/>
      <x:c r="S49" s="113"/>
      <x:c r="T49" s="113"/>
      <x:c r="U49" s="113"/>
      <x:c r="V49" s="113"/>
      <x:c r="W49" s="113"/>
      <x:c r="X49" s="113"/>
      <x:c r="Y49" s="113"/>
      <x:c r="Z49" s="113"/>
      <x:c r="AA49" s="113"/>
      <x:c r="AB49" s="113"/>
      <x:c r="AC49" s="113"/>
      <x:c r="AD49" s="113"/>
      <x:c r="AE49" s="113"/>
    </x:row>
    <x:row r="50">
      <x:c r="A50" s="113"/>
      <x:c r="B50" s="113"/>
      <x:c r="C50" s="113"/>
      <x:c r="D50" s="113"/>
      <x:c r="E50" s="113"/>
      <x:c r="F50" s="113"/>
      <x:c r="G50" s="113"/>
      <x:c r="H50" s="113"/>
      <x:c r="I50" s="113"/>
      <x:c r="J50" s="113"/>
      <x:c r="K50" s="113"/>
      <x:c r="L50" s="113"/>
      <x:c r="M50" s="113"/>
      <x:c r="N50" s="113"/>
      <x:c r="O50" s="113"/>
      <x:c r="P50" s="113"/>
      <x:c r="Q50" s="113"/>
      <x:c r="R50" s="113"/>
      <x:c r="S50" s="113"/>
      <x:c r="T50" s="113"/>
      <x:c r="U50" s="113"/>
      <x:c r="V50" s="113"/>
      <x:c r="W50" s="113"/>
      <x:c r="X50" s="113"/>
      <x:c r="Y50" s="113"/>
      <x:c r="Z50" s="113"/>
      <x:c r="AA50" s="113"/>
      <x:c r="AB50" s="113"/>
      <x:c r="AC50" s="113"/>
      <x:c r="AD50" s="113"/>
      <x:c r="AE50" s="113"/>
    </x:row>
    <x:row r="51">
      <x:c r="A51" s="113"/>
      <x:c r="B51" s="113"/>
      <x:c r="C51" s="113"/>
      <x:c r="D51" s="113"/>
      <x:c r="E51" s="113"/>
      <x:c r="F51" s="113"/>
      <x:c r="G51" s="113"/>
      <x:c r="H51" s="113"/>
      <x:c r="I51" s="113"/>
      <x:c r="J51" s="113"/>
      <x:c r="K51" s="113"/>
      <x:c r="L51" s="113"/>
      <x:c r="M51" s="113"/>
      <x:c r="N51" s="113"/>
      <x:c r="O51" s="113"/>
      <x:c r="P51" s="113"/>
      <x:c r="Q51" s="113"/>
      <x:c r="R51" s="113"/>
      <x:c r="S51" s="113"/>
      <x:c r="T51" s="113"/>
      <x:c r="U51" s="113"/>
      <x:c r="V51" s="113"/>
      <x:c r="W51" s="113"/>
      <x:c r="X51" s="113"/>
      <x:c r="Y51" s="113"/>
      <x:c r="Z51" s="113"/>
      <x:c r="AA51" s="113"/>
      <x:c r="AB51" s="113"/>
      <x:c r="AC51" s="113"/>
      <x:c r="AD51" s="113"/>
      <x:c r="AE51" s="113"/>
    </x:row>
    <x:row r="52">
      <x:c r="A52" s="113"/>
      <x:c r="B52" s="113"/>
      <x:c r="C52" s="113"/>
      <x:c r="D52" s="113"/>
      <x:c r="E52" s="113"/>
      <x:c r="F52" s="113"/>
      <x:c r="G52" s="113"/>
      <x:c r="H52" s="113"/>
      <x:c r="I52" s="113"/>
      <x:c r="J52" s="113"/>
      <x:c r="K52" s="113"/>
      <x:c r="L52" s="113"/>
      <x:c r="M52" s="113"/>
      <x:c r="N52" s="113"/>
      <x:c r="O52" s="113"/>
      <x:c r="P52" s="113"/>
      <x:c r="Q52" s="113"/>
      <x:c r="R52" s="113"/>
      <x:c r="S52" s="113"/>
      <x:c r="T52" s="113"/>
      <x:c r="U52" s="113"/>
      <x:c r="V52" s="113"/>
      <x:c r="W52" s="113"/>
      <x:c r="X52" s="113"/>
      <x:c r="Y52" s="113"/>
      <x:c r="Z52" s="113"/>
      <x:c r="AA52" s="113"/>
      <x:c r="AB52" s="113"/>
      <x:c r="AC52" s="113"/>
      <x:c r="AD52" s="113"/>
      <x:c r="AE52" s="113"/>
    </x:row>
    <x:row r="53">
      <x:c r="A53" s="113"/>
      <x:c r="B53" s="113"/>
      <x:c r="C53" s="113"/>
      <x:c r="D53" s="113"/>
      <x:c r="E53" s="113"/>
      <x:c r="F53" s="113"/>
      <x:c r="G53" s="113"/>
      <x:c r="H53" s="113"/>
      <x:c r="I53" s="113"/>
      <x:c r="J53" s="113"/>
      <x:c r="K53" s="113"/>
      <x:c r="L53" s="113"/>
      <x:c r="M53" s="113"/>
      <x:c r="N53" s="113"/>
      <x:c r="O53" s="113"/>
      <x:c r="P53" s="113"/>
      <x:c r="Q53" s="113"/>
      <x:c r="R53" s="113"/>
      <x:c r="S53" s="113"/>
      <x:c r="T53" s="113"/>
      <x:c r="U53" s="113"/>
      <x:c r="V53" s="113"/>
      <x:c r="W53" s="113"/>
      <x:c r="X53" s="113"/>
      <x:c r="Y53" s="113"/>
      <x:c r="Z53" s="113"/>
      <x:c r="AA53" s="113"/>
      <x:c r="AB53" s="113"/>
      <x:c r="AC53" s="113"/>
      <x:c r="AD53" s="113"/>
      <x:c r="AE53" s="113"/>
    </x:row>
    <x:row r="54">
      <x:c r="A54" s="113"/>
      <x:c r="B54" s="113"/>
      <x:c r="C54" s="113"/>
      <x:c r="D54" s="113"/>
      <x:c r="E54" s="113"/>
      <x:c r="F54" s="113"/>
      <x:c r="G54" s="113"/>
      <x:c r="H54" s="113"/>
      <x:c r="I54" s="113"/>
      <x:c r="J54" s="113"/>
      <x:c r="K54" s="113"/>
      <x:c r="L54" s="113"/>
      <x:c r="M54" s="113"/>
      <x:c r="N54" s="113"/>
      <x:c r="O54" s="113"/>
      <x:c r="P54" s="113"/>
      <x:c r="Q54" s="113"/>
      <x:c r="R54" s="113"/>
      <x:c r="S54" s="113"/>
      <x:c r="T54" s="113"/>
      <x:c r="U54" s="113"/>
      <x:c r="V54" s="113"/>
      <x:c r="W54" s="113"/>
      <x:c r="X54" s="113"/>
      <x:c r="Y54" s="113"/>
      <x:c r="Z54" s="113"/>
      <x:c r="AA54" s="113"/>
      <x:c r="AB54" s="113"/>
      <x:c r="AC54" s="113"/>
      <x:c r="AD54" s="113"/>
      <x:c r="AE54" s="113"/>
    </x:row>
    <x:row r="55">
      <x:c r="A55" s="113"/>
      <x:c r="B55" s="113"/>
      <x:c r="C55" s="113"/>
      <x:c r="D55" s="113"/>
      <x:c r="E55" s="113"/>
      <x:c r="F55" s="113"/>
      <x:c r="G55" s="113"/>
      <x:c r="H55" s="113"/>
      <x:c r="I55" s="113"/>
      <x:c r="J55" s="113"/>
      <x:c r="K55" s="113"/>
      <x:c r="L55" s="113"/>
      <x:c r="M55" s="113"/>
      <x:c r="N55" s="113"/>
      <x:c r="O55" s="113"/>
      <x:c r="P55" s="113"/>
      <x:c r="Q55" s="113"/>
      <x:c r="R55" s="113"/>
      <x:c r="S55" s="113"/>
      <x:c r="T55" s="113"/>
      <x:c r="U55" s="113"/>
      <x:c r="V55" s="113"/>
      <x:c r="W55" s="113"/>
      <x:c r="X55" s="113"/>
      <x:c r="Y55" s="113"/>
      <x:c r="Z55" s="113"/>
      <x:c r="AA55" s="113"/>
      <x:c r="AB55" s="113"/>
      <x:c r="AC55" s="113"/>
      <x:c r="AD55" s="113"/>
      <x:c r="AE55" s="113"/>
    </x:row>
    <x:row r="56">
      <x:c r="A56" s="113"/>
      <x:c r="B56" s="113"/>
      <x:c r="C56" s="113"/>
      <x:c r="D56" s="113"/>
      <x:c r="E56" s="113"/>
      <x:c r="F56" s="113"/>
      <x:c r="G56" s="113"/>
      <x:c r="H56" s="113"/>
      <x:c r="I56" s="113"/>
      <x:c r="J56" s="113"/>
      <x:c r="K56" s="113"/>
      <x:c r="L56" s="113"/>
      <x:c r="M56" s="113"/>
      <x:c r="N56" s="113"/>
      <x:c r="O56" s="113"/>
      <x:c r="P56" s="113"/>
      <x:c r="Q56" s="113"/>
      <x:c r="R56" s="113"/>
      <x:c r="S56" s="113"/>
      <x:c r="T56" s="113"/>
      <x:c r="U56" s="113"/>
      <x:c r="V56" s="113"/>
      <x:c r="W56" s="113"/>
      <x:c r="X56" s="113"/>
      <x:c r="Y56" s="113"/>
      <x:c r="Z56" s="113"/>
      <x:c r="AA56" s="113"/>
      <x:c r="AB56" s="113"/>
      <x:c r="AC56" s="113"/>
      <x:c r="AD56" s="113"/>
      <x:c r="AE56" s="113"/>
    </x:row>
    <x:row r="57">
      <x:c r="A57" s="113"/>
      <x:c r="B57" s="113"/>
      <x:c r="C57" s="113"/>
      <x:c r="D57" s="113"/>
      <x:c r="E57" s="113"/>
      <x:c r="F57" s="113"/>
      <x:c r="G57" s="113"/>
      <x:c r="H57" s="113"/>
      <x:c r="I57" s="113"/>
      <x:c r="J57" s="113"/>
      <x:c r="K57" s="113"/>
      <x:c r="L57" s="113"/>
      <x:c r="M57" s="113"/>
      <x:c r="N57" s="113"/>
      <x:c r="O57" s="113"/>
      <x:c r="P57" s="113"/>
      <x:c r="Q57" s="113"/>
      <x:c r="R57" s="113"/>
      <x:c r="S57" s="113"/>
      <x:c r="T57" s="113"/>
      <x:c r="U57" s="113"/>
      <x:c r="V57" s="113"/>
      <x:c r="W57" s="113"/>
      <x:c r="X57" s="113"/>
      <x:c r="Y57" s="113"/>
      <x:c r="Z57" s="113"/>
      <x:c r="AA57" s="113"/>
      <x:c r="AB57" s="113"/>
      <x:c r="AC57" s="113"/>
      <x:c r="AD57" s="113"/>
      <x:c r="AE57" s="113"/>
    </x:row>
    <x:row r="58">
      <x:c r="A58" s="113"/>
      <x:c r="B58" s="113"/>
      <x:c r="C58" s="113"/>
      <x:c r="D58" s="113"/>
      <x:c r="E58" s="113"/>
      <x:c r="F58" s="113"/>
      <x:c r="G58" s="113"/>
      <x:c r="H58" s="113"/>
      <x:c r="I58" s="113"/>
      <x:c r="J58" s="113"/>
      <x:c r="K58" s="113"/>
      <x:c r="L58" s="113"/>
      <x:c r="M58" s="113"/>
      <x:c r="N58" s="113"/>
      <x:c r="O58" s="113"/>
      <x:c r="P58" s="113"/>
      <x:c r="Q58" s="113"/>
      <x:c r="R58" s="113"/>
      <x:c r="S58" s="113"/>
      <x:c r="T58" s="113"/>
      <x:c r="U58" s="113"/>
      <x:c r="V58" s="113"/>
      <x:c r="W58" s="113"/>
      <x:c r="X58" s="113"/>
      <x:c r="Y58" s="113"/>
      <x:c r="Z58" s="113"/>
      <x:c r="AA58" s="113"/>
      <x:c r="AB58" s="113"/>
      <x:c r="AC58" s="113"/>
      <x:c r="AD58" s="113"/>
      <x:c r="AE58" s="113"/>
    </x:row>
    <x:row r="59">
      <x:c r="A59" s="113"/>
      <x:c r="B59" s="113"/>
      <x:c r="C59" s="113"/>
      <x:c r="D59" s="113"/>
      <x:c r="E59" s="113"/>
      <x:c r="F59" s="113"/>
      <x:c r="G59" s="113"/>
      <x:c r="H59" s="113"/>
      <x:c r="I59" s="113"/>
      <x:c r="J59" s="113"/>
      <x:c r="K59" s="113"/>
      <x:c r="L59" s="113"/>
      <x:c r="M59" s="113"/>
      <x:c r="N59" s="113"/>
      <x:c r="O59" s="113"/>
      <x:c r="P59" s="113"/>
      <x:c r="Q59" s="113"/>
      <x:c r="R59" s="113"/>
      <x:c r="S59" s="113"/>
      <x:c r="T59" s="113"/>
      <x:c r="U59" s="113"/>
      <x:c r="V59" s="113"/>
      <x:c r="W59" s="113"/>
      <x:c r="X59" s="113"/>
      <x:c r="Y59" s="113"/>
      <x:c r="Z59" s="113"/>
      <x:c r="AA59" s="113"/>
      <x:c r="AB59" s="113"/>
      <x:c r="AC59" s="113"/>
      <x:c r="AD59" s="113"/>
      <x:c r="AE59" s="113"/>
    </x:row>
    <x:row r="60">
      <x:c r="A60" s="113"/>
      <x:c r="B60" s="113"/>
      <x:c r="C60" s="113"/>
      <x:c r="D60" s="113"/>
      <x:c r="E60" s="113"/>
      <x:c r="F60" s="113"/>
      <x:c r="G60" s="113"/>
      <x:c r="H60" s="113"/>
      <x:c r="I60" s="113"/>
      <x:c r="J60" s="113"/>
      <x:c r="K60" s="113"/>
      <x:c r="L60" s="113"/>
      <x:c r="M60" s="113"/>
      <x:c r="N60" s="113"/>
      <x:c r="O60" s="113"/>
      <x:c r="P60" s="113"/>
      <x:c r="Q60" s="113"/>
      <x:c r="R60" s="113"/>
      <x:c r="S60" s="113"/>
      <x:c r="T60" s="113"/>
      <x:c r="U60" s="113"/>
      <x:c r="V60" s="113"/>
      <x:c r="W60" s="113"/>
      <x:c r="X60" s="113"/>
      <x:c r="Y60" s="113"/>
      <x:c r="Z60" s="113"/>
      <x:c r="AA60" s="113"/>
      <x:c r="AB60" s="113"/>
      <x:c r="AC60" s="113"/>
      <x:c r="AD60" s="113"/>
      <x:c r="AE60" s="113"/>
    </x:row>
    <x:row r="61">
      <x:c r="A61" s="113"/>
      <x:c r="B61" s="113"/>
      <x:c r="C61" s="113"/>
      <x:c r="D61" s="113"/>
      <x:c r="E61" s="113"/>
      <x:c r="F61" s="113"/>
      <x:c r="G61" s="113"/>
      <x:c r="H61" s="113"/>
      <x:c r="I61" s="113"/>
      <x:c r="J61" s="113"/>
      <x:c r="K61" s="113"/>
      <x:c r="L61" s="113"/>
      <x:c r="M61" s="113"/>
      <x:c r="N61" s="113"/>
      <x:c r="O61" s="113"/>
      <x:c r="P61" s="113"/>
      <x:c r="Q61" s="113"/>
      <x:c r="R61" s="113"/>
      <x:c r="S61" s="113"/>
      <x:c r="T61" s="113"/>
      <x:c r="U61" s="113"/>
      <x:c r="V61" s="113"/>
      <x:c r="W61" s="113"/>
      <x:c r="X61" s="113"/>
      <x:c r="Y61" s="113"/>
      <x:c r="Z61" s="113"/>
      <x:c r="AA61" s="113"/>
      <x:c r="AB61" s="113"/>
      <x:c r="AC61" s="113"/>
      <x:c r="AD61" s="113"/>
      <x:c r="AE61" s="113"/>
    </x:row>
    <x:row r="62">
      <x:c r="A62" s="113"/>
      <x:c r="B62" s="113"/>
      <x:c r="C62" s="113"/>
      <x:c r="D62" s="113"/>
      <x:c r="E62" s="113"/>
      <x:c r="F62" s="113"/>
      <x:c r="G62" s="113"/>
      <x:c r="H62" s="113"/>
      <x:c r="I62" s="113"/>
      <x:c r="J62" s="113"/>
      <x:c r="K62" s="113"/>
      <x:c r="L62" s="113"/>
      <x:c r="M62" s="113"/>
      <x:c r="N62" s="113"/>
      <x:c r="O62" s="113"/>
      <x:c r="P62" s="113"/>
      <x:c r="Q62" s="113"/>
      <x:c r="R62" s="113"/>
      <x:c r="S62" s="113"/>
      <x:c r="T62" s="113"/>
      <x:c r="U62" s="113"/>
      <x:c r="V62" s="113"/>
      <x:c r="W62" s="113"/>
      <x:c r="X62" s="113"/>
      <x:c r="Y62" s="113"/>
      <x:c r="Z62" s="113"/>
      <x:c r="AA62" s="113"/>
      <x:c r="AB62" s="113"/>
      <x:c r="AC62" s="113"/>
      <x:c r="AD62" s="113"/>
      <x:c r="AE62" s="113"/>
    </x:row>
    <x:row r="63">
      <x:c r="A63" s="113"/>
      <x:c r="B63" s="113"/>
      <x:c r="C63" s="113"/>
      <x:c r="D63" s="113"/>
      <x:c r="E63" s="113"/>
      <x:c r="F63" s="113"/>
      <x:c r="G63" s="113"/>
      <x:c r="H63" s="113"/>
      <x:c r="I63" s="113"/>
      <x:c r="J63" s="113"/>
      <x:c r="K63" s="113"/>
      <x:c r="L63" s="113"/>
      <x:c r="M63" s="113"/>
      <x:c r="N63" s="113"/>
      <x:c r="O63" s="113"/>
      <x:c r="P63" s="113"/>
      <x:c r="Q63" s="113"/>
      <x:c r="R63" s="113"/>
      <x:c r="S63" s="113"/>
      <x:c r="T63" s="113"/>
      <x:c r="U63" s="113"/>
      <x:c r="V63" s="113"/>
      <x:c r="W63" s="113"/>
      <x:c r="X63" s="113"/>
      <x:c r="Y63" s="113"/>
      <x:c r="Z63" s="113"/>
      <x:c r="AA63" s="113"/>
      <x:c r="AB63" s="113"/>
      <x:c r="AC63" s="113"/>
      <x:c r="AD63" s="113"/>
      <x:c r="AE63" s="113"/>
    </x:row>
    <x:row r="64">
      <x:c r="A64" s="113"/>
      <x:c r="B64" s="113"/>
      <x:c r="C64" s="113"/>
      <x:c r="D64" s="113"/>
      <x:c r="E64" s="113"/>
      <x:c r="F64" s="113"/>
      <x:c r="G64" s="113"/>
      <x:c r="H64" s="113"/>
      <x:c r="I64" s="113"/>
      <x:c r="J64" s="113"/>
      <x:c r="K64" s="113"/>
      <x:c r="L64" s="113"/>
      <x:c r="M64" s="113"/>
      <x:c r="N64" s="113"/>
      <x:c r="O64" s="113"/>
      <x:c r="P64" s="113"/>
      <x:c r="Q64" s="113"/>
      <x:c r="R64" s="113"/>
      <x:c r="S64" s="113"/>
      <x:c r="T64" s="113"/>
      <x:c r="U64" s="113"/>
      <x:c r="V64" s="113"/>
      <x:c r="W64" s="113"/>
      <x:c r="X64" s="113"/>
      <x:c r="Y64" s="113"/>
      <x:c r="Z64" s="113"/>
      <x:c r="AA64" s="113"/>
      <x:c r="AB64" s="113"/>
      <x:c r="AC64" s="113"/>
      <x:c r="AD64" s="113"/>
      <x:c r="AE64" s="113"/>
    </x:row>
    <x:row r="65">
      <x:c r="A65" s="113"/>
      <x:c r="B65" s="113"/>
      <x:c r="C65" s="113"/>
      <x:c r="D65" s="113"/>
      <x:c r="E65" s="113"/>
      <x:c r="F65" s="113"/>
      <x:c r="G65" s="113"/>
      <x:c r="H65" s="113"/>
      <x:c r="I65" s="113"/>
      <x:c r="J65" s="113"/>
      <x:c r="K65" s="113"/>
      <x:c r="L65" s="113"/>
      <x:c r="M65" s="113"/>
      <x:c r="N65" s="113"/>
      <x:c r="O65" s="113"/>
      <x:c r="P65" s="113"/>
      <x:c r="Q65" s="113"/>
      <x:c r="R65" s="113"/>
      <x:c r="S65" s="113"/>
      <x:c r="T65" s="113"/>
      <x:c r="U65" s="113"/>
      <x:c r="V65" s="113"/>
      <x:c r="W65" s="113"/>
      <x:c r="X65" s="113"/>
      <x:c r="Y65" s="113"/>
      <x:c r="Z65" s="113"/>
      <x:c r="AA65" s="113"/>
      <x:c r="AB65" s="113"/>
      <x:c r="AC65" s="113"/>
      <x:c r="AD65" s="113"/>
      <x:c r="AE65" s="113"/>
    </x:row>
    <x:row r="66">
      <x:c r="A66" s="113"/>
      <x:c r="B66" s="113"/>
      <x:c r="C66" s="113"/>
      <x:c r="D66" s="113"/>
      <x:c r="E66" s="113"/>
      <x:c r="F66" s="113"/>
      <x:c r="G66" s="113"/>
      <x:c r="H66" s="113"/>
      <x:c r="I66" s="113"/>
      <x:c r="J66" s="113"/>
      <x:c r="K66" s="113"/>
      <x:c r="L66" s="113"/>
      <x:c r="M66" s="113"/>
      <x:c r="N66" s="113"/>
      <x:c r="O66" s="113"/>
      <x:c r="P66" s="113"/>
      <x:c r="Q66" s="113"/>
      <x:c r="R66" s="113"/>
      <x:c r="S66" s="113"/>
      <x:c r="T66" s="113"/>
      <x:c r="U66" s="113"/>
      <x:c r="V66" s="113"/>
      <x:c r="W66" s="113"/>
      <x:c r="X66" s="113"/>
      <x:c r="Y66" s="113"/>
      <x:c r="Z66" s="113"/>
      <x:c r="AA66" s="113"/>
      <x:c r="AB66" s="113"/>
      <x:c r="AC66" s="113"/>
      <x:c r="AD66" s="113"/>
      <x:c r="AE66" s="113"/>
    </x:row>
    <x:row r="67">
      <x:c r="A67" s="113"/>
      <x:c r="B67" s="113"/>
      <x:c r="C67" s="113"/>
      <x:c r="D67" s="113"/>
      <x:c r="E67" s="113"/>
      <x:c r="F67" s="113"/>
      <x:c r="G67" s="113"/>
      <x:c r="H67" s="113"/>
      <x:c r="I67" s="113"/>
      <x:c r="J67" s="113"/>
      <x:c r="K67" s="113"/>
      <x:c r="L67" s="113"/>
      <x:c r="M67" s="113"/>
      <x:c r="N67" s="113"/>
      <x:c r="O67" s="113"/>
      <x:c r="P67" s="113"/>
      <x:c r="Q67" s="113"/>
      <x:c r="R67" s="113"/>
      <x:c r="S67" s="113"/>
      <x:c r="T67" s="113"/>
      <x:c r="U67" s="113"/>
      <x:c r="V67" s="113"/>
      <x:c r="W67" s="113"/>
      <x:c r="X67" s="113"/>
      <x:c r="Y67" s="113"/>
      <x:c r="Z67" s="113"/>
      <x:c r="AA67" s="113"/>
      <x:c r="AB67" s="113"/>
      <x:c r="AC67" s="113"/>
      <x:c r="AD67" s="113"/>
      <x:c r="AE67" s="113"/>
    </x:row>
    <x:row r="68">
      <x:c r="A68" s="113"/>
      <x:c r="B68" s="113"/>
      <x:c r="C68" s="113"/>
      <x:c r="D68" s="113"/>
      <x:c r="E68" s="113"/>
      <x:c r="F68" s="113"/>
      <x:c r="G68" s="113"/>
      <x:c r="H68" s="113"/>
      <x:c r="I68" s="113"/>
      <x:c r="J68" s="113"/>
      <x:c r="K68" s="113"/>
      <x:c r="L68" s="113"/>
      <x:c r="M68" s="113"/>
      <x:c r="N68" s="113"/>
      <x:c r="O68" s="113"/>
      <x:c r="P68" s="113"/>
      <x:c r="Q68" s="113"/>
      <x:c r="R68" s="113"/>
      <x:c r="S68" s="113"/>
      <x:c r="T68" s="113"/>
      <x:c r="U68" s="113"/>
      <x:c r="V68" s="113"/>
      <x:c r="W68" s="113"/>
      <x:c r="X68" s="113"/>
      <x:c r="Y68" s="113"/>
      <x:c r="Z68" s="113"/>
      <x:c r="AA68" s="113"/>
      <x:c r="AB68" s="113"/>
      <x:c r="AC68" s="113"/>
      <x:c r="AD68" s="113"/>
      <x:c r="AE68" s="113"/>
    </x:row>
    <x:row r="69">
      <x:c r="A69" s="113"/>
      <x:c r="B69" s="113"/>
      <x:c r="C69" s="113"/>
      <x:c r="D69" s="113"/>
      <x:c r="E69" s="113"/>
      <x:c r="F69" s="113"/>
      <x:c r="G69" s="113"/>
      <x:c r="H69" s="113"/>
      <x:c r="I69" s="113"/>
      <x:c r="J69" s="113"/>
      <x:c r="K69" s="113"/>
      <x:c r="L69" s="113"/>
      <x:c r="M69" s="113"/>
      <x:c r="N69" s="113"/>
      <x:c r="O69" s="113"/>
      <x:c r="P69" s="113"/>
      <x:c r="Q69" s="113"/>
      <x:c r="R69" s="113"/>
      <x:c r="S69" s="113"/>
      <x:c r="T69" s="113"/>
      <x:c r="U69" s="113"/>
      <x:c r="V69" s="113"/>
      <x:c r="W69" s="113"/>
      <x:c r="X69" s="113"/>
      <x:c r="Y69" s="113"/>
      <x:c r="Z69" s="113"/>
      <x:c r="AA69" s="113"/>
      <x:c r="AB69" s="113"/>
      <x:c r="AC69" s="113"/>
      <x:c r="AD69" s="113"/>
      <x:c r="AE69" s="113"/>
    </x:row>
    <x:row r="70">
      <x:c r="A70" s="113"/>
      <x:c r="B70" s="113"/>
      <x:c r="C70" s="113"/>
      <x:c r="D70" s="113"/>
      <x:c r="E70" s="113"/>
      <x:c r="F70" s="113"/>
      <x:c r="G70" s="113"/>
      <x:c r="H70" s="113"/>
      <x:c r="I70" s="113"/>
      <x:c r="J70" s="113"/>
      <x:c r="K70" s="113"/>
      <x:c r="L70" s="113"/>
      <x:c r="M70" s="113"/>
      <x:c r="N70" s="113"/>
      <x:c r="O70" s="113"/>
      <x:c r="P70" s="113"/>
      <x:c r="Q70" s="113"/>
      <x:c r="R70" s="113"/>
      <x:c r="S70" s="113"/>
      <x:c r="T70" s="113"/>
      <x:c r="U70" s="113"/>
      <x:c r="V70" s="113"/>
      <x:c r="W70" s="113"/>
      <x:c r="X70" s="113"/>
      <x:c r="Y70" s="113"/>
      <x:c r="Z70" s="113"/>
      <x:c r="AA70" s="113"/>
      <x:c r="AB70" s="113"/>
      <x:c r="AC70" s="113"/>
      <x:c r="AD70" s="113"/>
      <x:c r="AE70" s="113"/>
    </x:row>
    <x:row r="71">
      <x:c r="A71" s="113"/>
      <x:c r="B71" s="113"/>
      <x:c r="C71" s="113"/>
      <x:c r="D71" s="113"/>
      <x:c r="E71" s="113"/>
      <x:c r="F71" s="113"/>
      <x:c r="G71" s="113"/>
      <x:c r="H71" s="113"/>
      <x:c r="I71" s="113"/>
      <x:c r="J71" s="113"/>
      <x:c r="K71" s="113"/>
      <x:c r="L71" s="113"/>
      <x:c r="M71" s="113"/>
      <x:c r="N71" s="113"/>
      <x:c r="O71" s="113"/>
      <x:c r="P71" s="113"/>
      <x:c r="Q71" s="113"/>
      <x:c r="R71" s="113"/>
      <x:c r="S71" s="113"/>
      <x:c r="T71" s="113"/>
      <x:c r="U71" s="113"/>
      <x:c r="V71" s="113"/>
      <x:c r="W71" s="113"/>
      <x:c r="X71" s="113"/>
      <x:c r="Y71" s="113"/>
      <x:c r="Z71" s="113"/>
      <x:c r="AA71" s="113"/>
      <x:c r="AB71" s="113"/>
      <x:c r="AC71" s="113"/>
      <x:c r="AD71" s="113"/>
      <x:c r="AE71" s="113"/>
    </x:row>
    <x:row r="72">
      <x:c r="A72" s="113"/>
      <x:c r="B72" s="113"/>
      <x:c r="C72" s="113"/>
      <x:c r="D72" s="113"/>
      <x:c r="E72" s="113"/>
      <x:c r="F72" s="113"/>
      <x:c r="G72" s="113"/>
      <x:c r="H72" s="113"/>
      <x:c r="I72" s="113"/>
      <x:c r="J72" s="113"/>
      <x:c r="K72" s="113"/>
      <x:c r="L72" s="113"/>
      <x:c r="M72" s="113"/>
      <x:c r="N72" s="113"/>
      <x:c r="O72" s="113"/>
      <x:c r="P72" s="113"/>
      <x:c r="Q72" s="113"/>
      <x:c r="R72" s="113"/>
      <x:c r="S72" s="113"/>
      <x:c r="T72" s="113"/>
      <x:c r="U72" s="113"/>
      <x:c r="V72" s="113"/>
      <x:c r="W72" s="113"/>
      <x:c r="X72" s="113"/>
      <x:c r="Y72" s="113"/>
      <x:c r="Z72" s="113"/>
      <x:c r="AA72" s="113"/>
      <x:c r="AB72" s="113"/>
      <x:c r="AC72" s="113"/>
      <x:c r="AD72" s="113"/>
      <x:c r="AE72" s="113"/>
    </x:row>
    <x:row r="73">
      <x:c r="A73" s="113"/>
      <x:c r="B73" s="113"/>
      <x:c r="C73" s="113"/>
      <x:c r="D73" s="113"/>
      <x:c r="E73" s="113"/>
      <x:c r="F73" s="113"/>
      <x:c r="G73" s="113"/>
      <x:c r="H73" s="113"/>
      <x:c r="I73" s="113"/>
      <x:c r="J73" s="113"/>
      <x:c r="K73" s="113"/>
      <x:c r="L73" s="113"/>
      <x:c r="M73" s="113"/>
      <x:c r="N73" s="113"/>
      <x:c r="O73" s="113"/>
      <x:c r="P73" s="113"/>
      <x:c r="Q73" s="113"/>
      <x:c r="R73" s="113"/>
      <x:c r="S73" s="113"/>
      <x:c r="T73" s="113"/>
      <x:c r="U73" s="113"/>
      <x:c r="V73" s="113"/>
      <x:c r="W73" s="113"/>
      <x:c r="X73" s="113"/>
      <x:c r="Y73" s="113"/>
      <x:c r="Z73" s="113"/>
      <x:c r="AA73" s="113"/>
      <x:c r="AB73" s="113"/>
      <x:c r="AC73" s="113"/>
      <x:c r="AD73" s="113"/>
      <x:c r="AE73" s="113"/>
    </x:row>
    <x:row r="74">
      <x:c r="A74" s="113"/>
      <x:c r="B74" s="113"/>
      <x:c r="C74" s="113"/>
      <x:c r="D74" s="113"/>
      <x:c r="E74" s="113"/>
      <x:c r="F74" s="113"/>
      <x:c r="G74" s="113"/>
      <x:c r="H74" s="113"/>
      <x:c r="I74" s="113"/>
      <x:c r="J74" s="113"/>
      <x:c r="K74" s="113"/>
      <x:c r="L74" s="113"/>
      <x:c r="M74" s="113"/>
      <x:c r="N74" s="113"/>
      <x:c r="O74" s="113"/>
      <x:c r="P74" s="113"/>
      <x:c r="Q74" s="113"/>
      <x:c r="R74" s="113"/>
      <x:c r="S74" s="113"/>
      <x:c r="T74" s="113"/>
      <x:c r="U74" s="113"/>
      <x:c r="V74" s="113"/>
      <x:c r="W74" s="113"/>
      <x:c r="X74" s="113"/>
      <x:c r="Y74" s="113"/>
      <x:c r="Z74" s="113"/>
      <x:c r="AA74" s="113"/>
      <x:c r="AB74" s="113"/>
      <x:c r="AC74" s="113"/>
      <x:c r="AD74" s="113"/>
      <x:c r="AE74" s="113"/>
    </x:row>
    <x:row r="75">
      <x:c r="A75" s="113"/>
      <x:c r="B75" s="113"/>
      <x:c r="C75" s="113"/>
      <x:c r="D75" s="113"/>
      <x:c r="E75" s="113"/>
      <x:c r="F75" s="113"/>
      <x:c r="G75" s="113"/>
      <x:c r="H75" s="113"/>
      <x:c r="I75" s="113"/>
      <x:c r="J75" s="113"/>
      <x:c r="K75" s="113"/>
      <x:c r="L75" s="113"/>
      <x:c r="M75" s="113"/>
      <x:c r="N75" s="113"/>
      <x:c r="O75" s="113"/>
      <x:c r="P75" s="113"/>
      <x:c r="Q75" s="113"/>
      <x:c r="R75" s="113"/>
      <x:c r="S75" s="113"/>
      <x:c r="T75" s="113"/>
      <x:c r="U75" s="113"/>
      <x:c r="V75" s="113"/>
      <x:c r="W75" s="113"/>
      <x:c r="X75" s="113"/>
      <x:c r="Y75" s="113"/>
      <x:c r="Z75" s="113"/>
      <x:c r="AA75" s="113"/>
      <x:c r="AB75" s="113"/>
      <x:c r="AC75" s="113"/>
      <x:c r="AD75" s="113"/>
      <x:c r="AE75" s="113"/>
    </x:row>
    <x:row r="76">
      <x:c r="A76" s="113"/>
      <x:c r="B76" s="113"/>
      <x:c r="C76" s="113"/>
      <x:c r="D76" s="113"/>
      <x:c r="E76" s="113"/>
      <x:c r="F76" s="113"/>
      <x:c r="G76" s="113"/>
      <x:c r="H76" s="113"/>
      <x:c r="I76" s="113"/>
      <x:c r="J76" s="113"/>
      <x:c r="K76" s="113"/>
      <x:c r="L76" s="113"/>
      <x:c r="M76" s="113"/>
      <x:c r="N76" s="113"/>
      <x:c r="O76" s="113"/>
      <x:c r="P76" s="113"/>
      <x:c r="Q76" s="113"/>
      <x:c r="R76" s="113"/>
      <x:c r="S76" s="113"/>
      <x:c r="T76" s="113"/>
      <x:c r="U76" s="113"/>
      <x:c r="V76" s="113"/>
      <x:c r="W76" s="113"/>
      <x:c r="X76" s="113"/>
      <x:c r="Y76" s="113"/>
      <x:c r="Z76" s="113"/>
      <x:c r="AA76" s="113"/>
      <x:c r="AB76" s="113"/>
      <x:c r="AC76" s="113"/>
      <x:c r="AD76" s="113"/>
      <x:c r="AE76" s="113"/>
    </x:row>
    <x:row r="77">
      <x:c r="A77" s="113"/>
      <x:c r="B77" s="113"/>
      <x:c r="C77" s="113"/>
      <x:c r="D77" s="113"/>
      <x:c r="E77" s="113"/>
      <x:c r="F77" s="113"/>
      <x:c r="G77" s="113"/>
      <x:c r="H77" s="113"/>
      <x:c r="I77" s="113"/>
      <x:c r="J77" s="113"/>
      <x:c r="K77" s="113"/>
      <x:c r="L77" s="113"/>
      <x:c r="M77" s="113"/>
      <x:c r="N77" s="113"/>
      <x:c r="O77" s="113"/>
      <x:c r="P77" s="113"/>
      <x:c r="Q77" s="113"/>
      <x:c r="R77" s="113"/>
      <x:c r="S77" s="113"/>
      <x:c r="T77" s="113"/>
      <x:c r="U77" s="113"/>
      <x:c r="V77" s="113"/>
      <x:c r="W77" s="113"/>
      <x:c r="X77" s="113"/>
      <x:c r="Y77" s="113"/>
      <x:c r="Z77" s="113"/>
      <x:c r="AA77" s="113"/>
      <x:c r="AB77" s="113"/>
      <x:c r="AC77" s="113"/>
      <x:c r="AD77" s="113"/>
      <x:c r="AE77" s="113"/>
    </x:row>
    <x:row r="78">
      <x:c r="A78" s="113"/>
      <x:c r="B78" s="113"/>
      <x:c r="C78" s="113"/>
      <x:c r="D78" s="113"/>
      <x:c r="E78" s="113"/>
      <x:c r="F78" s="113"/>
      <x:c r="G78" s="113"/>
      <x:c r="H78" s="113"/>
      <x:c r="I78" s="113"/>
      <x:c r="J78" s="113"/>
      <x:c r="K78" s="113"/>
      <x:c r="L78" s="113"/>
      <x:c r="M78" s="113"/>
      <x:c r="N78" s="113"/>
      <x:c r="O78" s="113"/>
      <x:c r="P78" s="113"/>
      <x:c r="Q78" s="113"/>
      <x:c r="R78" s="113"/>
      <x:c r="S78" s="113"/>
      <x:c r="T78" s="113"/>
      <x:c r="U78" s="113"/>
      <x:c r="V78" s="113"/>
      <x:c r="W78" s="113"/>
      <x:c r="X78" s="113"/>
      <x:c r="Y78" s="113"/>
      <x:c r="Z78" s="113"/>
      <x:c r="AA78" s="113"/>
      <x:c r="AB78" s="113"/>
      <x:c r="AC78" s="113"/>
      <x:c r="AD78" s="113"/>
      <x:c r="AE78" s="113"/>
    </x:row>
    <x:row r="79">
      <x:c r="A79" s="113"/>
      <x:c r="B79" s="113"/>
      <x:c r="C79" s="113"/>
      <x:c r="D79" s="113"/>
      <x:c r="E79" s="113"/>
      <x:c r="F79" s="113"/>
      <x:c r="G79" s="113"/>
      <x:c r="H79" s="113"/>
      <x:c r="I79" s="113"/>
      <x:c r="J79" s="113"/>
      <x:c r="K79" s="113"/>
      <x:c r="L79" s="113"/>
      <x:c r="M79" s="113"/>
      <x:c r="N79" s="113"/>
      <x:c r="O79" s="113"/>
      <x:c r="P79" s="113"/>
      <x:c r="Q79" s="113"/>
      <x:c r="R79" s="113"/>
      <x:c r="S79" s="113"/>
      <x:c r="T79" s="113"/>
      <x:c r="U79" s="113"/>
      <x:c r="V79" s="113"/>
      <x:c r="W79" s="113"/>
      <x:c r="X79" s="113"/>
      <x:c r="Y79" s="113"/>
      <x:c r="Z79" s="113"/>
      <x:c r="AA79" s="113"/>
      <x:c r="AB79" s="113"/>
      <x:c r="AC79" s="113"/>
      <x:c r="AD79" s="113"/>
      <x:c r="AE79" s="113"/>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H1"/>
    <x:mergeCell ref="A2:H2"/>
    <x:mergeCell ref="A16:H16"/>
    <x:mergeCell ref="A17:H19"/>
  </x:mergeCells>
  <x:pageMargins left="0.7" right="0.7" top="0.75" bottom="0.75" header="0.3" footer="0.3"/>
</x:worksheet>
</file>

<file path=xl/worksheets/sheet27.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24" hidden="0" customWidth="1"/>
    <x:col min="5" max="5" width="28" hidden="0" customWidth="1"/>
    <x:col min="6" max="6" width="10" hidden="0" customWidth="1"/>
    <x:col min="7" max="7" width="18" hidden="0" customWidth="1"/>
    <x:col min="8" max="8" width="18" hidden="0" customWidth="1"/>
    <x:col min="9" max="9" width="28" hidden="0" customWidth="1"/>
    <x:col min="10" max="10" width="36" hidden="0" customWidth="1"/>
    <x:col min="11" max="11" width="38" hidden="0" customWidth="1"/>
    <x:col min="12" max="12" width="40" hidden="0" customWidth="1"/>
    <x:col min="13" max="13" width="14" hidden="0" customWidth="1"/>
    <x:col min="14" max="14" width="14" hidden="0" customWidth="1"/>
    <x:col min="15" max="15" width="31" hidden="0" customWidth="1"/>
    <x:col min="16" max="16" width="38" hidden="0" customWidth="1"/>
    <x:col min="17" max="17" width="22" hidden="0" customWidth="1"/>
    <x:col min="18" max="18" width="34" hidden="0" customWidth="1"/>
  </x:cols>
  <x:sheetData>
    <x:row r="1" ht="28" customHeight="1">
      <x:c r="A1" s="121" t="str">
        <x:v>ARCHIV / ERSETZT – Neuro-Psych 4.4x</x:v>
      </x:c>
      <x:c r="B1" s="121"/>
      <x:c r="C1" s="121"/>
      <x:c r="D1" s="121"/>
      <x:c r="E1" s="121"/>
      <x:c r="F1" s="121"/>
      <x:c r="G1" s="121"/>
      <x:c r="H1" s="121"/>
      <x:c r="I1" s="121"/>
      <x:c r="J1" s="121"/>
      <x:c r="K1" s="121"/>
      <x:c r="L1" s="121"/>
      <x:c r="M1" s="121"/>
      <x:c r="N1" s="121"/>
      <x:c r="O1" s="121"/>
      <x:c r="P1" s="121"/>
      <x:c r="Q1" s="121"/>
      <x:c r="R1" s="121"/>
      <x:c r="S1" s="113"/>
      <x:c r="T1" s="113"/>
      <x:c r="U1" s="113"/>
      <x:c r="V1" s="113"/>
      <x:c r="W1" s="113"/>
      <x:c r="X1" s="113"/>
      <x:c r="Y1" s="113"/>
      <x:c r="Z1" s="113"/>
      <x:c r="AA1" s="113"/>
      <x:c r="AB1" s="113"/>
      <x:c r="AC1" s="113"/>
      <x:c r="AD1" s="113"/>
      <x:c r="AE1" s="113"/>
    </x:row>
    <x:row r="2">
      <x:c r="A2" s="113"/>
      <x:c r="B2" s="113"/>
      <x:c r="C2" s="113"/>
      <x:c r="D2" s="113"/>
      <x:c r="E2" s="113"/>
      <x:c r="F2" s="113"/>
      <x:c r="G2" s="113"/>
      <x:c r="H2" s="113"/>
      <x:c r="I2" s="113"/>
      <x:c r="J2" s="113"/>
      <x:c r="K2" s="113"/>
      <x:c r="L2" s="113"/>
      <x:c r="M2" s="113"/>
      <x:c r="N2" s="113"/>
      <x:c r="O2" s="113"/>
      <x:c r="P2" s="113"/>
      <x:c r="Q2" s="113"/>
      <x:c r="R2" s="113"/>
      <x:c r="S2" s="113"/>
      <x:c r="T2" s="113"/>
      <x:c r="U2" s="113"/>
      <x:c r="V2" s="113"/>
      <x:c r="W2" s="113"/>
      <x:c r="X2" s="113"/>
      <x:c r="Y2" s="113"/>
      <x:c r="Z2" s="113"/>
      <x:c r="AA2" s="113"/>
      <x:c r="AB2" s="113"/>
      <x:c r="AC2" s="113"/>
      <x:c r="AD2" s="113"/>
      <x:c r="AE2" s="113"/>
    </x:row>
    <x:row r="3" ht="30" customHeight="1">
      <x:c r="A3" s="131" t="str">
        <x:v>Status</x:v>
      </x:c>
      <x:c r="B3" s="131" t="str">
        <x:v>Priorität</x:v>
      </x:c>
      <x:c r="C3" s="131" t="str">
        <x:v>Einrichtung</x:v>
      </x:c>
      <x:c r="D3" s="131" t="str">
        <x:v>Ort/Region</x:v>
      </x:c>
      <x:c r="E3" s="131" t="str">
        <x:v>Straße</x:v>
      </x:c>
      <x:c r="F3" s="131" t="str">
        <x:v>PLZ</x:v>
      </x:c>
      <x:c r="G3" s="131" t="str">
        <x:v>Telefon</x:v>
      </x:c>
      <x:c r="H3" s="131" t="str">
        <x:v>Fax</x:v>
      </x:c>
      <x:c r="I3" s="131" t="str">
        <x:v>E-Mail</x:v>
      </x:c>
      <x:c r="J3" s="131" t="str">
        <x:v>Website</x:v>
      </x:c>
      <x:c r="K3" s="131" t="str">
        <x:v>Ärzteteam / Kontakt</x:v>
      </x:c>
      <x:c r="L3" s="131" t="str">
        <x:v>Schwerpunkte</x:v>
      </x:c>
      <x:c r="M3" s="131" t="str">
        <x:v>Lat</x:v>
      </x:c>
      <x:c r="N3" s="131" t="str">
        <x:v>Lon</x:v>
      </x:c>
      <x:c r="O3" s="131" t="str">
        <x:v>Geo-Status</x:v>
      </x:c>
      <x:c r="P3" s="131" t="str">
        <x:v>Quelle</x:v>
      </x:c>
      <x:c r="Q3" s="131" t="str">
        <x:v>Kartenaktion</x:v>
      </x:c>
      <x:c r="R3" s="131" t="str">
        <x:v>Hinweis</x:v>
      </x:c>
      <x:c r="S3" s="113"/>
      <x:c r="T3" s="113"/>
      <x:c r="U3" s="113"/>
      <x:c r="V3" s="113"/>
      <x:c r="W3" s="113"/>
      <x:c r="X3" s="113"/>
      <x:c r="Y3" s="113"/>
      <x:c r="Z3" s="113"/>
      <x:c r="AA3" s="113"/>
      <x:c r="AB3" s="113"/>
      <x:c r="AC3" s="113"/>
      <x:c r="AD3" s="113"/>
      <x:c r="AE3" s="113"/>
    </x:row>
    <x:row r="4">
      <x:c r="A4" s="116" t="str">
        <x:v>Bestand</x:v>
      </x:c>
      <x:c r="B4" s="116" t="str">
        <x:v>B</x:v>
      </x:c>
      <x:c r="C4" s="116" t="str">
        <x:v>Neurologische Gemeinschaftspraxis Karlsruhe</x:v>
      </x:c>
      <x:c r="D4" s="116" t="str">
        <x:v>Karlsruhe / Nordbaden</x:v>
      </x:c>
      <x:c r="E4" s="116" t="str">
        <x:v>Karlstraße 84</x:v>
      </x:c>
      <x:c r="F4" s="116" t="str">
        <x:v>76137</x:v>
      </x:c>
      <x:c r="G4" s="116" t="str">
        <x:v>0721 356003</x:v>
      </x:c>
      <x:c r="H4" s="116" t="str">
        <x:v>0721 358089</x:v>
      </x:c>
      <x:c r="I4" s="116" t="str"/>
      <x:c r="J4" s="116" t="str">
        <x:v>https://neuropraxiskarlsruhe.de/</x:v>
      </x:c>
      <x:c r="K4" s="116" t="str">
        <x:v>Dr. Stephan Klohe; Alexander Hladek; Dr. Ann-Kathrin Nold</x:v>
      </x:c>
      <x:c r="L4" s="116" t="str">
        <x:v>Neurologie; ENG/NLG; EMG; evozierte Potentiale; EEG; Duplex; Gutachten</x:v>
      </x:c>
      <x:c r="M4" s="135" t="n">
        <x:v>49.00066295</x:v>
      </x:c>
      <x:c r="N4" s="135" t="n">
        <x:v>8.393807129991202</x:v>
      </x:c>
      <x:c r="O4" s="116" t="str">
        <x:v>Hausadresse verifiziert</x:v>
      </x:c>
      <x:c r="P4" s="116" t="str">
        <x:v>https://neuropraxiskarlsruhe.de/</x:v>
      </x:c>
      <x:c r="Q4" s="116" t="str">
        <x:v>beibehalten</x:v>
      </x:c>
      <x:c r="R4" s="116" t="str">
        <x:v>Bereits im Bestand; neue Nowackanlage kommt zusätzlich hinzu.</x:v>
      </x:c>
      <x:c r="S4" s="113"/>
      <x:c r="T4" s="113"/>
      <x:c r="U4" s="113"/>
      <x:c r="V4" s="113"/>
      <x:c r="W4" s="113"/>
      <x:c r="X4" s="113"/>
      <x:c r="Y4" s="113"/>
      <x:c r="Z4" s="113"/>
      <x:c r="AA4" s="113"/>
      <x:c r="AB4" s="113"/>
      <x:c r="AC4" s="113"/>
      <x:c r="AD4" s="113"/>
      <x:c r="AE4" s="113"/>
    </x:row>
    <x:row r="5">
      <x:c r="A5" s="116" t="str">
        <x:v>Neuaufnahme</x:v>
      </x:c>
      <x:c r="B5" s="116" t="str">
        <x:v>A</x:v>
      </x:c>
      <x:c r="C5" s="116" t="str">
        <x:v>Gemeinschaftspraxis Nowackanlage</x:v>
      </x:c>
      <x:c r="D5" s="116" t="str">
        <x:v>Karlsruhe / Nordbaden</x:v>
      </x:c>
      <x:c r="E5" s="116" t="str">
        <x:v>Nowackanlage 15</x:v>
      </x:c>
      <x:c r="F5" s="116" t="str">
        <x:v>76137</x:v>
      </x:c>
      <x:c r="G5" s="116" t="str">
        <x:v>0721 388030</x:v>
      </x:c>
      <x:c r="H5" s="116" t="str">
        <x:v>0721 31978</x:v>
      </x:c>
      <x:c r="I5" s="116" t="str">
        <x:v>praxis@neurologie-psychiatrie-karlsruhe.de</x:v>
      </x:c>
      <x:c r="J5" s="116" t="str">
        <x:v>https://www.neurologie-psychiatrie-karlsruhe.de/</x:v>
      </x:c>
      <x:c r="K5" s="116" t="str">
        <x:v>Hubrich-Durm; Fässler; van der List; Bottlender; Uhrenbacher</x:v>
      </x:c>
      <x:c r="L5" s="116" t="str">
        <x:v>Neurologie; Psychiatrie; Psychotherapie</x:v>
      </x:c>
      <x:c r="M5" s="135" t="n">
        <x:v>49.00290335</x:v>
      </x:c>
      <x:c r="N5" s="135" t="n">
        <x:v>8.404285102037075</x:v>
      </x:c>
      <x:c r="O5" s="116" t="str">
        <x:v>Hausadresse + Koordinate verifiziert</x:v>
      </x:c>
      <x:c r="P5" s="116" t="str">
        <x:v>https://www.neurologie-psychiatrie-karlsruhe.de/impressum/</x:v>
      </x:c>
      <x:c r="Q5" s="116" t="str">
        <x:v>aufnehmen</x:v>
      </x:c>
      <x:c r="R5" s="116" t="str">
        <x:v>Große 5-Ärzte-Gemeinschaftspraxis.</x:v>
      </x:c>
      <x:c r="S5" s="113"/>
      <x:c r="T5" s="113"/>
      <x:c r="U5" s="113"/>
      <x:c r="V5" s="113"/>
      <x:c r="W5" s="113"/>
      <x:c r="X5" s="113"/>
      <x:c r="Y5" s="113"/>
      <x:c r="Z5" s="113"/>
      <x:c r="AA5" s="113"/>
      <x:c r="AB5" s="113"/>
      <x:c r="AC5" s="113"/>
      <x:c r="AD5" s="113"/>
      <x:c r="AE5" s="113"/>
    </x:row>
    <x:row r="6">
      <x:c r="A6" s="116" t="str">
        <x:v>Neuaufnahme</x:v>
      </x:c>
      <x:c r="B6" s="116" t="str">
        <x:v>A</x:v>
      </x:c>
      <x:c r="C6" s="116" t="str">
        <x:v>Nervenheilkunde Weinheim</x:v>
      </x:c>
      <x:c r="D6" s="116" t="str">
        <x:v>Weinheim / Bergstraße</x:v>
      </x:c>
      <x:c r="E6" s="116" t="str">
        <x:v>Hildastraße 14</x:v>
      </x:c>
      <x:c r="F6" s="116" t="str">
        <x:v>69469</x:v>
      </x:c>
      <x:c r="G6" s="116" t="str">
        <x:v>06201 12641</x:v>
      </x:c>
      <x:c r="H6" s="116" t="str">
        <x:v>06201 12646</x:v>
      </x:c>
      <x:c r="I6" s="116" t="str">
        <x:v>info@nervenheilkunde-weinheim.de</x:v>
      </x:c>
      <x:c r="J6" s="116" t="str">
        <x:v>https://www.nervenheilkunde-weinheim.de/</x:v>
      </x:c>
      <x:c r="K6" s="116" t="str">
        <x:v>Dr. Oliver Herrmann; Dr. Jens Th. Marx; Team</x:v>
      </x:c>
      <x:c r="L6" s="116" t="str">
        <x:v>Neurologie; Psychiatrie; Psychotherapie</x:v>
      </x:c>
      <x:c r="M6" s="135" t="n">
        <x:v>49.5508075</x:v>
      </x:c>
      <x:c r="N6" s="135" t="n">
        <x:v>8.667045344005356</x:v>
      </x:c>
      <x:c r="O6" s="116" t="str">
        <x:v>Hausadresse + Koordinate verifiziert</x:v>
      </x:c>
      <x:c r="P6" s="116" t="str">
        <x:v>https://www.nervenheilkunde-weinheim.de/</x:v>
      </x:c>
      <x:c r="Q6" s="116" t="str">
        <x:v>aufnehmen</x:v>
      </x:c>
      <x:c r="R6" s="116" t="str">
        <x:v>Pflichtstandort Rhein-Neckar/Bergstraße.</x:v>
      </x:c>
      <x:c r="S6" s="113"/>
      <x:c r="T6" s="113"/>
      <x:c r="U6" s="113"/>
      <x:c r="V6" s="113"/>
      <x:c r="W6" s="113"/>
      <x:c r="X6" s="113"/>
      <x:c r="Y6" s="113"/>
      <x:c r="Z6" s="113"/>
      <x:c r="AA6" s="113"/>
      <x:c r="AB6" s="113"/>
      <x:c r="AC6" s="113"/>
      <x:c r="AD6" s="113"/>
      <x:c r="AE6" s="113"/>
    </x:row>
    <x:row r="7">
      <x:c r="A7" s="116" t="str">
        <x:v>Neuaufnahme</x:v>
      </x:c>
      <x:c r="B7" s="116" t="str">
        <x:v>A</x:v>
      </x:c>
      <x:c r="C7" s="116" t="str">
        <x:v>Praxis-Zentrum für Neurologie &amp; Psychiatrie</x:v>
      </x:c>
      <x:c r="D7" s="116" t="str">
        <x:v>Worms / Rheinhessen</x:v>
      </x:c>
      <x:c r="E7" s="116" t="str">
        <x:v>Bahnhofstraße 30</x:v>
      </x:c>
      <x:c r="F7" s="116" t="str">
        <x:v>67547</x:v>
      </x:c>
      <x:c r="G7" s="116" t="str">
        <x:v>06241 2027944</x:v>
      </x:c>
      <x:c r="H7" s="116" t="str"/>
      <x:c r="I7" s="116" t="str">
        <x:v>praxis@np-worms.de</x:v>
      </x:c>
      <x:c r="J7" s="116" t="str">
        <x:v>https://www.np-worms.de/</x:v>
      </x:c>
      <x:c r="K7" s="116" t="str">
        <x:v>Dr. Sepideh Jaeschke; Dr. Philipp Gruschka</x:v>
      </x:c>
      <x:c r="L7" s="116" t="str">
        <x:v>Neurologie; Psychiatrie</x:v>
      </x:c>
      <x:c r="M7" s="135" t="n">
        <x:v>49.63443975</x:v>
      </x:c>
      <x:c r="N7" s="135" t="n">
        <x:v>8.357414554032282</x:v>
      </x:c>
      <x:c r="O7" s="116" t="str">
        <x:v>Hausadresse + Koordinate verifiziert</x:v>
      </x:c>
      <x:c r="P7" s="116" t="str">
        <x:v>https://www.np-worms.de/</x:v>
      </x:c>
      <x:c r="Q7" s="116" t="str">
        <x:v>aufnehmen</x:v>
      </x:c>
      <x:c r="R7" s="116" t="str">
        <x:v>Eigenständige ambulante Praxis zusätzlich zum Klinikum/MVZ.</x:v>
      </x:c>
      <x:c r="S7" s="113"/>
      <x:c r="T7" s="113"/>
      <x:c r="U7" s="113"/>
      <x:c r="V7" s="113"/>
      <x:c r="W7" s="113"/>
      <x:c r="X7" s="113"/>
      <x:c r="Y7" s="113"/>
      <x:c r="Z7" s="113"/>
      <x:c r="AA7" s="113"/>
      <x:c r="AB7" s="113"/>
      <x:c r="AC7" s="113"/>
      <x:c r="AD7" s="113"/>
      <x:c r="AE7" s="113"/>
    </x:row>
    <x:row r="8">
      <x:c r="A8" s="116" t="str">
        <x:v>Bestand aktualisieren</x:v>
      </x:c>
      <x:c r="B8" s="116" t="str">
        <x:v>A</x:v>
      </x:c>
      <x:c r="C8" s="116" t="str">
        <x:v>NervenDocks – Praxis für Neurologie &amp; Psychiatrie</x:v>
      </x:c>
      <x:c r="D8" s="116" t="str">
        <x:v>Buchen / Odenwald</x:v>
      </x:c>
      <x:c r="E8" s="116" t="str">
        <x:v>Dr.-Konrad-Adenauer-Straße 37c</x:v>
      </x:c>
      <x:c r="F8" s="116" t="str">
        <x:v>74722</x:v>
      </x:c>
      <x:c r="G8" s="116" t="str">
        <x:v>06281 56446-0</x:v>
      </x:c>
      <x:c r="H8" s="116" t="str">
        <x:v>06281 56446-20</x:v>
      </x:c>
      <x:c r="I8" s="116" t="str">
        <x:v>postfach@nervendocks.de</x:v>
      </x:c>
      <x:c r="J8" s="116" t="str">
        <x:v>https://www.nervendocks.de/</x:v>
      </x:c>
      <x:c r="K8" s="116" t="str">
        <x:v>Dr. Marco Pohl; Dr. Viktoria Schreiber; Dr. Hans Weidmann</x:v>
      </x:c>
      <x:c r="L8" s="116" t="str">
        <x:v>Neurologie; Psychiatrie; kurzfristige Neurologie-Termine</x:v>
      </x:c>
      <x:c r="M8" s="135" t="n">
        <x:v>49.5239117</x:v>
      </x:c>
      <x:c r="N8" s="135" t="n">
        <x:v>9.3101384</x:v>
      </x:c>
      <x:c r="O8" s="116" t="str">
        <x:v>adressgenau verifiziert</x:v>
      </x:c>
      <x:c r="P8" s="116" t="str">
        <x:v>https://www.nervendocks.de/</x:v>
      </x:c>
      <x:c r="Q8" s="116" t="str">
        <x:v>taggen/priorisieren</x:v>
      </x:c>
      <x:c r="R8" s="116" t="str">
        <x:v>Odenwald-Lücke bereits durch Bestand abgedeckt.</x:v>
      </x:c>
      <x:c r="S8" s="113"/>
      <x:c r="T8" s="113"/>
      <x:c r="U8" s="113"/>
      <x:c r="V8" s="113"/>
      <x:c r="W8" s="113"/>
      <x:c r="X8" s="113"/>
      <x:c r="Y8" s="113"/>
      <x:c r="Z8" s="113"/>
      <x:c r="AA8" s="113"/>
      <x:c r="AB8" s="113"/>
      <x:c r="AC8" s="113"/>
      <x:c r="AD8" s="113"/>
      <x:c r="AE8" s="113"/>
    </x:row>
    <x:row r="9">
      <x:c r="A9" s="116" t="str">
        <x:v>Bestand aktualisieren</x:v>
      </x:c>
      <x:c r="B9" s="116" t="str">
        <x:v>A</x:v>
      </x:c>
      <x:c r="C9" s="116" t="str">
        <x:v>Neuropraxis Wertheim</x:v>
      </x:c>
      <x:c r="D9" s="116" t="str">
        <x:v>Wertheim / Main-Tauber</x:v>
      </x:c>
      <x:c r="E9" s="116" t="str">
        <x:v>Bahnhofstraße 33</x:v>
      </x:c>
      <x:c r="F9" s="116" t="str">
        <x:v>97877</x:v>
      </x:c>
      <x:c r="G9" s="116" t="str">
        <x:v>09342 9157040</x:v>
      </x:c>
      <x:c r="H9" s="116" t="str">
        <x:v>09342 9157042</x:v>
      </x:c>
      <x:c r="I9" s="116" t="str">
        <x:v>info@neuropraxis-wertheim.de</x:v>
      </x:c>
      <x:c r="J9" s="116" t="str">
        <x:v>https://www.neuropraxis-wertheim.de/</x:v>
      </x:c>
      <x:c r="K9" s="116" t="str">
        <x:v>Dr. Ioana Trifan; Dr. Laura Matasaru</x:v>
      </x:c>
      <x:c r="L9" s="116" t="str">
        <x:v>Neurologie; Psychiatrie; NLG; EEG; Gutachten</x:v>
      </x:c>
      <x:c r="M9" s="135" t="n">
        <x:v>49.7659492</x:v>
      </x:c>
      <x:c r="N9" s="135" t="n">
        <x:v>9.5095414</x:v>
      </x:c>
      <x:c r="O9" s="116" t="str">
        <x:v>adressgenau verifiziert</x:v>
      </x:c>
      <x:c r="P9" s="116" t="str">
        <x:v>https://www.neuropraxis-wertheim.de/kontakt</x:v>
      </x:c>
      <x:c r="Q9" s="116" t="str">
        <x:v>Kategorie korrigieren</x:v>
      </x:c>
      <x:c r="R9" s="116" t="str">
        <x:v>Verbindlicher Aufnahmebestand trotz kleinerer Teamgröße.</x:v>
      </x:c>
      <x:c r="S9" s="113"/>
      <x:c r="T9" s="113"/>
      <x:c r="U9" s="113"/>
      <x:c r="V9" s="113"/>
      <x:c r="W9" s="113"/>
      <x:c r="X9" s="113"/>
      <x:c r="Y9" s="113"/>
      <x:c r="Z9" s="113"/>
      <x:c r="AA9" s="113"/>
      <x:c r="AB9" s="113"/>
      <x:c r="AC9" s="113"/>
      <x:c r="AD9" s="113"/>
      <x:c r="AE9" s="113"/>
    </x:row>
    <x:row r="10">
      <x:c r="A10" s="116" t="str">
        <x:v>Neuaufnahme</x:v>
      </x:c>
      <x:c r="B10" s="116" t="str">
        <x:v>B</x:v>
      </x:c>
      <x:c r="C10" s="116" t="str">
        <x:v>Praxis Dr. Jürgen Lang</x:v>
      </x:c>
      <x:c r="D10" s="116" t="str">
        <x:v>Tauberbischofsheim / Taubertal</x:v>
      </x:c>
      <x:c r="E10" s="116" t="str">
        <x:v>Würzburger Straße 23</x:v>
      </x:c>
      <x:c r="F10" s="116" t="str">
        <x:v>97941</x:v>
      </x:c>
      <x:c r="G10" s="116" t="str">
        <x:v>09341 12776</x:v>
      </x:c>
      <x:c r="H10" s="116" t="str">
        <x:v>09341 896507</x:v>
      </x:c>
      <x:c r="I10" s="116" t="str">
        <x:v>drlangtbb@t-online.de</x:v>
      </x:c>
      <x:c r="J10" s="116" t="str">
        <x:v>https://www.dr-juergen-lang.de/</x:v>
      </x:c>
      <x:c r="K10" s="116" t="str">
        <x:v>Dr. Jürgen Lang / Team</x:v>
      </x:c>
      <x:c r="L10" s="116" t="str">
        <x:v>Neurologie; Psychiatrie</x:v>
      </x:c>
      <x:c r="M10" s="135" t="n">
        <x:v>49.624317</x:v>
      </x:c>
      <x:c r="N10" s="135" t="n">
        <x:v>9.673737626125096</x:v>
      </x:c>
      <x:c r="O10" s="116" t="str">
        <x:v>adressbezogen verifiziert</x:v>
      </x:c>
      <x:c r="P10" s="116" t="str">
        <x:v>https://www.dr-juergen-lang.de/</x:v>
      </x:c>
      <x:c r="Q10" s="116" t="str">
        <x:v>aufnehmen</x:v>
      </x:c>
      <x:c r="R10" s="116" t="str">
        <x:v>Gezielte Lückenschließung Taubertal.</x:v>
      </x:c>
      <x:c r="S10" s="113"/>
      <x:c r="T10" s="113"/>
      <x:c r="U10" s="113"/>
      <x:c r="V10" s="113"/>
      <x:c r="W10" s="113"/>
      <x:c r="X10" s="113"/>
      <x:c r="Y10" s="113"/>
      <x:c r="Z10" s="113"/>
      <x:c r="AA10" s="113"/>
      <x:c r="AB10" s="113"/>
      <x:c r="AC10" s="113"/>
      <x:c r="AD10" s="113"/>
      <x:c r="AE10" s="113"/>
    </x:row>
    <x:row r="11">
      <x:c r="A11" s="116" t="str">
        <x:v>Neuaufnahme</x:v>
      </x:c>
      <x:c r="B11" s="116" t="str">
        <x:v>A</x:v>
      </x:c>
      <x:c r="C11" s="116" t="str">
        <x:v>MVZ für Neurologie und Psychiatrie Würzburg</x:v>
      </x:c>
      <x:c r="D11" s="116" t="str">
        <x:v>Würzburg / Unterfranken</x:v>
      </x:c>
      <x:c r="E11" s="116" t="str">
        <x:v>Schweinfurter Straße 1</x:v>
      </x:c>
      <x:c r="F11" s="116" t="str">
        <x:v>97080</x:v>
      </x:c>
      <x:c r="G11" s="116" t="str">
        <x:v>0931 7809441</x:v>
      </x:c>
      <x:c r="H11" s="116" t="str"/>
      <x:c r="I11" s="116" t="str">
        <x:v>kontakt@mvz-neuro.de</x:v>
      </x:c>
      <x:c r="J11" s="116" t="str">
        <x:v>https://www.mvz-neuro.de/</x:v>
      </x:c>
      <x:c r="K11" s="116" t="str">
        <x:v>Dr. Hartmut Stieber; Andreas Bepperling; Team</x:v>
      </x:c>
      <x:c r="L11" s="116" t="str">
        <x:v>Neurologie; Psychiatrie</x:v>
      </x:c>
      <x:c r="M11" s="135" t="n">
        <x:v>49.79906</x:v>
      </x:c>
      <x:c r="N11" s="135" t="n">
        <x:v>9.94476</x:v>
      </x:c>
      <x:c r="O11" s="116" t="str">
        <x:v>Hausadresse + Koordinate verifiziert</x:v>
      </x:c>
      <x:c r="P11" s="116" t="str">
        <x:v>https://www.mvz-neuro.de/</x:v>
      </x:c>
      <x:c r="Q11" s="116" t="str">
        <x:v>aufnehmen</x:v>
      </x:c>
      <x:c r="R11" s="116" t="str">
        <x:v>Fachlich Neurologie/Psychiatrie; MVZ nicht als Hauptkategorie.</x:v>
      </x:c>
      <x:c r="S11" s="113"/>
      <x:c r="T11" s="113"/>
      <x:c r="U11" s="113"/>
      <x:c r="V11" s="113"/>
      <x:c r="W11" s="113"/>
      <x:c r="X11" s="113"/>
      <x:c r="Y11" s="113"/>
      <x:c r="Z11" s="113"/>
      <x:c r="AA11" s="113"/>
      <x:c r="AB11" s="113"/>
      <x:c r="AC11" s="113"/>
      <x:c r="AD11" s="113"/>
      <x:c r="AE11" s="113"/>
    </x:row>
    <x:row r="12">
      <x:c r="A12" s="116" t="str">
        <x:v>Neuaufnahme</x:v>
      </x:c>
      <x:c r="B12" s="116" t="str">
        <x:v>A</x:v>
      </x:c>
      <x:c r="C12" s="116" t="str">
        <x:v>meditz Würzburg</x:v>
      </x:c>
      <x:c r="D12" s="116" t="str">
        <x:v>Würzburg / Unterfranken</x:v>
      </x:c>
      <x:c r="E12" s="116" t="str">
        <x:v>Frankfurter Straße 15a</x:v>
      </x:c>
      <x:c r="F12" s="116" t="str">
        <x:v>97082</x:v>
      </x:c>
      <x:c r="G12" s="116" t="str">
        <x:v>0931 322966</x:v>
      </x:c>
      <x:c r="H12" s="116" t="str">
        <x:v>0931 3229688</x:v>
      </x:c>
      <x:c r="I12" s="116" t="str">
        <x:v>praxis@meditz.org</x:v>
      </x:c>
      <x:c r="J12" s="116" t="str">
        <x:v>https://www.meditz-wuerzburg.de/</x:v>
      </x:c>
      <x:c r="K12" s="116" t="str">
        <x:v>Hauptanmeldung / Fachbereich</x:v>
      </x:c>
      <x:c r="L12" s="116" t="str">
        <x:v>Neurologie; Psychiatrie; interdisziplinär</x:v>
      </x:c>
      <x:c r="M12" s="135" t="n">
        <x:v>49.78618945</x:v>
      </x:c>
      <x:c r="N12" s="135" t="n">
        <x:v>9.83314645</x:v>
      </x:c>
      <x:c r="O12" s="116" t="str">
        <x:v>Hausadresse + Koordinate verifiziert</x:v>
      </x:c>
      <x:c r="P12" s="116" t="str">
        <x:v>https://www.meditz-wuerzburg.de/de/kontakt</x:v>
      </x:c>
      <x:c r="Q12" s="116" t="str">
        <x:v>aufnehmen</x:v>
      </x:c>
      <x:c r="R12" s="116" t="str">
        <x:v>Primär fachgebietsbasiert anzeigen.</x:v>
      </x:c>
      <x:c r="S12" s="113"/>
      <x:c r="T12" s="113"/>
      <x:c r="U12" s="113"/>
      <x:c r="V12" s="113"/>
      <x:c r="W12" s="113"/>
      <x:c r="X12" s="113"/>
      <x:c r="Y12" s="113"/>
      <x:c r="Z12" s="113"/>
      <x:c r="AA12" s="113"/>
      <x:c r="AB12" s="113"/>
      <x:c r="AC12" s="113"/>
      <x:c r="AD12" s="113"/>
      <x:c r="AE12" s="113"/>
    </x:row>
    <x:row r="13">
      <x:c r="A13" s="116" t="str">
        <x:v>Neuaufnahme</x:v>
      </x:c>
      <x:c r="B13" s="116" t="str">
        <x:v>B</x:v>
      </x:c>
      <x:c r="C13" s="116" t="str">
        <x:v>Nervenärztliche Gemeinschaftspraxis Schweinfurt</x:v>
      </x:c>
      <x:c r="D13" s="116" t="str">
        <x:v>Schweinfurt / Unterfranken</x:v>
      </x:c>
      <x:c r="E13" s="116" t="str">
        <x:v>Obere Straße 9</x:v>
      </x:c>
      <x:c r="F13" s="116" t="str">
        <x:v>97421</x:v>
      </x:c>
      <x:c r="G13" s="116" t="str">
        <x:v>09721 18281</x:v>
      </x:c>
      <x:c r="H13" s="116" t="str">
        <x:v>09721 18288</x:v>
      </x:c>
      <x:c r="I13" s="116" t="str">
        <x:v>praxis@nerven-sw.de</x:v>
      </x:c>
      <x:c r="J13" s="116" t="str">
        <x:v>https://nervenaerzte-schweinfurt.de/</x:v>
      </x:c>
      <x:c r="K13" s="116" t="str">
        <x:v>Dr. Henning Schuh; Dr. Christine Meesmann</x:v>
      </x:c>
      <x:c r="L13" s="116" t="str">
        <x:v>Neurologie; Psychiatrie; Psychotherapie</x:v>
      </x:c>
      <x:c r="M13" s="135" t="n">
        <x:v>50.0465438</x:v>
      </x:c>
      <x:c r="N13" s="135" t="n">
        <x:v>10.2336267</x:v>
      </x:c>
      <x:c r="O13" s="116" t="str">
        <x:v>Hausadresse + Koordinate verifiziert</x:v>
      </x:c>
      <x:c r="P13" s="116" t="str">
        <x:v>https://nervenaerzte-schweinfurt.de/</x:v>
      </x:c>
      <x:c r="Q13" s="116" t="str">
        <x:v>aufnehmen</x:v>
      </x:c>
      <x:c r="R13" s="116" t="str">
        <x:v>Unterfranken-Ergänzung außerhalb Würzburg.</x:v>
      </x:c>
      <x:c r="S13" s="113"/>
      <x:c r="T13" s="113"/>
      <x:c r="U13" s="113"/>
      <x:c r="V13" s="113"/>
      <x:c r="W13" s="113"/>
      <x:c r="X13" s="113"/>
      <x:c r="Y13" s="113"/>
      <x:c r="Z13" s="113"/>
      <x:c r="AA13" s="113"/>
      <x:c r="AB13" s="113"/>
      <x:c r="AC13" s="113"/>
      <x:c r="AD13" s="113"/>
      <x:c r="AE13" s="113"/>
    </x:row>
    <x:row r="14">
      <x:c r="A14" s="116" t="str">
        <x:v>Bestand</x:v>
      </x:c>
      <x:c r="B14" s="116" t="str">
        <x:v>B</x:v>
      </x:c>
      <x:c r="C14" s="116" t="str">
        <x:v>Neurologische Gemeinschaftspraxis Darmstadt</x:v>
      </x:c>
      <x:c r="D14" s="116" t="str">
        <x:v>Darmstadt / Rhein-Main</x:v>
      </x:c>
      <x:c r="E14" s="116" t="str">
        <x:v>Frankfurter Straße 3</x:v>
      </x:c>
      <x:c r="F14" s="116" t="str">
        <x:v>64293</x:v>
      </x:c>
      <x:c r="G14" s="116" t="str">
        <x:v>06151 26600</x:v>
      </x:c>
      <x:c r="H14" s="116" t="str"/>
      <x:c r="I14" s="116" t="str"/>
      <x:c r="J14" s="116" t="str">
        <x:v>https://zns-darmstadt.de/</x:v>
      </x:c>
      <x:c r="K14" s="116" t="str"/>
      <x:c r="L14" s="116" t="str">
        <x:v>Neurologie; EMG; NLG; EEG; evozierte Potentiale; Duplex; Testpsychologie</x:v>
      </x:c>
      <x:c r="M14" s="135" t="n">
        <x:v>49.8764</x:v>
      </x:c>
      <x:c r="N14" s="135" t="n">
        <x:v>8.65074</x:v>
      </x:c>
      <x:c r="O14" s="116" t="str">
        <x:v>Gebäude adressgenau verifiziert</x:v>
      </x:c>
      <x:c r="P14" s="116" t="str">
        <x:v>https://zns-darmstadt.de/</x:v>
      </x:c>
      <x:c r="Q14" s="116" t="str">
        <x:v>beibehalten</x:v>
      </x:c>
      <x:c r="R14" s="116" t="str">
        <x:v>Bestandsabdeckung Rhein-Main.</x:v>
      </x:c>
      <x:c r="S14" s="113"/>
      <x:c r="T14" s="113"/>
      <x:c r="U14" s="113"/>
      <x:c r="V14" s="113"/>
      <x:c r="W14" s="113"/>
      <x:c r="X14" s="113"/>
      <x:c r="Y14" s="113"/>
      <x:c r="Z14" s="113"/>
      <x:c r="AA14" s="113"/>
      <x:c r="AB14" s="113"/>
      <x:c r="AC14" s="113"/>
      <x:c r="AD14" s="113"/>
      <x:c r="AE14" s="113"/>
    </x:row>
    <x:row r="15">
      <x:c r="A15" s="116" t="str">
        <x:v>Bestand</x:v>
      </x:c>
      <x:c r="B15" s="116" t="str">
        <x:v>B</x:v>
      </x:c>
      <x:c r="C15" s="116" t="str">
        <x:v>MVZ Klinikum Aschaffenburg-Alzenau – Neurologie</x:v>
      </x:c>
      <x:c r="D15" s="116" t="str">
        <x:v>Aschaffenburg / Bayerischer Untermain</x:v>
      </x:c>
      <x:c r="E15" s="116" t="str">
        <x:v>Am Hasenkopf 1</x:v>
      </x:c>
      <x:c r="F15" s="116" t="str">
        <x:v>63739</x:v>
      </x:c>
      <x:c r="G15" s="116" t="str">
        <x:v>06021 32-3255</x:v>
      </x:c>
      <x:c r="H15" s="116" t="str"/>
      <x:c r="I15" s="116" t="str">
        <x:v>neurologie@mvz-klinikum-ab.de</x:v>
      </x:c>
      <x:c r="J15" s="116" t="str">
        <x:v>https://mvz-klinikum-ab.de/</x:v>
      </x:c>
      <x:c r="K15" s="116" t="str"/>
      <x:c r="L15" s="116" t="str">
        <x:v>Neurologie; NLG; EMG; SSEP; MEP; EEG; Ultraschall</x:v>
      </x:c>
      <x:c r="M15" s="135" t="n">
        <x:v>49.9777121</x:v>
      </x:c>
      <x:c r="N15" s="135" t="n">
        <x:v>9.1875784</x:v>
      </x:c>
      <x:c r="O15" s="116" t="str">
        <x:v>adressgenau verifiziert</x:v>
      </x:c>
      <x:c r="P15" s="116" t="str">
        <x:v>https://mvz-klinikum-ab.de/</x:v>
      </x:c>
      <x:c r="Q15" s="116" t="str">
        <x:v>beibehalten</x:v>
      </x:c>
      <x:c r="R15" s="116" t="str">
        <x:v>Bestandsabdeckung Bayerischer Untermain.</x:v>
      </x:c>
      <x:c r="S15" s="113"/>
      <x:c r="T15" s="113"/>
      <x:c r="U15" s="113"/>
      <x:c r="V15" s="113"/>
      <x:c r="W15" s="113"/>
      <x:c r="X15" s="113"/>
      <x:c r="Y15" s="113"/>
      <x:c r="Z15" s="113"/>
      <x:c r="AA15" s="113"/>
      <x:c r="AB15" s="113"/>
      <x:c r="AC15" s="113"/>
      <x:c r="AD15" s="113"/>
      <x:c r="AE15" s="113"/>
    </x:row>
    <x:row r="16">
      <x:c r="A16" s="113"/>
      <x:c r="B16" s="113"/>
      <x:c r="C16" s="113"/>
      <x:c r="D16" s="113"/>
      <x:c r="E16" s="113"/>
      <x:c r="F16" s="113"/>
      <x:c r="G16" s="113"/>
      <x:c r="H16" s="113"/>
      <x:c r="I16" s="113"/>
      <x:c r="J16" s="113"/>
      <x:c r="K16" s="113"/>
      <x:c r="L16" s="113"/>
      <x:c r="M16" s="113"/>
      <x:c r="N16" s="113"/>
      <x:c r="O16" s="113"/>
      <x:c r="P16" s="113"/>
      <x:c r="Q16" s="113"/>
      <x:c r="R16" s="113"/>
      <x:c r="S16" s="113"/>
      <x:c r="T16" s="113"/>
      <x:c r="U16" s="113"/>
      <x:c r="V16" s="113"/>
      <x:c r="W16" s="113"/>
      <x:c r="X16" s="113"/>
      <x:c r="Y16" s="113"/>
      <x:c r="Z16" s="113"/>
      <x:c r="AA16" s="113"/>
      <x:c r="AB16" s="113"/>
      <x:c r="AC16" s="113"/>
      <x:c r="AD16" s="113"/>
      <x:c r="AE16" s="113"/>
    </x:row>
    <x:row r="17">
      <x:c r="A17" s="113"/>
      <x:c r="B17" s="113"/>
      <x:c r="C17" s="113"/>
      <x:c r="D17" s="113"/>
      <x:c r="E17" s="113"/>
      <x:c r="F17" s="113"/>
      <x:c r="G17" s="113"/>
      <x:c r="H17" s="113"/>
      <x:c r="I17" s="113"/>
      <x:c r="J17" s="113"/>
      <x:c r="K17" s="113"/>
      <x:c r="L17" s="113"/>
      <x:c r="M17" s="113"/>
      <x:c r="N17" s="113"/>
      <x:c r="O17" s="113"/>
      <x:c r="P17" s="113"/>
      <x:c r="Q17" s="113"/>
      <x:c r="R17" s="113"/>
      <x:c r="S17" s="113"/>
      <x:c r="T17" s="113"/>
      <x:c r="U17" s="113"/>
      <x:c r="V17" s="113"/>
      <x:c r="W17" s="113"/>
      <x:c r="X17" s="113"/>
      <x:c r="Y17" s="113"/>
      <x:c r="Z17" s="113"/>
      <x:c r="AA17" s="113"/>
      <x:c r="AB17" s="113"/>
      <x:c r="AC17" s="113"/>
      <x:c r="AD17" s="113"/>
      <x:c r="AE17" s="113"/>
    </x:row>
    <x:row r="18">
      <x:c r="A18" s="113"/>
      <x:c r="B18" s="113"/>
      <x:c r="C18" s="113"/>
      <x:c r="D18" s="113"/>
      <x:c r="E18" s="113"/>
      <x:c r="F18" s="113"/>
      <x:c r="G18" s="113"/>
      <x:c r="H18" s="113"/>
      <x:c r="I18" s="113"/>
      <x:c r="J18" s="113"/>
      <x:c r="K18" s="113"/>
      <x:c r="L18" s="113"/>
      <x:c r="M18" s="113"/>
      <x:c r="N18" s="113"/>
      <x:c r="O18" s="113"/>
      <x:c r="P18" s="113"/>
      <x:c r="Q18" s="113"/>
      <x:c r="R18" s="113"/>
      <x:c r="S18" s="113"/>
      <x:c r="T18" s="113"/>
      <x:c r="U18" s="113"/>
      <x:c r="V18" s="113"/>
      <x:c r="W18" s="113"/>
      <x:c r="X18" s="113"/>
      <x:c r="Y18" s="113"/>
      <x:c r="Z18" s="113"/>
      <x:c r="AA18" s="113"/>
      <x:c r="AB18" s="113"/>
      <x:c r="AC18" s="113"/>
      <x:c r="AD18" s="113"/>
      <x:c r="AE18" s="113"/>
    </x:row>
    <x:row r="19">
      <x:c r="A19" s="113"/>
      <x:c r="B19" s="113"/>
      <x:c r="C19" s="113"/>
      <x:c r="D19" s="113"/>
      <x:c r="E19" s="113"/>
      <x:c r="F19" s="113"/>
      <x:c r="G19" s="113"/>
      <x:c r="H19" s="113"/>
      <x:c r="I19" s="113"/>
      <x:c r="J19" s="113"/>
      <x:c r="K19" s="113"/>
      <x:c r="L19" s="113"/>
      <x:c r="M19" s="113"/>
      <x:c r="N19" s="113"/>
      <x:c r="O19" s="113"/>
      <x:c r="P19" s="113"/>
      <x:c r="Q19" s="113"/>
      <x:c r="R19" s="113"/>
      <x:c r="S19" s="113"/>
      <x:c r="T19" s="113"/>
      <x:c r="U19" s="113"/>
      <x:c r="V19" s="113"/>
      <x:c r="W19" s="113"/>
      <x:c r="X19" s="113"/>
      <x:c r="Y19" s="113"/>
      <x:c r="Z19" s="113"/>
      <x:c r="AA19" s="113"/>
      <x:c r="AB19" s="113"/>
      <x:c r="AC19" s="113"/>
      <x:c r="AD19" s="113"/>
      <x:c r="AE19" s="113"/>
    </x:row>
    <x:row r="20">
      <x:c r="A20" s="113"/>
      <x:c r="B20" s="113"/>
      <x:c r="C20" s="113"/>
      <x:c r="D20" s="113"/>
      <x:c r="E20" s="113"/>
      <x:c r="F20" s="113"/>
      <x:c r="G20" s="113"/>
      <x:c r="H20" s="113"/>
      <x:c r="I20" s="113"/>
      <x:c r="J20" s="113"/>
      <x:c r="K20" s="113"/>
      <x:c r="L20" s="113"/>
      <x:c r="M20" s="113"/>
      <x:c r="N20" s="113"/>
      <x:c r="O20" s="113"/>
      <x:c r="P20" s="113"/>
      <x:c r="Q20" s="113"/>
      <x:c r="R20" s="113"/>
      <x:c r="S20" s="113"/>
      <x:c r="T20" s="113"/>
      <x:c r="U20" s="113"/>
      <x:c r="V20" s="113"/>
      <x:c r="W20" s="113"/>
      <x:c r="X20" s="113"/>
      <x:c r="Y20" s="113"/>
      <x:c r="Z20" s="113"/>
      <x:c r="AA20" s="113"/>
      <x:c r="AB20" s="113"/>
      <x:c r="AC20" s="113"/>
      <x:c r="AD20" s="113"/>
      <x:c r="AE20" s="113"/>
    </x:row>
    <x:row r="21">
      <x:c r="A21" s="113"/>
      <x:c r="B21" s="113"/>
      <x:c r="C21" s="113"/>
      <x:c r="D21" s="113"/>
      <x:c r="E21" s="113"/>
      <x:c r="F21" s="113"/>
      <x:c r="G21" s="113"/>
      <x:c r="H21" s="113"/>
      <x:c r="I21" s="113"/>
      <x:c r="J21" s="113"/>
      <x:c r="K21" s="113"/>
      <x:c r="L21" s="113"/>
      <x:c r="M21" s="113"/>
      <x:c r="N21" s="113"/>
      <x:c r="O21" s="113"/>
      <x:c r="P21" s="113"/>
      <x:c r="Q21" s="113"/>
      <x:c r="R21" s="113"/>
      <x:c r="S21" s="113"/>
      <x:c r="T21" s="113"/>
      <x:c r="U21" s="113"/>
      <x:c r="V21" s="113"/>
      <x:c r="W21" s="113"/>
      <x:c r="X21" s="113"/>
      <x:c r="Y21" s="113"/>
      <x:c r="Z21" s="113"/>
      <x:c r="AA21" s="113"/>
      <x:c r="AB21" s="113"/>
      <x:c r="AC21" s="113"/>
      <x:c r="AD21" s="113"/>
      <x:c r="AE21" s="113"/>
    </x:row>
    <x:row r="22">
      <x:c r="A22" s="113"/>
      <x:c r="B22" s="113"/>
      <x:c r="C22" s="113"/>
      <x:c r="D22" s="113"/>
      <x:c r="E22" s="113"/>
      <x:c r="F22" s="113"/>
      <x:c r="G22" s="113"/>
      <x:c r="H22" s="113"/>
      <x:c r="I22" s="113"/>
      <x:c r="J22" s="113"/>
      <x:c r="K22" s="113"/>
      <x:c r="L22" s="113"/>
      <x:c r="M22" s="113"/>
      <x:c r="N22" s="113"/>
      <x:c r="O22" s="113"/>
      <x:c r="P22" s="113"/>
      <x:c r="Q22" s="113"/>
      <x:c r="R22" s="113"/>
      <x:c r="S22" s="113"/>
      <x:c r="T22" s="113"/>
      <x:c r="U22" s="113"/>
      <x:c r="V22" s="113"/>
      <x:c r="W22" s="113"/>
      <x:c r="X22" s="113"/>
      <x:c r="Y22" s="113"/>
      <x:c r="Z22" s="113"/>
      <x:c r="AA22" s="113"/>
      <x:c r="AB22" s="113"/>
      <x:c r="AC22" s="113"/>
      <x:c r="AD22" s="113"/>
      <x:c r="AE22" s="113"/>
    </x:row>
    <x:row r="23">
      <x:c r="A23" s="113"/>
      <x:c r="B23" s="113"/>
      <x:c r="C23" s="113"/>
      <x:c r="D23" s="113"/>
      <x:c r="E23" s="113"/>
      <x:c r="F23" s="113"/>
      <x:c r="G23" s="113"/>
      <x:c r="H23" s="113"/>
      <x:c r="I23" s="113"/>
      <x:c r="J23" s="113"/>
      <x:c r="K23" s="113"/>
      <x:c r="L23" s="113"/>
      <x:c r="M23" s="113"/>
      <x:c r="N23" s="113"/>
      <x:c r="O23" s="113"/>
      <x:c r="P23" s="113"/>
      <x:c r="Q23" s="113"/>
      <x:c r="R23" s="113"/>
      <x:c r="S23" s="113"/>
      <x:c r="T23" s="113"/>
      <x:c r="U23" s="113"/>
      <x:c r="V23" s="113"/>
      <x:c r="W23" s="113"/>
      <x:c r="X23" s="113"/>
      <x:c r="Y23" s="113"/>
      <x:c r="Z23" s="113"/>
      <x:c r="AA23" s="113"/>
      <x:c r="AB23" s="113"/>
      <x:c r="AC23" s="113"/>
      <x:c r="AD23" s="113"/>
      <x:c r="AE23" s="113"/>
    </x:row>
    <x:row r="24">
      <x:c r="A24" s="113"/>
      <x:c r="B24" s="113"/>
      <x:c r="C24" s="113"/>
      <x:c r="D24" s="113"/>
      <x:c r="E24" s="113"/>
      <x:c r="F24" s="113"/>
      <x:c r="G24" s="113"/>
      <x:c r="H24" s="113"/>
      <x:c r="I24" s="113"/>
      <x:c r="J24" s="113"/>
      <x:c r="K24" s="113"/>
      <x:c r="L24" s="113"/>
      <x:c r="M24" s="113"/>
      <x:c r="N24" s="113"/>
      <x:c r="O24" s="113"/>
      <x:c r="P24" s="113"/>
      <x:c r="Q24" s="113"/>
      <x:c r="R24" s="113"/>
      <x:c r="S24" s="113"/>
      <x:c r="T24" s="113"/>
      <x:c r="U24" s="113"/>
      <x:c r="V24" s="113"/>
      <x:c r="W24" s="113"/>
      <x:c r="X24" s="113"/>
      <x:c r="Y24" s="113"/>
      <x:c r="Z24" s="113"/>
      <x:c r="AA24" s="113"/>
      <x:c r="AB24" s="113"/>
      <x:c r="AC24" s="113"/>
      <x:c r="AD24" s="113"/>
      <x:c r="AE24" s="113"/>
    </x:row>
    <x:row r="25">
      <x:c r="A25" s="113"/>
      <x:c r="B25" s="113"/>
      <x:c r="C25" s="113"/>
      <x:c r="D25" s="113"/>
      <x:c r="E25" s="113"/>
      <x:c r="F25" s="113"/>
      <x:c r="G25" s="113"/>
      <x:c r="H25" s="113"/>
      <x:c r="I25" s="113"/>
      <x:c r="J25" s="113"/>
      <x:c r="K25" s="113"/>
      <x:c r="L25" s="113"/>
      <x:c r="M25" s="113"/>
      <x:c r="N25" s="113"/>
      <x:c r="O25" s="113"/>
      <x:c r="P25" s="113"/>
      <x:c r="Q25" s="113"/>
      <x:c r="R25" s="113"/>
      <x:c r="S25" s="113"/>
      <x:c r="T25" s="113"/>
      <x:c r="U25" s="113"/>
      <x:c r="V25" s="113"/>
      <x:c r="W25" s="113"/>
      <x:c r="X25" s="113"/>
      <x:c r="Y25" s="113"/>
      <x:c r="Z25" s="113"/>
      <x:c r="AA25" s="113"/>
      <x:c r="AB25" s="113"/>
      <x:c r="AC25" s="113"/>
      <x:c r="AD25" s="113"/>
      <x:c r="AE25" s="113"/>
    </x:row>
    <x:row r="26">
      <x:c r="A26" s="113"/>
      <x:c r="B26" s="113"/>
      <x:c r="C26" s="113"/>
      <x:c r="D26" s="113"/>
      <x:c r="E26" s="113"/>
      <x:c r="F26" s="113"/>
      <x:c r="G26" s="113"/>
      <x:c r="H26" s="113"/>
      <x:c r="I26" s="113"/>
      <x:c r="J26" s="113"/>
      <x:c r="K26" s="113"/>
      <x:c r="L26" s="113"/>
      <x:c r="M26" s="113"/>
      <x:c r="N26" s="113"/>
      <x:c r="O26" s="113"/>
      <x:c r="P26" s="113"/>
      <x:c r="Q26" s="113"/>
      <x:c r="R26" s="113"/>
      <x:c r="S26" s="113"/>
      <x:c r="T26" s="113"/>
      <x:c r="U26" s="113"/>
      <x:c r="V26" s="113"/>
      <x:c r="W26" s="113"/>
      <x:c r="X26" s="113"/>
      <x:c r="Y26" s="113"/>
      <x:c r="Z26" s="113"/>
      <x:c r="AA26" s="113"/>
      <x:c r="AB26" s="113"/>
      <x:c r="AC26" s="113"/>
      <x:c r="AD26" s="113"/>
      <x:c r="AE26" s="113"/>
    </x:row>
    <x:row r="27">
      <x:c r="A27" s="113"/>
      <x:c r="B27" s="113"/>
      <x:c r="C27" s="113"/>
      <x:c r="D27" s="113"/>
      <x:c r="E27" s="113"/>
      <x:c r="F27" s="113"/>
      <x:c r="G27" s="113"/>
      <x:c r="H27" s="113"/>
      <x:c r="I27" s="113"/>
      <x:c r="J27" s="113"/>
      <x:c r="K27" s="113"/>
      <x:c r="L27" s="113"/>
      <x:c r="M27" s="113"/>
      <x:c r="N27" s="113"/>
      <x:c r="O27" s="113"/>
      <x:c r="P27" s="113"/>
      <x:c r="Q27" s="113"/>
      <x:c r="R27" s="113"/>
      <x:c r="S27" s="113"/>
      <x:c r="T27" s="113"/>
      <x:c r="U27" s="113"/>
      <x:c r="V27" s="113"/>
      <x:c r="W27" s="113"/>
      <x:c r="X27" s="113"/>
      <x:c r="Y27" s="113"/>
      <x:c r="Z27" s="113"/>
      <x:c r="AA27" s="113"/>
      <x:c r="AB27" s="113"/>
      <x:c r="AC27" s="113"/>
      <x:c r="AD27" s="113"/>
      <x:c r="AE27" s="113"/>
    </x:row>
    <x:row r="28">
      <x:c r="A28" s="113"/>
      <x:c r="B28" s="113"/>
      <x:c r="C28" s="113"/>
      <x:c r="D28" s="113"/>
      <x:c r="E28" s="113"/>
      <x:c r="F28" s="113"/>
      <x:c r="G28" s="113"/>
      <x:c r="H28" s="113"/>
      <x:c r="I28" s="113"/>
      <x:c r="J28" s="113"/>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row>
    <x:row r="29">
      <x:c r="A29" s="113"/>
      <x:c r="B29" s="113"/>
      <x:c r="C29" s="113"/>
      <x:c r="D29" s="113"/>
      <x:c r="E29" s="113"/>
      <x:c r="F29" s="113"/>
      <x:c r="G29" s="113"/>
      <x:c r="H29" s="113"/>
      <x:c r="I29" s="113"/>
      <x:c r="J29" s="113"/>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row>
    <x:row r="30">
      <x:c r="A30" s="113"/>
      <x:c r="B30" s="113"/>
      <x:c r="C30" s="113"/>
      <x:c r="D30" s="113"/>
      <x:c r="E30" s="113"/>
      <x:c r="F30" s="113"/>
      <x:c r="G30" s="113"/>
      <x:c r="H30" s="113"/>
      <x:c r="I30" s="113"/>
      <x:c r="J30" s="113"/>
      <x:c r="K30" s="113"/>
      <x:c r="L30" s="113"/>
      <x:c r="M30" s="113"/>
      <x:c r="N30" s="113"/>
      <x:c r="O30" s="113"/>
      <x:c r="P30" s="113"/>
      <x:c r="Q30" s="113"/>
      <x:c r="R30" s="113"/>
      <x:c r="S30" s="113"/>
      <x:c r="T30" s="113"/>
      <x:c r="U30" s="113"/>
      <x:c r="V30" s="113"/>
      <x:c r="W30" s="113"/>
      <x:c r="X30" s="113"/>
      <x:c r="Y30" s="113"/>
      <x:c r="Z30" s="113"/>
      <x:c r="AA30" s="113"/>
      <x:c r="AB30" s="113"/>
      <x:c r="AC30" s="113"/>
      <x:c r="AD30" s="113"/>
      <x:c r="AE30" s="113"/>
    </x:row>
    <x:row r="31">
      <x:c r="A31" s="113"/>
      <x:c r="B31" s="113"/>
      <x:c r="C31" s="113"/>
      <x:c r="D31" s="113"/>
      <x:c r="E31" s="113"/>
      <x:c r="F31" s="113"/>
      <x:c r="G31" s="113"/>
      <x:c r="H31" s="113"/>
      <x:c r="I31" s="113"/>
      <x:c r="J31" s="113"/>
      <x:c r="K31" s="113"/>
      <x:c r="L31" s="113"/>
      <x:c r="M31" s="113"/>
      <x:c r="N31" s="113"/>
      <x:c r="O31" s="113"/>
      <x:c r="P31" s="113"/>
      <x:c r="Q31" s="113"/>
      <x:c r="R31" s="113"/>
      <x:c r="S31" s="113"/>
      <x:c r="T31" s="113"/>
      <x:c r="U31" s="113"/>
      <x:c r="V31" s="113"/>
      <x:c r="W31" s="113"/>
      <x:c r="X31" s="113"/>
      <x:c r="Y31" s="113"/>
      <x:c r="Z31" s="113"/>
      <x:c r="AA31" s="113"/>
      <x:c r="AB31" s="113"/>
      <x:c r="AC31" s="113"/>
      <x:c r="AD31" s="113"/>
      <x:c r="AE31" s="113"/>
    </x:row>
    <x:row r="32">
      <x:c r="A32" s="113"/>
      <x:c r="B32" s="113"/>
      <x:c r="C32" s="113"/>
      <x:c r="D32" s="113"/>
      <x:c r="E32" s="113"/>
      <x:c r="F32" s="113"/>
      <x:c r="G32" s="113"/>
      <x:c r="H32" s="113"/>
      <x:c r="I32" s="113"/>
      <x:c r="J32" s="113"/>
      <x:c r="K32" s="113"/>
      <x:c r="L32" s="113"/>
      <x:c r="M32" s="113"/>
      <x:c r="N32" s="113"/>
      <x:c r="O32" s="113"/>
      <x:c r="P32" s="113"/>
      <x:c r="Q32" s="113"/>
      <x:c r="R32" s="113"/>
      <x:c r="S32" s="113"/>
      <x:c r="T32" s="113"/>
      <x:c r="U32" s="113"/>
      <x:c r="V32" s="113"/>
      <x:c r="W32" s="113"/>
      <x:c r="X32" s="113"/>
      <x:c r="Y32" s="113"/>
      <x:c r="Z32" s="113"/>
      <x:c r="AA32" s="113"/>
      <x:c r="AB32" s="113"/>
      <x:c r="AC32" s="113"/>
      <x:c r="AD32" s="113"/>
      <x:c r="AE32" s="113"/>
    </x:row>
    <x:row r="33">
      <x:c r="A33" s="113"/>
      <x:c r="B33" s="113"/>
      <x:c r="C33" s="113"/>
      <x:c r="D33" s="113"/>
      <x:c r="E33" s="113"/>
      <x:c r="F33" s="113"/>
      <x:c r="G33" s="113"/>
      <x:c r="H33" s="113"/>
      <x:c r="I33" s="113"/>
      <x:c r="J33" s="113"/>
      <x:c r="K33" s="113"/>
      <x:c r="L33" s="113"/>
      <x:c r="M33" s="113"/>
      <x:c r="N33" s="113"/>
      <x:c r="O33" s="113"/>
      <x:c r="P33" s="113"/>
      <x:c r="Q33" s="113"/>
      <x:c r="R33" s="113"/>
      <x:c r="S33" s="113"/>
      <x:c r="T33" s="113"/>
      <x:c r="U33" s="113"/>
      <x:c r="V33" s="113"/>
      <x:c r="W33" s="113"/>
      <x:c r="X33" s="113"/>
      <x:c r="Y33" s="113"/>
      <x:c r="Z33" s="113"/>
      <x:c r="AA33" s="113"/>
      <x:c r="AB33" s="113"/>
      <x:c r="AC33" s="113"/>
      <x:c r="AD33" s="113"/>
      <x:c r="AE33" s="113"/>
    </x:row>
    <x:row r="34">
      <x:c r="A34" s="113"/>
      <x:c r="B34" s="113"/>
      <x:c r="C34" s="113"/>
      <x:c r="D34" s="113"/>
      <x:c r="E34" s="113"/>
      <x:c r="F34" s="113"/>
      <x:c r="G34" s="113"/>
      <x:c r="H34" s="113"/>
      <x:c r="I34" s="113"/>
      <x:c r="J34" s="113"/>
      <x:c r="K34" s="113"/>
      <x:c r="L34" s="113"/>
      <x:c r="M34" s="113"/>
      <x:c r="N34" s="113"/>
      <x:c r="O34" s="113"/>
      <x:c r="P34" s="113"/>
      <x:c r="Q34" s="113"/>
      <x:c r="R34" s="113"/>
      <x:c r="S34" s="113"/>
      <x:c r="T34" s="113"/>
      <x:c r="U34" s="113"/>
      <x:c r="V34" s="113"/>
      <x:c r="W34" s="113"/>
      <x:c r="X34" s="113"/>
      <x:c r="Y34" s="113"/>
      <x:c r="Z34" s="113"/>
      <x:c r="AA34" s="113"/>
      <x:c r="AB34" s="113"/>
      <x:c r="AC34" s="113"/>
      <x:c r="AD34" s="113"/>
      <x:c r="AE34" s="113"/>
    </x:row>
    <x:row r="35">
      <x:c r="A35" s="113"/>
      <x:c r="B35" s="113"/>
      <x:c r="C35" s="113"/>
      <x:c r="D35" s="113"/>
      <x:c r="E35" s="113"/>
      <x:c r="F35" s="113"/>
      <x:c r="G35" s="113"/>
      <x:c r="H35" s="113"/>
      <x:c r="I35" s="113"/>
      <x:c r="J35" s="113"/>
      <x:c r="K35" s="113"/>
      <x:c r="L35" s="113"/>
      <x:c r="M35" s="113"/>
      <x:c r="N35" s="113"/>
      <x:c r="O35" s="113"/>
      <x:c r="P35" s="113"/>
      <x:c r="Q35" s="113"/>
      <x:c r="R35" s="113"/>
      <x:c r="S35" s="113"/>
      <x:c r="T35" s="113"/>
      <x:c r="U35" s="113"/>
      <x:c r="V35" s="113"/>
      <x:c r="W35" s="113"/>
      <x:c r="X35" s="113"/>
      <x:c r="Y35" s="113"/>
      <x:c r="Z35" s="113"/>
      <x:c r="AA35" s="113"/>
      <x:c r="AB35" s="113"/>
      <x:c r="AC35" s="113"/>
      <x:c r="AD35" s="113"/>
      <x:c r="AE35" s="113"/>
    </x:row>
    <x:row r="36">
      <x:c r="A36" s="113"/>
      <x:c r="B36" s="113"/>
      <x:c r="C36" s="113"/>
      <x:c r="D36" s="113"/>
      <x:c r="E36" s="113"/>
      <x:c r="F36" s="113"/>
      <x:c r="G36" s="113"/>
      <x:c r="H36" s="113"/>
      <x:c r="I36" s="113"/>
      <x:c r="J36" s="113"/>
      <x:c r="K36" s="113"/>
      <x:c r="L36" s="113"/>
      <x:c r="M36" s="113"/>
      <x:c r="N36" s="113"/>
      <x:c r="O36" s="113"/>
      <x:c r="P36" s="113"/>
      <x:c r="Q36" s="113"/>
      <x:c r="R36" s="113"/>
      <x:c r="S36" s="113"/>
      <x:c r="T36" s="113"/>
      <x:c r="U36" s="113"/>
      <x:c r="V36" s="113"/>
      <x:c r="W36" s="113"/>
      <x:c r="X36" s="113"/>
      <x:c r="Y36" s="113"/>
      <x:c r="Z36" s="113"/>
      <x:c r="AA36" s="113"/>
      <x:c r="AB36" s="113"/>
      <x:c r="AC36" s="113"/>
      <x:c r="AD36" s="113"/>
      <x:c r="AE36" s="113"/>
    </x:row>
    <x:row r="37">
      <x:c r="A37" s="113"/>
      <x:c r="B37" s="113"/>
      <x:c r="C37" s="113"/>
      <x:c r="D37" s="113"/>
      <x:c r="E37" s="113"/>
      <x:c r="F37" s="113"/>
      <x:c r="G37" s="113"/>
      <x:c r="H37" s="113"/>
      <x:c r="I37" s="113"/>
      <x:c r="J37" s="113"/>
      <x:c r="K37" s="113"/>
      <x:c r="L37" s="113"/>
      <x:c r="M37" s="113"/>
      <x:c r="N37" s="113"/>
      <x:c r="O37" s="113"/>
      <x:c r="P37" s="113"/>
      <x:c r="Q37" s="113"/>
      <x:c r="R37" s="113"/>
      <x:c r="S37" s="113"/>
      <x:c r="T37" s="113"/>
      <x:c r="U37" s="113"/>
      <x:c r="V37" s="113"/>
      <x:c r="W37" s="113"/>
      <x:c r="X37" s="113"/>
      <x:c r="Y37" s="113"/>
      <x:c r="Z37" s="113"/>
      <x:c r="AA37" s="113"/>
      <x:c r="AB37" s="113"/>
      <x:c r="AC37" s="113"/>
      <x:c r="AD37" s="113"/>
      <x:c r="AE37" s="113"/>
    </x:row>
    <x:row r="38">
      <x:c r="A38" s="113"/>
      <x:c r="B38" s="113"/>
      <x:c r="C38" s="113"/>
      <x:c r="D38" s="113"/>
      <x:c r="E38" s="113"/>
      <x:c r="F38" s="113"/>
      <x:c r="G38" s="113"/>
      <x:c r="H38" s="113"/>
      <x:c r="I38" s="113"/>
      <x:c r="J38" s="113"/>
      <x:c r="K38" s="113"/>
      <x:c r="L38" s="113"/>
      <x:c r="M38" s="113"/>
      <x:c r="N38" s="113"/>
      <x:c r="O38" s="113"/>
      <x:c r="P38" s="113"/>
      <x:c r="Q38" s="113"/>
      <x:c r="R38" s="113"/>
      <x:c r="S38" s="113"/>
      <x:c r="T38" s="113"/>
      <x:c r="U38" s="113"/>
      <x:c r="V38" s="113"/>
      <x:c r="W38" s="113"/>
      <x:c r="X38" s="113"/>
      <x:c r="Y38" s="113"/>
      <x:c r="Z38" s="113"/>
      <x:c r="AA38" s="113"/>
      <x:c r="AB38" s="113"/>
      <x:c r="AC38" s="113"/>
      <x:c r="AD38" s="113"/>
      <x:c r="AE38" s="113"/>
    </x:row>
    <x:row r="39">
      <x:c r="A39" s="113"/>
      <x:c r="B39" s="113"/>
      <x:c r="C39" s="113"/>
      <x:c r="D39" s="113"/>
      <x:c r="E39" s="113"/>
      <x:c r="F39" s="113"/>
      <x:c r="G39" s="113"/>
      <x:c r="H39" s="113"/>
      <x:c r="I39" s="113"/>
      <x:c r="J39" s="113"/>
      <x:c r="K39" s="113"/>
      <x:c r="L39" s="113"/>
      <x:c r="M39" s="113"/>
      <x:c r="N39" s="113"/>
      <x:c r="O39" s="113"/>
      <x:c r="P39" s="113"/>
      <x:c r="Q39" s="113"/>
      <x:c r="R39" s="113"/>
      <x:c r="S39" s="113"/>
      <x:c r="T39" s="113"/>
      <x:c r="U39" s="113"/>
      <x:c r="V39" s="113"/>
      <x:c r="W39" s="113"/>
      <x:c r="X39" s="113"/>
      <x:c r="Y39" s="113"/>
      <x:c r="Z39" s="113"/>
      <x:c r="AA39" s="113"/>
      <x:c r="AB39" s="113"/>
      <x:c r="AC39" s="113"/>
      <x:c r="AD39" s="113"/>
      <x:c r="AE39" s="113"/>
    </x:row>
    <x:row r="40">
      <x:c r="A40" s="113"/>
      <x:c r="B40" s="113"/>
      <x:c r="C40" s="113"/>
      <x:c r="D40" s="113"/>
      <x:c r="E40" s="113"/>
      <x:c r="F40" s="113"/>
      <x:c r="G40" s="113"/>
      <x:c r="H40" s="113"/>
      <x:c r="I40" s="113"/>
      <x:c r="J40" s="113"/>
      <x:c r="K40" s="113"/>
      <x:c r="L40" s="113"/>
      <x:c r="M40" s="113"/>
      <x:c r="N40" s="113"/>
      <x:c r="O40" s="113"/>
      <x:c r="P40" s="113"/>
      <x:c r="Q40" s="113"/>
      <x:c r="R40" s="113"/>
      <x:c r="S40" s="113"/>
      <x:c r="T40" s="113"/>
      <x:c r="U40" s="113"/>
      <x:c r="V40" s="113"/>
      <x:c r="W40" s="113"/>
      <x:c r="X40" s="113"/>
      <x:c r="Y40" s="113"/>
      <x:c r="Z40" s="113"/>
      <x:c r="AA40" s="113"/>
      <x:c r="AB40" s="113"/>
      <x:c r="AC40" s="113"/>
      <x:c r="AD40" s="113"/>
      <x:c r="AE40" s="113"/>
    </x:row>
    <x:row r="41">
      <x:c r="A41" s="113"/>
      <x:c r="B41" s="113"/>
      <x:c r="C41" s="113"/>
      <x:c r="D41" s="113"/>
      <x:c r="E41" s="113"/>
      <x:c r="F41" s="113"/>
      <x:c r="G41" s="113"/>
      <x:c r="H41" s="113"/>
      <x:c r="I41" s="113"/>
      <x:c r="J41" s="113"/>
      <x:c r="K41" s="113"/>
      <x:c r="L41" s="113"/>
      <x:c r="M41" s="113"/>
      <x:c r="N41" s="113"/>
      <x:c r="O41" s="113"/>
      <x:c r="P41" s="113"/>
      <x:c r="Q41" s="113"/>
      <x:c r="R41" s="113"/>
      <x:c r="S41" s="113"/>
      <x:c r="T41" s="113"/>
      <x:c r="U41" s="113"/>
      <x:c r="V41" s="113"/>
      <x:c r="W41" s="113"/>
      <x:c r="X41" s="113"/>
      <x:c r="Y41" s="113"/>
      <x:c r="Z41" s="113"/>
      <x:c r="AA41" s="113"/>
      <x:c r="AB41" s="113"/>
      <x:c r="AC41" s="113"/>
      <x:c r="AD41" s="113"/>
      <x:c r="AE41" s="113"/>
    </x:row>
    <x:row r="42">
      <x:c r="A42" s="113"/>
      <x:c r="B42" s="113"/>
      <x:c r="C42" s="113"/>
      <x:c r="D42" s="113"/>
      <x:c r="E42" s="113"/>
      <x:c r="F42" s="113"/>
      <x:c r="G42" s="113"/>
      <x:c r="H42" s="113"/>
      <x:c r="I42" s="113"/>
      <x:c r="J42" s="113"/>
      <x:c r="K42" s="113"/>
      <x:c r="L42" s="113"/>
      <x:c r="M42" s="113"/>
      <x:c r="N42" s="113"/>
      <x:c r="O42" s="113"/>
      <x:c r="P42" s="113"/>
      <x:c r="Q42" s="113"/>
      <x:c r="R42" s="113"/>
      <x:c r="S42" s="113"/>
      <x:c r="T42" s="113"/>
      <x:c r="U42" s="113"/>
      <x:c r="V42" s="113"/>
      <x:c r="W42" s="113"/>
      <x:c r="X42" s="113"/>
      <x:c r="Y42" s="113"/>
      <x:c r="Z42" s="113"/>
      <x:c r="AA42" s="113"/>
      <x:c r="AB42" s="113"/>
      <x:c r="AC42" s="113"/>
      <x:c r="AD42" s="113"/>
      <x:c r="AE42" s="113"/>
    </x:row>
    <x:row r="43">
      <x:c r="A43" s="113"/>
      <x:c r="B43" s="113"/>
      <x:c r="C43" s="113"/>
      <x:c r="D43" s="113"/>
      <x:c r="E43" s="113"/>
      <x:c r="F43" s="113"/>
      <x:c r="G43" s="113"/>
      <x:c r="H43" s="113"/>
      <x:c r="I43" s="113"/>
      <x:c r="J43" s="113"/>
      <x:c r="K43" s="113"/>
      <x:c r="L43" s="113"/>
      <x:c r="M43" s="113"/>
      <x:c r="N43" s="113"/>
      <x:c r="O43" s="113"/>
      <x:c r="P43" s="113"/>
      <x:c r="Q43" s="113"/>
      <x:c r="R43" s="113"/>
      <x:c r="S43" s="113"/>
      <x:c r="T43" s="113"/>
      <x:c r="U43" s="113"/>
      <x:c r="V43" s="113"/>
      <x:c r="W43" s="113"/>
      <x:c r="X43" s="113"/>
      <x:c r="Y43" s="113"/>
      <x:c r="Z43" s="113"/>
      <x:c r="AA43" s="113"/>
      <x:c r="AB43" s="113"/>
      <x:c r="AC43" s="113"/>
      <x:c r="AD43" s="113"/>
      <x:c r="AE43" s="113"/>
    </x:row>
    <x:row r="44">
      <x:c r="A44" s="113"/>
      <x:c r="B44" s="113"/>
      <x:c r="C44" s="113"/>
      <x:c r="D44" s="113"/>
      <x:c r="E44" s="113"/>
      <x:c r="F44" s="113"/>
      <x:c r="G44" s="113"/>
      <x:c r="H44" s="113"/>
      <x:c r="I44" s="113"/>
      <x:c r="J44" s="113"/>
      <x:c r="K44" s="113"/>
      <x:c r="L44" s="113"/>
      <x:c r="M44" s="113"/>
      <x:c r="N44" s="113"/>
      <x:c r="O44" s="113"/>
      <x:c r="P44" s="113"/>
      <x:c r="Q44" s="113"/>
      <x:c r="R44" s="113"/>
      <x:c r="S44" s="113"/>
      <x:c r="T44" s="113"/>
      <x:c r="U44" s="113"/>
      <x:c r="V44" s="113"/>
      <x:c r="W44" s="113"/>
      <x:c r="X44" s="113"/>
      <x:c r="Y44" s="113"/>
      <x:c r="Z44" s="113"/>
      <x:c r="AA44" s="113"/>
      <x:c r="AB44" s="113"/>
      <x:c r="AC44" s="113"/>
      <x:c r="AD44" s="113"/>
      <x:c r="AE44" s="113"/>
    </x:row>
    <x:row r="45">
      <x:c r="A45" s="113"/>
      <x:c r="B45" s="113"/>
      <x:c r="C45" s="113"/>
      <x:c r="D45" s="113"/>
      <x:c r="E45" s="113"/>
      <x:c r="F45" s="113"/>
      <x:c r="G45" s="113"/>
      <x:c r="H45" s="113"/>
      <x:c r="I45" s="113"/>
      <x:c r="J45" s="113"/>
      <x:c r="K45" s="113"/>
      <x:c r="L45" s="113"/>
      <x:c r="M45" s="113"/>
      <x:c r="N45" s="113"/>
      <x:c r="O45" s="113"/>
      <x:c r="P45" s="113"/>
      <x:c r="Q45" s="113"/>
      <x:c r="R45" s="113"/>
      <x:c r="S45" s="113"/>
      <x:c r="T45" s="113"/>
      <x:c r="U45" s="113"/>
      <x:c r="V45" s="113"/>
      <x:c r="W45" s="113"/>
      <x:c r="X45" s="113"/>
      <x:c r="Y45" s="113"/>
      <x:c r="Z45" s="113"/>
      <x:c r="AA45" s="113"/>
      <x:c r="AB45" s="113"/>
      <x:c r="AC45" s="113"/>
      <x:c r="AD45" s="113"/>
      <x:c r="AE45" s="113"/>
    </x:row>
    <x:row r="46">
      <x:c r="A46" s="113"/>
      <x:c r="B46" s="113"/>
      <x:c r="C46" s="113"/>
      <x:c r="D46" s="113"/>
      <x:c r="E46" s="113"/>
      <x:c r="F46" s="113"/>
      <x:c r="G46" s="113"/>
      <x:c r="H46" s="113"/>
      <x:c r="I46" s="113"/>
      <x:c r="J46" s="113"/>
      <x:c r="K46" s="113"/>
      <x:c r="L46" s="113"/>
      <x:c r="M46" s="113"/>
      <x:c r="N46" s="113"/>
      <x:c r="O46" s="113"/>
      <x:c r="P46" s="113"/>
      <x:c r="Q46" s="113"/>
      <x:c r="R46" s="113"/>
      <x:c r="S46" s="113"/>
      <x:c r="T46" s="113"/>
      <x:c r="U46" s="113"/>
      <x:c r="V46" s="113"/>
      <x:c r="W46" s="113"/>
      <x:c r="X46" s="113"/>
      <x:c r="Y46" s="113"/>
      <x:c r="Z46" s="113"/>
      <x:c r="AA46" s="113"/>
      <x:c r="AB46" s="113"/>
      <x:c r="AC46" s="113"/>
      <x:c r="AD46" s="113"/>
      <x:c r="AE46" s="113"/>
    </x:row>
    <x:row r="47">
      <x:c r="A47" s="113"/>
      <x:c r="B47" s="113"/>
      <x:c r="C47" s="113"/>
      <x:c r="D47" s="113"/>
      <x:c r="E47" s="113"/>
      <x:c r="F47" s="113"/>
      <x:c r="G47" s="113"/>
      <x:c r="H47" s="113"/>
      <x:c r="I47" s="113"/>
      <x:c r="J47" s="113"/>
      <x:c r="K47" s="113"/>
      <x:c r="L47" s="113"/>
      <x:c r="M47" s="113"/>
      <x:c r="N47" s="113"/>
      <x:c r="O47" s="113"/>
      <x:c r="P47" s="113"/>
      <x:c r="Q47" s="113"/>
      <x:c r="R47" s="113"/>
      <x:c r="S47" s="113"/>
      <x:c r="T47" s="113"/>
      <x:c r="U47" s="113"/>
      <x:c r="V47" s="113"/>
      <x:c r="W47" s="113"/>
      <x:c r="X47" s="113"/>
      <x:c r="Y47" s="113"/>
      <x:c r="Z47" s="113"/>
      <x:c r="AA47" s="113"/>
      <x:c r="AB47" s="113"/>
      <x:c r="AC47" s="113"/>
      <x:c r="AD47" s="113"/>
      <x:c r="AE47" s="113"/>
    </x:row>
    <x:row r="48">
      <x:c r="A48" s="113"/>
      <x:c r="B48" s="113"/>
      <x:c r="C48" s="113"/>
      <x:c r="D48" s="113"/>
      <x:c r="E48" s="113"/>
      <x:c r="F48" s="113"/>
      <x:c r="G48" s="113"/>
      <x:c r="H48" s="113"/>
      <x:c r="I48" s="113"/>
      <x:c r="J48" s="113"/>
      <x:c r="K48" s="113"/>
      <x:c r="L48" s="113"/>
      <x:c r="M48" s="113"/>
      <x:c r="N48" s="113"/>
      <x:c r="O48" s="113"/>
      <x:c r="P48" s="113"/>
      <x:c r="Q48" s="113"/>
      <x:c r="R48" s="113"/>
      <x:c r="S48" s="113"/>
      <x:c r="T48" s="113"/>
      <x:c r="U48" s="113"/>
      <x:c r="V48" s="113"/>
      <x:c r="W48" s="113"/>
      <x:c r="X48" s="113"/>
      <x:c r="Y48" s="113"/>
      <x:c r="Z48" s="113"/>
      <x:c r="AA48" s="113"/>
      <x:c r="AB48" s="113"/>
      <x:c r="AC48" s="113"/>
      <x:c r="AD48" s="113"/>
      <x:c r="AE48" s="113"/>
    </x:row>
    <x:row r="49">
      <x:c r="A49" s="113"/>
      <x:c r="B49" s="113"/>
      <x:c r="C49" s="113"/>
      <x:c r="D49" s="113"/>
      <x:c r="E49" s="113"/>
      <x:c r="F49" s="113"/>
      <x:c r="G49" s="113"/>
      <x:c r="H49" s="113"/>
      <x:c r="I49" s="113"/>
      <x:c r="J49" s="113"/>
      <x:c r="K49" s="113"/>
      <x:c r="L49" s="113"/>
      <x:c r="M49" s="113"/>
      <x:c r="N49" s="113"/>
      <x:c r="O49" s="113"/>
      <x:c r="P49" s="113"/>
      <x:c r="Q49" s="113"/>
      <x:c r="R49" s="113"/>
      <x:c r="S49" s="113"/>
      <x:c r="T49" s="113"/>
      <x:c r="U49" s="113"/>
      <x:c r="V49" s="113"/>
      <x:c r="W49" s="113"/>
      <x:c r="X49" s="113"/>
      <x:c r="Y49" s="113"/>
      <x:c r="Z49" s="113"/>
      <x:c r="AA49" s="113"/>
      <x:c r="AB49" s="113"/>
      <x:c r="AC49" s="113"/>
      <x:c r="AD49" s="113"/>
      <x:c r="AE49" s="113"/>
    </x:row>
    <x:row r="50">
      <x:c r="A50" s="113"/>
      <x:c r="B50" s="113"/>
      <x:c r="C50" s="113"/>
      <x:c r="D50" s="113"/>
      <x:c r="E50" s="113"/>
      <x:c r="F50" s="113"/>
      <x:c r="G50" s="113"/>
      <x:c r="H50" s="113"/>
      <x:c r="I50" s="113"/>
      <x:c r="J50" s="113"/>
      <x:c r="K50" s="113"/>
      <x:c r="L50" s="113"/>
      <x:c r="M50" s="113"/>
      <x:c r="N50" s="113"/>
      <x:c r="O50" s="113"/>
      <x:c r="P50" s="113"/>
      <x:c r="Q50" s="113"/>
      <x:c r="R50" s="113"/>
      <x:c r="S50" s="113"/>
      <x:c r="T50" s="113"/>
      <x:c r="U50" s="113"/>
      <x:c r="V50" s="113"/>
      <x:c r="W50" s="113"/>
      <x:c r="X50" s="113"/>
      <x:c r="Y50" s="113"/>
      <x:c r="Z50" s="113"/>
      <x:c r="AA50" s="113"/>
      <x:c r="AB50" s="113"/>
      <x:c r="AC50" s="113"/>
      <x:c r="AD50" s="113"/>
      <x:c r="AE50" s="113"/>
    </x:row>
    <x:row r="51">
      <x:c r="A51" s="113"/>
      <x:c r="B51" s="113"/>
      <x:c r="C51" s="113"/>
      <x:c r="D51" s="113"/>
      <x:c r="E51" s="113"/>
      <x:c r="F51" s="113"/>
      <x:c r="G51" s="113"/>
      <x:c r="H51" s="113"/>
      <x:c r="I51" s="113"/>
      <x:c r="J51" s="113"/>
      <x:c r="K51" s="113"/>
      <x:c r="L51" s="113"/>
      <x:c r="M51" s="113"/>
      <x:c r="N51" s="113"/>
      <x:c r="O51" s="113"/>
      <x:c r="P51" s="113"/>
      <x:c r="Q51" s="113"/>
      <x:c r="R51" s="113"/>
      <x:c r="S51" s="113"/>
      <x:c r="T51" s="113"/>
      <x:c r="U51" s="113"/>
      <x:c r="V51" s="113"/>
      <x:c r="W51" s="113"/>
      <x:c r="X51" s="113"/>
      <x:c r="Y51" s="113"/>
      <x:c r="Z51" s="113"/>
      <x:c r="AA51" s="113"/>
      <x:c r="AB51" s="113"/>
      <x:c r="AC51" s="113"/>
      <x:c r="AD51" s="113"/>
      <x:c r="AE51" s="113"/>
    </x:row>
    <x:row r="52">
      <x:c r="A52" s="113"/>
      <x:c r="B52" s="113"/>
      <x:c r="C52" s="113"/>
      <x:c r="D52" s="113"/>
      <x:c r="E52" s="113"/>
      <x:c r="F52" s="113"/>
      <x:c r="G52" s="113"/>
      <x:c r="H52" s="113"/>
      <x:c r="I52" s="113"/>
      <x:c r="J52" s="113"/>
      <x:c r="K52" s="113"/>
      <x:c r="L52" s="113"/>
      <x:c r="M52" s="113"/>
      <x:c r="N52" s="113"/>
      <x:c r="O52" s="113"/>
      <x:c r="P52" s="113"/>
      <x:c r="Q52" s="113"/>
      <x:c r="R52" s="113"/>
      <x:c r="S52" s="113"/>
      <x:c r="T52" s="113"/>
      <x:c r="U52" s="113"/>
      <x:c r="V52" s="113"/>
      <x:c r="W52" s="113"/>
      <x:c r="X52" s="113"/>
      <x:c r="Y52" s="113"/>
      <x:c r="Z52" s="113"/>
      <x:c r="AA52" s="113"/>
      <x:c r="AB52" s="113"/>
      <x:c r="AC52" s="113"/>
      <x:c r="AD52" s="113"/>
      <x:c r="AE52" s="113"/>
    </x:row>
    <x:row r="53">
      <x:c r="A53" s="113"/>
      <x:c r="B53" s="113"/>
      <x:c r="C53" s="113"/>
      <x:c r="D53" s="113"/>
      <x:c r="E53" s="113"/>
      <x:c r="F53" s="113"/>
      <x:c r="G53" s="113"/>
      <x:c r="H53" s="113"/>
      <x:c r="I53" s="113"/>
      <x:c r="J53" s="113"/>
      <x:c r="K53" s="113"/>
      <x:c r="L53" s="113"/>
      <x:c r="M53" s="113"/>
      <x:c r="N53" s="113"/>
      <x:c r="O53" s="113"/>
      <x:c r="P53" s="113"/>
      <x:c r="Q53" s="113"/>
      <x:c r="R53" s="113"/>
      <x:c r="S53" s="113"/>
      <x:c r="T53" s="113"/>
      <x:c r="U53" s="113"/>
      <x:c r="V53" s="113"/>
      <x:c r="W53" s="113"/>
      <x:c r="X53" s="113"/>
      <x:c r="Y53" s="113"/>
      <x:c r="Z53" s="113"/>
      <x:c r="AA53" s="113"/>
      <x:c r="AB53" s="113"/>
      <x:c r="AC53" s="113"/>
      <x:c r="AD53" s="113"/>
      <x:c r="AE53" s="113"/>
    </x:row>
    <x:row r="54">
      <x:c r="A54" s="113"/>
      <x:c r="B54" s="113"/>
      <x:c r="C54" s="113"/>
      <x:c r="D54" s="113"/>
      <x:c r="E54" s="113"/>
      <x:c r="F54" s="113"/>
      <x:c r="G54" s="113"/>
      <x:c r="H54" s="113"/>
      <x:c r="I54" s="113"/>
      <x:c r="J54" s="113"/>
      <x:c r="K54" s="113"/>
      <x:c r="L54" s="113"/>
      <x:c r="M54" s="113"/>
      <x:c r="N54" s="113"/>
      <x:c r="O54" s="113"/>
      <x:c r="P54" s="113"/>
      <x:c r="Q54" s="113"/>
      <x:c r="R54" s="113"/>
      <x:c r="S54" s="113"/>
      <x:c r="T54" s="113"/>
      <x:c r="U54" s="113"/>
      <x:c r="V54" s="113"/>
      <x:c r="W54" s="113"/>
      <x:c r="X54" s="113"/>
      <x:c r="Y54" s="113"/>
      <x:c r="Z54" s="113"/>
      <x:c r="AA54" s="113"/>
      <x:c r="AB54" s="113"/>
      <x:c r="AC54" s="113"/>
      <x:c r="AD54" s="113"/>
      <x:c r="AE54" s="113"/>
    </x:row>
    <x:row r="55">
      <x:c r="A55" s="113"/>
      <x:c r="B55" s="113"/>
      <x:c r="C55" s="113"/>
      <x:c r="D55" s="113"/>
      <x:c r="E55" s="113"/>
      <x:c r="F55" s="113"/>
      <x:c r="G55" s="113"/>
      <x:c r="H55" s="113"/>
      <x:c r="I55" s="113"/>
      <x:c r="J55" s="113"/>
      <x:c r="K55" s="113"/>
      <x:c r="L55" s="113"/>
      <x:c r="M55" s="113"/>
      <x:c r="N55" s="113"/>
      <x:c r="O55" s="113"/>
      <x:c r="P55" s="113"/>
      <x:c r="Q55" s="113"/>
      <x:c r="R55" s="113"/>
      <x:c r="S55" s="113"/>
      <x:c r="T55" s="113"/>
      <x:c r="U55" s="113"/>
      <x:c r="V55" s="113"/>
      <x:c r="W55" s="113"/>
      <x:c r="X55" s="113"/>
      <x:c r="Y55" s="113"/>
      <x:c r="Z55" s="113"/>
      <x:c r="AA55" s="113"/>
      <x:c r="AB55" s="113"/>
      <x:c r="AC55" s="113"/>
      <x:c r="AD55" s="113"/>
      <x:c r="AE55" s="113"/>
    </x:row>
    <x:row r="56">
      <x:c r="A56" s="113"/>
      <x:c r="B56" s="113"/>
      <x:c r="C56" s="113"/>
      <x:c r="D56" s="113"/>
      <x:c r="E56" s="113"/>
      <x:c r="F56" s="113"/>
      <x:c r="G56" s="113"/>
      <x:c r="H56" s="113"/>
      <x:c r="I56" s="113"/>
      <x:c r="J56" s="113"/>
      <x:c r="K56" s="113"/>
      <x:c r="L56" s="113"/>
      <x:c r="M56" s="113"/>
      <x:c r="N56" s="113"/>
      <x:c r="O56" s="113"/>
      <x:c r="P56" s="113"/>
      <x:c r="Q56" s="113"/>
      <x:c r="R56" s="113"/>
      <x:c r="S56" s="113"/>
      <x:c r="T56" s="113"/>
      <x:c r="U56" s="113"/>
      <x:c r="V56" s="113"/>
      <x:c r="W56" s="113"/>
      <x:c r="X56" s="113"/>
      <x:c r="Y56" s="113"/>
      <x:c r="Z56" s="113"/>
      <x:c r="AA56" s="113"/>
      <x:c r="AB56" s="113"/>
      <x:c r="AC56" s="113"/>
      <x:c r="AD56" s="113"/>
      <x:c r="AE56" s="113"/>
    </x:row>
    <x:row r="57">
      <x:c r="A57" s="113"/>
      <x:c r="B57" s="113"/>
      <x:c r="C57" s="113"/>
      <x:c r="D57" s="113"/>
      <x:c r="E57" s="113"/>
      <x:c r="F57" s="113"/>
      <x:c r="G57" s="113"/>
      <x:c r="H57" s="113"/>
      <x:c r="I57" s="113"/>
      <x:c r="J57" s="113"/>
      <x:c r="K57" s="113"/>
      <x:c r="L57" s="113"/>
      <x:c r="M57" s="113"/>
      <x:c r="N57" s="113"/>
      <x:c r="O57" s="113"/>
      <x:c r="P57" s="113"/>
      <x:c r="Q57" s="113"/>
      <x:c r="R57" s="113"/>
      <x:c r="S57" s="113"/>
      <x:c r="T57" s="113"/>
      <x:c r="U57" s="113"/>
      <x:c r="V57" s="113"/>
      <x:c r="W57" s="113"/>
      <x:c r="X57" s="113"/>
      <x:c r="Y57" s="113"/>
      <x:c r="Z57" s="113"/>
      <x:c r="AA57" s="113"/>
      <x:c r="AB57" s="113"/>
      <x:c r="AC57" s="113"/>
      <x:c r="AD57" s="113"/>
      <x:c r="AE57" s="113"/>
    </x:row>
    <x:row r="58">
      <x:c r="A58" s="113"/>
      <x:c r="B58" s="113"/>
      <x:c r="C58" s="113"/>
      <x:c r="D58" s="113"/>
      <x:c r="E58" s="113"/>
      <x:c r="F58" s="113"/>
      <x:c r="G58" s="113"/>
      <x:c r="H58" s="113"/>
      <x:c r="I58" s="113"/>
      <x:c r="J58" s="113"/>
      <x:c r="K58" s="113"/>
      <x:c r="L58" s="113"/>
      <x:c r="M58" s="113"/>
      <x:c r="N58" s="113"/>
      <x:c r="O58" s="113"/>
      <x:c r="P58" s="113"/>
      <x:c r="Q58" s="113"/>
      <x:c r="R58" s="113"/>
      <x:c r="S58" s="113"/>
      <x:c r="T58" s="113"/>
      <x:c r="U58" s="113"/>
      <x:c r="V58" s="113"/>
      <x:c r="W58" s="113"/>
      <x:c r="X58" s="113"/>
      <x:c r="Y58" s="113"/>
      <x:c r="Z58" s="113"/>
      <x:c r="AA58" s="113"/>
      <x:c r="AB58" s="113"/>
      <x:c r="AC58" s="113"/>
      <x:c r="AD58" s="113"/>
      <x:c r="AE58" s="113"/>
    </x:row>
    <x:row r="59">
      <x:c r="A59" s="113"/>
      <x:c r="B59" s="113"/>
      <x:c r="C59" s="113"/>
      <x:c r="D59" s="113"/>
      <x:c r="E59" s="113"/>
      <x:c r="F59" s="113"/>
      <x:c r="G59" s="113"/>
      <x:c r="H59" s="113"/>
      <x:c r="I59" s="113"/>
      <x:c r="J59" s="113"/>
      <x:c r="K59" s="113"/>
      <x:c r="L59" s="113"/>
      <x:c r="M59" s="113"/>
      <x:c r="N59" s="113"/>
      <x:c r="O59" s="113"/>
      <x:c r="P59" s="113"/>
      <x:c r="Q59" s="113"/>
      <x:c r="R59" s="113"/>
      <x:c r="S59" s="113"/>
      <x:c r="T59" s="113"/>
      <x:c r="U59" s="113"/>
      <x:c r="V59" s="113"/>
      <x:c r="W59" s="113"/>
      <x:c r="X59" s="113"/>
      <x:c r="Y59" s="113"/>
      <x:c r="Z59" s="113"/>
      <x:c r="AA59" s="113"/>
      <x:c r="AB59" s="113"/>
      <x:c r="AC59" s="113"/>
      <x:c r="AD59" s="113"/>
      <x:c r="AE59" s="113"/>
    </x:row>
    <x:row r="60">
      <x:c r="A60" s="113"/>
      <x:c r="B60" s="113"/>
      <x:c r="C60" s="113"/>
      <x:c r="D60" s="113"/>
      <x:c r="E60" s="113"/>
      <x:c r="F60" s="113"/>
      <x:c r="G60" s="113"/>
      <x:c r="H60" s="113"/>
      <x:c r="I60" s="113"/>
      <x:c r="J60" s="113"/>
      <x:c r="K60" s="113"/>
      <x:c r="L60" s="113"/>
      <x:c r="M60" s="113"/>
      <x:c r="N60" s="113"/>
      <x:c r="O60" s="113"/>
      <x:c r="P60" s="113"/>
      <x:c r="Q60" s="113"/>
      <x:c r="R60" s="113"/>
      <x:c r="S60" s="113"/>
      <x:c r="T60" s="113"/>
      <x:c r="U60" s="113"/>
      <x:c r="V60" s="113"/>
      <x:c r="W60" s="113"/>
      <x:c r="X60" s="113"/>
      <x:c r="Y60" s="113"/>
      <x:c r="Z60" s="113"/>
      <x:c r="AA60" s="113"/>
      <x:c r="AB60" s="113"/>
      <x:c r="AC60" s="113"/>
      <x:c r="AD60" s="113"/>
      <x:c r="AE60" s="113"/>
    </x:row>
    <x:row r="61">
      <x:c r="A61" s="113"/>
      <x:c r="B61" s="113"/>
      <x:c r="C61" s="113"/>
      <x:c r="D61" s="113"/>
      <x:c r="E61" s="113"/>
      <x:c r="F61" s="113"/>
      <x:c r="G61" s="113"/>
      <x:c r="H61" s="113"/>
      <x:c r="I61" s="113"/>
      <x:c r="J61" s="113"/>
      <x:c r="K61" s="113"/>
      <x:c r="L61" s="113"/>
      <x:c r="M61" s="113"/>
      <x:c r="N61" s="113"/>
      <x:c r="O61" s="113"/>
      <x:c r="P61" s="113"/>
      <x:c r="Q61" s="113"/>
      <x:c r="R61" s="113"/>
      <x:c r="S61" s="113"/>
      <x:c r="T61" s="113"/>
      <x:c r="U61" s="113"/>
      <x:c r="V61" s="113"/>
      <x:c r="W61" s="113"/>
      <x:c r="X61" s="113"/>
      <x:c r="Y61" s="113"/>
      <x:c r="Z61" s="113"/>
      <x:c r="AA61" s="113"/>
      <x:c r="AB61" s="113"/>
      <x:c r="AC61" s="113"/>
      <x:c r="AD61" s="113"/>
      <x:c r="AE61" s="113"/>
    </x:row>
    <x:row r="62">
      <x:c r="A62" s="113"/>
      <x:c r="B62" s="113"/>
      <x:c r="C62" s="113"/>
      <x:c r="D62" s="113"/>
      <x:c r="E62" s="113"/>
      <x:c r="F62" s="113"/>
      <x:c r="G62" s="113"/>
      <x:c r="H62" s="113"/>
      <x:c r="I62" s="113"/>
      <x:c r="J62" s="113"/>
      <x:c r="K62" s="113"/>
      <x:c r="L62" s="113"/>
      <x:c r="M62" s="113"/>
      <x:c r="N62" s="113"/>
      <x:c r="O62" s="113"/>
      <x:c r="P62" s="113"/>
      <x:c r="Q62" s="113"/>
      <x:c r="R62" s="113"/>
      <x:c r="S62" s="113"/>
      <x:c r="T62" s="113"/>
      <x:c r="U62" s="113"/>
      <x:c r="V62" s="113"/>
      <x:c r="W62" s="113"/>
      <x:c r="X62" s="113"/>
      <x:c r="Y62" s="113"/>
      <x:c r="Z62" s="113"/>
      <x:c r="AA62" s="113"/>
      <x:c r="AB62" s="113"/>
      <x:c r="AC62" s="113"/>
      <x:c r="AD62" s="113"/>
      <x:c r="AE62" s="113"/>
    </x:row>
    <x:row r="63">
      <x:c r="A63" s="113"/>
      <x:c r="B63" s="113"/>
      <x:c r="C63" s="113"/>
      <x:c r="D63" s="113"/>
      <x:c r="E63" s="113"/>
      <x:c r="F63" s="113"/>
      <x:c r="G63" s="113"/>
      <x:c r="H63" s="113"/>
      <x:c r="I63" s="113"/>
      <x:c r="J63" s="113"/>
      <x:c r="K63" s="113"/>
      <x:c r="L63" s="113"/>
      <x:c r="M63" s="113"/>
      <x:c r="N63" s="113"/>
      <x:c r="O63" s="113"/>
      <x:c r="P63" s="113"/>
      <x:c r="Q63" s="113"/>
      <x:c r="R63" s="113"/>
      <x:c r="S63" s="113"/>
      <x:c r="T63" s="113"/>
      <x:c r="U63" s="113"/>
      <x:c r="V63" s="113"/>
      <x:c r="W63" s="113"/>
      <x:c r="X63" s="113"/>
      <x:c r="Y63" s="113"/>
      <x:c r="Z63" s="113"/>
      <x:c r="AA63" s="113"/>
      <x:c r="AB63" s="113"/>
      <x:c r="AC63" s="113"/>
      <x:c r="AD63" s="113"/>
      <x:c r="AE63" s="113"/>
    </x:row>
    <x:row r="64">
      <x:c r="A64" s="113"/>
      <x:c r="B64" s="113"/>
      <x:c r="C64" s="113"/>
      <x:c r="D64" s="113"/>
      <x:c r="E64" s="113"/>
      <x:c r="F64" s="113"/>
      <x:c r="G64" s="113"/>
      <x:c r="H64" s="113"/>
      <x:c r="I64" s="113"/>
      <x:c r="J64" s="113"/>
      <x:c r="K64" s="113"/>
      <x:c r="L64" s="113"/>
      <x:c r="M64" s="113"/>
      <x:c r="N64" s="113"/>
      <x:c r="O64" s="113"/>
      <x:c r="P64" s="113"/>
      <x:c r="Q64" s="113"/>
      <x:c r="R64" s="113"/>
      <x:c r="S64" s="113"/>
      <x:c r="T64" s="113"/>
      <x:c r="U64" s="113"/>
      <x:c r="V64" s="113"/>
      <x:c r="W64" s="113"/>
      <x:c r="X64" s="113"/>
      <x:c r="Y64" s="113"/>
      <x:c r="Z64" s="113"/>
      <x:c r="AA64" s="113"/>
      <x:c r="AB64" s="113"/>
      <x:c r="AC64" s="113"/>
      <x:c r="AD64" s="113"/>
      <x:c r="AE64" s="113"/>
    </x:row>
    <x:row r="65">
      <x:c r="A65" s="113"/>
      <x:c r="B65" s="113"/>
      <x:c r="C65" s="113"/>
      <x:c r="D65" s="113"/>
      <x:c r="E65" s="113"/>
      <x:c r="F65" s="113"/>
      <x:c r="G65" s="113"/>
      <x:c r="H65" s="113"/>
      <x:c r="I65" s="113"/>
      <x:c r="J65" s="113"/>
      <x:c r="K65" s="113"/>
      <x:c r="L65" s="113"/>
      <x:c r="M65" s="113"/>
      <x:c r="N65" s="113"/>
      <x:c r="O65" s="113"/>
      <x:c r="P65" s="113"/>
      <x:c r="Q65" s="113"/>
      <x:c r="R65" s="113"/>
      <x:c r="S65" s="113"/>
      <x:c r="T65" s="113"/>
      <x:c r="U65" s="113"/>
      <x:c r="V65" s="113"/>
      <x:c r="W65" s="113"/>
      <x:c r="X65" s="113"/>
      <x:c r="Y65" s="113"/>
      <x:c r="Z65" s="113"/>
      <x:c r="AA65" s="113"/>
      <x:c r="AB65" s="113"/>
      <x:c r="AC65" s="113"/>
      <x:c r="AD65" s="113"/>
      <x:c r="AE65" s="113"/>
    </x:row>
    <x:row r="66">
      <x:c r="A66" s="113"/>
      <x:c r="B66" s="113"/>
      <x:c r="C66" s="113"/>
      <x:c r="D66" s="113"/>
      <x:c r="E66" s="113"/>
      <x:c r="F66" s="113"/>
      <x:c r="G66" s="113"/>
      <x:c r="H66" s="113"/>
      <x:c r="I66" s="113"/>
      <x:c r="J66" s="113"/>
      <x:c r="K66" s="113"/>
      <x:c r="L66" s="113"/>
      <x:c r="M66" s="113"/>
      <x:c r="N66" s="113"/>
      <x:c r="O66" s="113"/>
      <x:c r="P66" s="113"/>
      <x:c r="Q66" s="113"/>
      <x:c r="R66" s="113"/>
      <x:c r="S66" s="113"/>
      <x:c r="T66" s="113"/>
      <x:c r="U66" s="113"/>
      <x:c r="V66" s="113"/>
      <x:c r="W66" s="113"/>
      <x:c r="X66" s="113"/>
      <x:c r="Y66" s="113"/>
      <x:c r="Z66" s="113"/>
      <x:c r="AA66" s="113"/>
      <x:c r="AB66" s="113"/>
      <x:c r="AC66" s="113"/>
      <x:c r="AD66" s="113"/>
      <x:c r="AE66" s="113"/>
    </x:row>
    <x:row r="67">
      <x:c r="A67" s="113"/>
      <x:c r="B67" s="113"/>
      <x:c r="C67" s="113"/>
      <x:c r="D67" s="113"/>
      <x:c r="E67" s="113"/>
      <x:c r="F67" s="113"/>
      <x:c r="G67" s="113"/>
      <x:c r="H67" s="113"/>
      <x:c r="I67" s="113"/>
      <x:c r="J67" s="113"/>
      <x:c r="K67" s="113"/>
      <x:c r="L67" s="113"/>
      <x:c r="M67" s="113"/>
      <x:c r="N67" s="113"/>
      <x:c r="O67" s="113"/>
      <x:c r="P67" s="113"/>
      <x:c r="Q67" s="113"/>
      <x:c r="R67" s="113"/>
      <x:c r="S67" s="113"/>
      <x:c r="T67" s="113"/>
      <x:c r="U67" s="113"/>
      <x:c r="V67" s="113"/>
      <x:c r="W67" s="113"/>
      <x:c r="X67" s="113"/>
      <x:c r="Y67" s="113"/>
      <x:c r="Z67" s="113"/>
      <x:c r="AA67" s="113"/>
      <x:c r="AB67" s="113"/>
      <x:c r="AC67" s="113"/>
      <x:c r="AD67" s="113"/>
      <x:c r="AE67" s="113"/>
    </x:row>
    <x:row r="68">
      <x:c r="A68" s="113"/>
      <x:c r="B68" s="113"/>
      <x:c r="C68" s="113"/>
      <x:c r="D68" s="113"/>
      <x:c r="E68" s="113"/>
      <x:c r="F68" s="113"/>
      <x:c r="G68" s="113"/>
      <x:c r="H68" s="113"/>
      <x:c r="I68" s="113"/>
      <x:c r="J68" s="113"/>
      <x:c r="K68" s="113"/>
      <x:c r="L68" s="113"/>
      <x:c r="M68" s="113"/>
      <x:c r="N68" s="113"/>
      <x:c r="O68" s="113"/>
      <x:c r="P68" s="113"/>
      <x:c r="Q68" s="113"/>
      <x:c r="R68" s="113"/>
      <x:c r="S68" s="113"/>
      <x:c r="T68" s="113"/>
      <x:c r="U68" s="113"/>
      <x:c r="V68" s="113"/>
      <x:c r="W68" s="113"/>
      <x:c r="X68" s="113"/>
      <x:c r="Y68" s="113"/>
      <x:c r="Z68" s="113"/>
      <x:c r="AA68" s="113"/>
      <x:c r="AB68" s="113"/>
      <x:c r="AC68" s="113"/>
      <x:c r="AD68" s="113"/>
      <x:c r="AE68" s="113"/>
    </x:row>
    <x:row r="69">
      <x:c r="A69" s="113"/>
      <x:c r="B69" s="113"/>
      <x:c r="C69" s="113"/>
      <x:c r="D69" s="113"/>
      <x:c r="E69" s="113"/>
      <x:c r="F69" s="113"/>
      <x:c r="G69" s="113"/>
      <x:c r="H69" s="113"/>
      <x:c r="I69" s="113"/>
      <x:c r="J69" s="113"/>
      <x:c r="K69" s="113"/>
      <x:c r="L69" s="113"/>
      <x:c r="M69" s="113"/>
      <x:c r="N69" s="113"/>
      <x:c r="O69" s="113"/>
      <x:c r="P69" s="113"/>
      <x:c r="Q69" s="113"/>
      <x:c r="R69" s="113"/>
      <x:c r="S69" s="113"/>
      <x:c r="T69" s="113"/>
      <x:c r="U69" s="113"/>
      <x:c r="V69" s="113"/>
      <x:c r="W69" s="113"/>
      <x:c r="X69" s="113"/>
      <x:c r="Y69" s="113"/>
      <x:c r="Z69" s="113"/>
      <x:c r="AA69" s="113"/>
      <x:c r="AB69" s="113"/>
      <x:c r="AC69" s="113"/>
      <x:c r="AD69" s="113"/>
      <x:c r="AE69" s="113"/>
    </x:row>
    <x:row r="70">
      <x:c r="A70" s="113"/>
      <x:c r="B70" s="113"/>
      <x:c r="C70" s="113"/>
      <x:c r="D70" s="113"/>
      <x:c r="E70" s="113"/>
      <x:c r="F70" s="113"/>
      <x:c r="G70" s="113"/>
      <x:c r="H70" s="113"/>
      <x:c r="I70" s="113"/>
      <x:c r="J70" s="113"/>
      <x:c r="K70" s="113"/>
      <x:c r="L70" s="113"/>
      <x:c r="M70" s="113"/>
      <x:c r="N70" s="113"/>
      <x:c r="O70" s="113"/>
      <x:c r="P70" s="113"/>
      <x:c r="Q70" s="113"/>
      <x:c r="R70" s="113"/>
      <x:c r="S70" s="113"/>
      <x:c r="T70" s="113"/>
      <x:c r="U70" s="113"/>
      <x:c r="V70" s="113"/>
      <x:c r="W70" s="113"/>
      <x:c r="X70" s="113"/>
      <x:c r="Y70" s="113"/>
      <x:c r="Z70" s="113"/>
      <x:c r="AA70" s="113"/>
      <x:c r="AB70" s="113"/>
      <x:c r="AC70" s="113"/>
      <x:c r="AD70" s="113"/>
      <x:c r="AE70" s="113"/>
    </x:row>
    <x:row r="71">
      <x:c r="A71" s="113"/>
      <x:c r="B71" s="113"/>
      <x:c r="C71" s="113"/>
      <x:c r="D71" s="113"/>
      <x:c r="E71" s="113"/>
      <x:c r="F71" s="113"/>
      <x:c r="G71" s="113"/>
      <x:c r="H71" s="113"/>
      <x:c r="I71" s="113"/>
      <x:c r="J71" s="113"/>
      <x:c r="K71" s="113"/>
      <x:c r="L71" s="113"/>
      <x:c r="M71" s="113"/>
      <x:c r="N71" s="113"/>
      <x:c r="O71" s="113"/>
      <x:c r="P71" s="113"/>
      <x:c r="Q71" s="113"/>
      <x:c r="R71" s="113"/>
      <x:c r="S71" s="113"/>
      <x:c r="T71" s="113"/>
      <x:c r="U71" s="113"/>
      <x:c r="V71" s="113"/>
      <x:c r="W71" s="113"/>
      <x:c r="X71" s="113"/>
      <x:c r="Y71" s="113"/>
      <x:c r="Z71" s="113"/>
      <x:c r="AA71" s="113"/>
      <x:c r="AB71" s="113"/>
      <x:c r="AC71" s="113"/>
      <x:c r="AD71" s="113"/>
      <x:c r="AE71" s="113"/>
    </x:row>
    <x:row r="72">
      <x:c r="A72" s="113"/>
      <x:c r="B72" s="113"/>
      <x:c r="C72" s="113"/>
      <x:c r="D72" s="113"/>
      <x:c r="E72" s="113"/>
      <x:c r="F72" s="113"/>
      <x:c r="G72" s="113"/>
      <x:c r="H72" s="113"/>
      <x:c r="I72" s="113"/>
      <x:c r="J72" s="113"/>
      <x:c r="K72" s="113"/>
      <x:c r="L72" s="113"/>
      <x:c r="M72" s="113"/>
      <x:c r="N72" s="113"/>
      <x:c r="O72" s="113"/>
      <x:c r="P72" s="113"/>
      <x:c r="Q72" s="113"/>
      <x:c r="R72" s="113"/>
      <x:c r="S72" s="113"/>
      <x:c r="T72" s="113"/>
      <x:c r="U72" s="113"/>
      <x:c r="V72" s="113"/>
      <x:c r="W72" s="113"/>
      <x:c r="X72" s="113"/>
      <x:c r="Y72" s="113"/>
      <x:c r="Z72" s="113"/>
      <x:c r="AA72" s="113"/>
      <x:c r="AB72" s="113"/>
      <x:c r="AC72" s="113"/>
      <x:c r="AD72" s="113"/>
      <x:c r="AE72" s="113"/>
    </x:row>
    <x:row r="73">
      <x:c r="A73" s="113"/>
      <x:c r="B73" s="113"/>
      <x:c r="C73" s="113"/>
      <x:c r="D73" s="113"/>
      <x:c r="E73" s="113"/>
      <x:c r="F73" s="113"/>
      <x:c r="G73" s="113"/>
      <x:c r="H73" s="113"/>
      <x:c r="I73" s="113"/>
      <x:c r="J73" s="113"/>
      <x:c r="K73" s="113"/>
      <x:c r="L73" s="113"/>
      <x:c r="M73" s="113"/>
      <x:c r="N73" s="113"/>
      <x:c r="O73" s="113"/>
      <x:c r="P73" s="113"/>
      <x:c r="Q73" s="113"/>
      <x:c r="R73" s="113"/>
      <x:c r="S73" s="113"/>
      <x:c r="T73" s="113"/>
      <x:c r="U73" s="113"/>
      <x:c r="V73" s="113"/>
      <x:c r="W73" s="113"/>
      <x:c r="X73" s="113"/>
      <x:c r="Y73" s="113"/>
      <x:c r="Z73" s="113"/>
      <x:c r="AA73" s="113"/>
      <x:c r="AB73" s="113"/>
      <x:c r="AC73" s="113"/>
      <x:c r="AD73" s="113"/>
      <x:c r="AE73" s="113"/>
    </x:row>
    <x:row r="74">
      <x:c r="A74" s="113"/>
      <x:c r="B74" s="113"/>
      <x:c r="C74" s="113"/>
      <x:c r="D74" s="113"/>
      <x:c r="E74" s="113"/>
      <x:c r="F74" s="113"/>
      <x:c r="G74" s="113"/>
      <x:c r="H74" s="113"/>
      <x:c r="I74" s="113"/>
      <x:c r="J74" s="113"/>
      <x:c r="K74" s="113"/>
      <x:c r="L74" s="113"/>
      <x:c r="M74" s="113"/>
      <x:c r="N74" s="113"/>
      <x:c r="O74" s="113"/>
      <x:c r="P74" s="113"/>
      <x:c r="Q74" s="113"/>
      <x:c r="R74" s="113"/>
      <x:c r="S74" s="113"/>
      <x:c r="T74" s="113"/>
      <x:c r="U74" s="113"/>
      <x:c r="V74" s="113"/>
      <x:c r="W74" s="113"/>
      <x:c r="X74" s="113"/>
      <x:c r="Y74" s="113"/>
      <x:c r="Z74" s="113"/>
      <x:c r="AA74" s="113"/>
      <x:c r="AB74" s="113"/>
      <x:c r="AC74" s="113"/>
      <x:c r="AD74" s="113"/>
      <x:c r="AE74" s="113"/>
    </x:row>
    <x:row r="75">
      <x:c r="A75" s="113"/>
      <x:c r="B75" s="113"/>
      <x:c r="C75" s="113"/>
      <x:c r="D75" s="113"/>
      <x:c r="E75" s="113"/>
      <x:c r="F75" s="113"/>
      <x:c r="G75" s="113"/>
      <x:c r="H75" s="113"/>
      <x:c r="I75" s="113"/>
      <x:c r="J75" s="113"/>
      <x:c r="K75" s="113"/>
      <x:c r="L75" s="113"/>
      <x:c r="M75" s="113"/>
      <x:c r="N75" s="113"/>
      <x:c r="O75" s="113"/>
      <x:c r="P75" s="113"/>
      <x:c r="Q75" s="113"/>
      <x:c r="R75" s="113"/>
      <x:c r="S75" s="113"/>
      <x:c r="T75" s="113"/>
      <x:c r="U75" s="113"/>
      <x:c r="V75" s="113"/>
      <x:c r="W75" s="113"/>
      <x:c r="X75" s="113"/>
      <x:c r="Y75" s="113"/>
      <x:c r="Z75" s="113"/>
      <x:c r="AA75" s="113"/>
      <x:c r="AB75" s="113"/>
      <x:c r="AC75" s="113"/>
      <x:c r="AD75" s="113"/>
      <x:c r="AE75" s="113"/>
    </x:row>
    <x:row r="76">
      <x:c r="A76" s="113"/>
      <x:c r="B76" s="113"/>
      <x:c r="C76" s="113"/>
      <x:c r="D76" s="113"/>
      <x:c r="E76" s="113"/>
      <x:c r="F76" s="113"/>
      <x:c r="G76" s="113"/>
      <x:c r="H76" s="113"/>
      <x:c r="I76" s="113"/>
      <x:c r="J76" s="113"/>
      <x:c r="K76" s="113"/>
      <x:c r="L76" s="113"/>
      <x:c r="M76" s="113"/>
      <x:c r="N76" s="113"/>
      <x:c r="O76" s="113"/>
      <x:c r="P76" s="113"/>
      <x:c r="Q76" s="113"/>
      <x:c r="R76" s="113"/>
      <x:c r="S76" s="113"/>
      <x:c r="T76" s="113"/>
      <x:c r="U76" s="113"/>
      <x:c r="V76" s="113"/>
      <x:c r="W76" s="113"/>
      <x:c r="X76" s="113"/>
      <x:c r="Y76" s="113"/>
      <x:c r="Z76" s="113"/>
      <x:c r="AA76" s="113"/>
      <x:c r="AB76" s="113"/>
      <x:c r="AC76" s="113"/>
      <x:c r="AD76" s="113"/>
      <x:c r="AE76" s="113"/>
    </x:row>
    <x:row r="77">
      <x:c r="A77" s="113"/>
      <x:c r="B77" s="113"/>
      <x:c r="C77" s="113"/>
      <x:c r="D77" s="113"/>
      <x:c r="E77" s="113"/>
      <x:c r="F77" s="113"/>
      <x:c r="G77" s="113"/>
      <x:c r="H77" s="113"/>
      <x:c r="I77" s="113"/>
      <x:c r="J77" s="113"/>
      <x:c r="K77" s="113"/>
      <x:c r="L77" s="113"/>
      <x:c r="M77" s="113"/>
      <x:c r="N77" s="113"/>
      <x:c r="O77" s="113"/>
      <x:c r="P77" s="113"/>
      <x:c r="Q77" s="113"/>
      <x:c r="R77" s="113"/>
      <x:c r="S77" s="113"/>
      <x:c r="T77" s="113"/>
      <x:c r="U77" s="113"/>
      <x:c r="V77" s="113"/>
      <x:c r="W77" s="113"/>
      <x:c r="X77" s="113"/>
      <x:c r="Y77" s="113"/>
      <x:c r="Z77" s="113"/>
      <x:c r="AA77" s="113"/>
      <x:c r="AB77" s="113"/>
      <x:c r="AC77" s="113"/>
      <x:c r="AD77" s="113"/>
      <x:c r="AE77" s="113"/>
    </x:row>
    <x:row r="78">
      <x:c r="A78" s="113"/>
      <x:c r="B78" s="113"/>
      <x:c r="C78" s="113"/>
      <x:c r="D78" s="113"/>
      <x:c r="E78" s="113"/>
      <x:c r="F78" s="113"/>
      <x:c r="G78" s="113"/>
      <x:c r="H78" s="113"/>
      <x:c r="I78" s="113"/>
      <x:c r="J78" s="113"/>
      <x:c r="K78" s="113"/>
      <x:c r="L78" s="113"/>
      <x:c r="M78" s="113"/>
      <x:c r="N78" s="113"/>
      <x:c r="O78" s="113"/>
      <x:c r="P78" s="113"/>
      <x:c r="Q78" s="113"/>
      <x:c r="R78" s="113"/>
      <x:c r="S78" s="113"/>
      <x:c r="T78" s="113"/>
      <x:c r="U78" s="113"/>
      <x:c r="V78" s="113"/>
      <x:c r="W78" s="113"/>
      <x:c r="X78" s="113"/>
      <x:c r="Y78" s="113"/>
      <x:c r="Z78" s="113"/>
      <x:c r="AA78" s="113"/>
      <x:c r="AB78" s="113"/>
      <x:c r="AC78" s="113"/>
      <x:c r="AD78" s="113"/>
      <x:c r="AE78" s="113"/>
    </x:row>
    <x:row r="79">
      <x:c r="A79" s="113"/>
      <x:c r="B79" s="113"/>
      <x:c r="C79" s="113"/>
      <x:c r="D79" s="113"/>
      <x:c r="E79" s="113"/>
      <x:c r="F79" s="113"/>
      <x:c r="G79" s="113"/>
      <x:c r="H79" s="113"/>
      <x:c r="I79" s="113"/>
      <x:c r="J79" s="113"/>
      <x:c r="K79" s="113"/>
      <x:c r="L79" s="113"/>
      <x:c r="M79" s="113"/>
      <x:c r="N79" s="113"/>
      <x:c r="O79" s="113"/>
      <x:c r="P79" s="113"/>
      <x:c r="Q79" s="113"/>
      <x:c r="R79" s="113"/>
      <x:c r="S79" s="113"/>
      <x:c r="T79" s="113"/>
      <x:c r="U79" s="113"/>
      <x:c r="V79" s="113"/>
      <x:c r="W79" s="113"/>
      <x:c r="X79" s="113"/>
      <x:c r="Y79" s="113"/>
      <x:c r="Z79" s="113"/>
      <x:c r="AA79" s="113"/>
      <x:c r="AB79" s="113"/>
      <x:c r="AC79" s="113"/>
      <x:c r="AD79" s="113"/>
      <x:c r="AE79" s="113"/>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R1"/>
  </x:mergeCells>
  <x:pageMargins left="0.7" right="0.7" top="0.75" bottom="0.75" header="0.3" footer="0.3"/>
  <x:tableParts count="1">
    <x:tablePart xmlns:r="http://schemas.openxmlformats.org/officeDocument/2006/relationships" r:id="Ra69550e6ccd04452"/>
  </x:tableParts>
</x:worksheet>
</file>

<file path=xl/worksheets/sheet28.xml><?xml version="1.0" encoding="utf-8"?>
<x:worksheet xmlns:x="http://schemas.openxmlformats.org/spreadsheetml/2006/main">
  <x:sheetFormatPr defaultRowHeight="15"/>
  <x:cols>
    <x:col min="1" max="1" width="26" hidden="0" customWidth="1"/>
    <x:col min="2" max="2" width="38" hidden="0" customWidth="1"/>
    <x:col min="3" max="3" width="24" hidden="0" customWidth="1"/>
    <x:col min="4" max="4" width="10" hidden="0" customWidth="1"/>
    <x:col min="5" max="5" width="14" hidden="0" customWidth="1"/>
    <x:col min="6" max="6" width="23" hidden="0" customWidth="1"/>
    <x:col min="7" max="7" width="34" hidden="0" customWidth="1"/>
    <x:col min="8" max="8" width="44" hidden="0" customWidth="1"/>
    <x:col min="9" max="9" width="42" hidden="0" customWidth="1"/>
    <x:col min="10" max="10" width="13" hidden="0" customWidth="1"/>
  </x:cols>
  <x:sheetData>
    <x:row r="1" ht="28" customHeight="1">
      <x:c r="A1" s="121" t="str">
        <x:v>ARCHIV / ERSETZT – Änderungen Gesamt 4.4x</x:v>
      </x:c>
      <x:c r="B1" s="121"/>
      <x:c r="C1" s="121"/>
      <x:c r="D1" s="121"/>
      <x:c r="E1" s="121"/>
      <x:c r="F1" s="121"/>
      <x:c r="G1" s="121"/>
      <x:c r="H1" s="121"/>
      <x:c r="I1" s="121"/>
      <x:c r="J1" s="121"/>
      <x:c r="K1" s="113"/>
      <x:c r="L1" s="113"/>
      <x:c r="M1" s="113"/>
      <x:c r="N1" s="113"/>
      <x:c r="O1" s="113"/>
      <x:c r="P1" s="113"/>
      <x:c r="Q1" s="113"/>
      <x:c r="R1" s="113"/>
      <x:c r="S1" s="113"/>
      <x:c r="T1" s="113"/>
      <x:c r="U1" s="113"/>
      <x:c r="V1" s="113"/>
      <x:c r="W1" s="113"/>
      <x:c r="X1" s="113"/>
      <x:c r="Y1" s="113"/>
      <x:c r="Z1" s="113"/>
      <x:c r="AA1" s="113"/>
      <x:c r="AB1" s="113"/>
      <x:c r="AC1" s="113"/>
      <x:c r="AD1" s="113"/>
      <x:c r="AE1" s="113"/>
    </x:row>
    <x:row r="2">
      <x:c r="A2" s="113"/>
      <x:c r="B2" s="113"/>
      <x:c r="C2" s="113"/>
      <x:c r="D2" s="113"/>
      <x:c r="E2" s="113"/>
      <x:c r="F2" s="113"/>
      <x:c r="G2" s="113"/>
      <x:c r="H2" s="113"/>
      <x:c r="I2" s="113"/>
      <x:c r="J2" s="113"/>
      <x:c r="K2" s="113"/>
      <x:c r="L2" s="113"/>
      <x:c r="M2" s="113"/>
      <x:c r="N2" s="113"/>
      <x:c r="O2" s="113"/>
      <x:c r="P2" s="113"/>
      <x:c r="Q2" s="113"/>
      <x:c r="R2" s="113"/>
      <x:c r="S2" s="113"/>
      <x:c r="T2" s="113"/>
      <x:c r="U2" s="113"/>
      <x:c r="V2" s="113"/>
      <x:c r="W2" s="113"/>
      <x:c r="X2" s="113"/>
      <x:c r="Y2" s="113"/>
      <x:c r="Z2" s="113"/>
      <x:c r="AA2" s="113"/>
      <x:c r="AB2" s="113"/>
      <x:c r="AC2" s="113"/>
      <x:c r="AD2" s="113"/>
      <x:c r="AE2" s="113"/>
    </x:row>
    <x:row r="3" ht="30" customHeight="1">
      <x:c r="A3" s="131" t="str">
        <x:v>Bereich</x:v>
      </x:c>
      <x:c r="B3" s="131" t="str">
        <x:v>Einrichtung / Regel</x:v>
      </x:c>
      <x:c r="C3" s="131" t="str">
        <x:v>Aktion</x:v>
      </x:c>
      <x:c r="D3" s="131" t="str">
        <x:v>Priorität</x:v>
      </x:c>
      <x:c r="E3" s="131" t="str">
        <x:v>Neu/Bestand</x:v>
      </x:c>
      <x:c r="F3" s="131" t="str">
        <x:v>Ort</x:v>
      </x:c>
      <x:c r="G3" s="131" t="str">
        <x:v>Geo-Status</x:v>
      </x:c>
      <x:c r="H3" s="131" t="str">
        <x:v>Verknüpfung / Besonderheit</x:v>
      </x:c>
      <x:c r="I3" s="131" t="str">
        <x:v>Quelle</x:v>
      </x:c>
      <x:c r="J3" s="131" t="str">
        <x:v>Prüfdatum</x:v>
      </x:c>
      <x:c r="K3" s="113"/>
      <x:c r="L3" s="113"/>
      <x:c r="M3" s="113"/>
      <x:c r="N3" s="113"/>
      <x:c r="O3" s="113"/>
      <x:c r="P3" s="113"/>
      <x:c r="Q3" s="113"/>
      <x:c r="R3" s="113"/>
      <x:c r="S3" s="113"/>
      <x:c r="T3" s="113"/>
      <x:c r="U3" s="113"/>
      <x:c r="V3" s="113"/>
      <x:c r="W3" s="113"/>
      <x:c r="X3" s="113"/>
      <x:c r="Y3" s="113"/>
      <x:c r="Z3" s="113"/>
      <x:c r="AA3" s="113"/>
      <x:c r="AB3" s="113"/>
      <x:c r="AC3" s="113"/>
      <x:c r="AD3" s="113"/>
      <x:c r="AE3" s="113"/>
    </x:row>
    <x:row r="4">
      <x:c r="A4" s="116" t="str">
        <x:v>Medizinische Reha</x:v>
      </x:c>
      <x:c r="B4" s="116" t="str">
        <x:v>Schmerztherapiezentrum Bad Mergentheim</x:v>
      </x:c>
      <x:c r="C4" s="116" t="str">
        <x:v>Aufnehmen</x:v>
      </x:c>
      <x:c r="D4" s="116" t="str">
        <x:v>A+</x:v>
      </x:c>
      <x:c r="E4" s="116" t="str">
        <x:v>Neu</x:v>
      </x:c>
      <x:c r="F4" s="116" t="str">
        <x:v>Bad Mergentheim</x:v>
      </x:c>
      <x:c r="G4" s="116" t="str">
        <x:v>Hausadresse und Standortkoordinate verifiziert</x:v>
      </x:c>
      <x:c r="H4" s="116" t="str">
        <x:v>A+; ambulant und stationär am selben Standort; besondere regionale Bedeutung.</x:v>
      </x:c>
      <x:c r="I4" s="116" t="str">
        <x:v>https://www.schmerzklinik.com/patienten</x:v>
      </x:c>
      <x:c r="J4" s="116" t="str">
        <x:v>2026-08-30</x:v>
      </x:c>
      <x:c r="K4" s="113"/>
      <x:c r="L4" s="113"/>
      <x:c r="M4" s="113"/>
      <x:c r="N4" s="113"/>
      <x:c r="O4" s="113"/>
      <x:c r="P4" s="113"/>
      <x:c r="Q4" s="113"/>
      <x:c r="R4" s="113"/>
      <x:c r="S4" s="113"/>
      <x:c r="T4" s="113"/>
      <x:c r="U4" s="113"/>
      <x:c r="V4" s="113"/>
      <x:c r="W4" s="113"/>
      <x:c r="X4" s="113"/>
      <x:c r="Y4" s="113"/>
      <x:c r="Z4" s="113"/>
      <x:c r="AA4" s="113"/>
      <x:c r="AB4" s="113"/>
      <x:c r="AC4" s="113"/>
      <x:c r="AD4" s="113"/>
      <x:c r="AE4" s="113"/>
    </x:row>
    <x:row r="5">
      <x:c r="A5" s="116" t="str">
        <x:v>Neurologisch-psychiatrische Praxen</x:v>
      </x:c>
      <x:c r="B5" s="116" t="str">
        <x:v>Gemeinschaftspraxis für Neurologie, Psychiatrie und Psychotherapie – Nowackanlage</x:v>
      </x:c>
      <x:c r="C5" s="116" t="str">
        <x:v>Aufnehmen</x:v>
      </x:c>
      <x:c r="D5" s="116" t="str">
        <x:v>A</x:v>
      </x:c>
      <x:c r="E5" s="116" t="str">
        <x:v>Neu</x:v>
      </x:c>
      <x:c r="F5" s="116" t="str">
        <x:v>Karlsruhe</x:v>
      </x:c>
      <x:c r="G5" s="116" t="str">
        <x:v>Hausadresse und Gebäudekoordinate verifiziert</x:v>
      </x:c>
      <x:c r="H5" s="116" t="str">
        <x:v>Zusätzliche große Neuro-Psych-Praxis; bestehende Neuropraxis Karlsruhe Karlstraße 84 bleibt separat erhalten.</x:v>
      </x:c>
      <x:c r="I5" s="116" t="str">
        <x:v>https://www.neurologie-psychiatrie-karlsruhe.de/impressum/</x:v>
      </x:c>
      <x:c r="J5" s="116" t="str">
        <x:v>2026-08-30</x:v>
      </x:c>
      <x:c r="K5" s="113"/>
      <x:c r="L5" s="113"/>
      <x:c r="M5" s="113"/>
      <x:c r="N5" s="113"/>
      <x:c r="O5" s="113"/>
      <x:c r="P5" s="113"/>
      <x:c r="Q5" s="113"/>
      <x:c r="R5" s="113"/>
      <x:c r="S5" s="113"/>
      <x:c r="T5" s="113"/>
      <x:c r="U5" s="113"/>
      <x:c r="V5" s="113"/>
      <x:c r="W5" s="113"/>
      <x:c r="X5" s="113"/>
      <x:c r="Y5" s="113"/>
      <x:c r="Z5" s="113"/>
      <x:c r="AA5" s="113"/>
      <x:c r="AB5" s="113"/>
      <x:c r="AC5" s="113"/>
      <x:c r="AD5" s="113"/>
      <x:c r="AE5" s="113"/>
    </x:row>
    <x:row r="6">
      <x:c r="A6" s="116" t="str">
        <x:v>Neurologisch-psychiatrische Praxen</x:v>
      </x:c>
      <x:c r="B6" s="116" t="str">
        <x:v>Nervenheilkunde Weinheim</x:v>
      </x:c>
      <x:c r="C6" s="116" t="str">
        <x:v>Aufnehmen</x:v>
      </x:c>
      <x:c r="D6" s="116" t="str">
        <x:v>A</x:v>
      </x:c>
      <x:c r="E6" s="116" t="str">
        <x:v>Neu</x:v>
      </x:c>
      <x:c r="F6" s="116" t="str">
        <x:v>Weinheim</x:v>
      </x:c>
      <x:c r="G6" s="116" t="str">
        <x:v>Hausadresse und Standortkoordinate verifiziert</x:v>
      </x:c>
      <x:c r="H6" s="116" t="str">
        <x:v>Pflichtstandort der Ergänzungsrunde Rhein-Neckar/Bergstraße.</x:v>
      </x:c>
      <x:c r="I6" s="116" t="str">
        <x:v>https://www.nervenheilkunde-weinheim.de/</x:v>
      </x:c>
      <x:c r="J6" s="116" t="str">
        <x:v>2026-08-30</x:v>
      </x:c>
      <x:c r="K6" s="113"/>
      <x:c r="L6" s="113"/>
      <x:c r="M6" s="113"/>
      <x:c r="N6" s="113"/>
      <x:c r="O6" s="113"/>
      <x:c r="P6" s="113"/>
      <x:c r="Q6" s="113"/>
      <x:c r="R6" s="113"/>
      <x:c r="S6" s="113"/>
      <x:c r="T6" s="113"/>
      <x:c r="U6" s="113"/>
      <x:c r="V6" s="113"/>
      <x:c r="W6" s="113"/>
      <x:c r="X6" s="113"/>
      <x:c r="Y6" s="113"/>
      <x:c r="Z6" s="113"/>
      <x:c r="AA6" s="113"/>
      <x:c r="AB6" s="113"/>
      <x:c r="AC6" s="113"/>
      <x:c r="AD6" s="113"/>
      <x:c r="AE6" s="113"/>
    </x:row>
    <x:row r="7">
      <x:c r="A7" s="116" t="str">
        <x:v>Neurologisch-psychiatrische Praxen</x:v>
      </x:c>
      <x:c r="B7" s="116" t="str">
        <x:v>Praxis-Zentrum für Neurologie &amp; Psychiatrie Worms</x:v>
      </x:c>
      <x:c r="C7" s="116" t="str">
        <x:v>Aufnehmen</x:v>
      </x:c>
      <x:c r="D7" s="116" t="str">
        <x:v>A</x:v>
      </x:c>
      <x:c r="E7" s="116" t="str">
        <x:v>Neu</x:v>
      </x:c>
      <x:c r="F7" s="116" t="str">
        <x:v>Worms</x:v>
      </x:c>
      <x:c r="G7" s="116" t="str">
        <x:v>Hausadresse und Standortkoordinate verifiziert</x:v>
      </x:c>
      <x:c r="H7" s="116" t="str">
        <x:v>Ergänzt das bereits vorhandene Klinikum/MVZ Worms um eine eigenständige größere ambulante Neuro-Psych-Praxis.</x:v>
      </x:c>
      <x:c r="I7" s="116" t="str">
        <x:v>https://www.np-worms.de/</x:v>
      </x:c>
      <x:c r="J7" s="116" t="str">
        <x:v>2026-08-30</x:v>
      </x:c>
      <x:c r="K7" s="113"/>
      <x:c r="L7" s="113"/>
      <x:c r="M7" s="113"/>
      <x:c r="N7" s="113"/>
      <x:c r="O7" s="113"/>
      <x:c r="P7" s="113"/>
      <x:c r="Q7" s="113"/>
      <x:c r="R7" s="113"/>
      <x:c r="S7" s="113"/>
      <x:c r="T7" s="113"/>
      <x:c r="U7" s="113"/>
      <x:c r="V7" s="113"/>
      <x:c r="W7" s="113"/>
      <x:c r="X7" s="113"/>
      <x:c r="Y7" s="113"/>
      <x:c r="Z7" s="113"/>
      <x:c r="AA7" s="113"/>
      <x:c r="AB7" s="113"/>
      <x:c r="AC7" s="113"/>
      <x:c r="AD7" s="113"/>
      <x:c r="AE7" s="113"/>
    </x:row>
    <x:row r="8">
      <x:c r="A8" s="116" t="str">
        <x:v>Neurologisch-psychiatrische Praxen</x:v>
      </x:c>
      <x:c r="B8" s="116" t="str">
        <x:v>Praxis Dr. Jürgen Lang – Neurologie &amp; Psychiatrie</x:v>
      </x:c>
      <x:c r="C8" s="116" t="str">
        <x:v>Aufnehmen</x:v>
      </x:c>
      <x:c r="D8" s="116" t="str">
        <x:v>B</x:v>
      </x:c>
      <x:c r="E8" s="116" t="str">
        <x:v>Neu</x:v>
      </x:c>
      <x:c r="F8" s="116" t="str">
        <x:v>Tauberbischofsheim</x:v>
      </x:c>
      <x:c r="G8" s="116" t="str">
        <x:v>Hausadresse und adressbezogene Koordinate verifiziert</x:v>
      </x:c>
      <x:c r="H8" s="116" t="str">
        <x:v>Gezielte Lückenschließung Taubertal; ergänzt Neuropraxis Wertheim.</x:v>
      </x:c>
      <x:c r="I8" s="116" t="str">
        <x:v>https://www.dr-juergen-lang.de/</x:v>
      </x:c>
      <x:c r="J8" s="116" t="str">
        <x:v>2026-08-30</x:v>
      </x:c>
      <x:c r="K8" s="113"/>
      <x:c r="L8" s="113"/>
      <x:c r="M8" s="113"/>
      <x:c r="N8" s="113"/>
      <x:c r="O8" s="113"/>
      <x:c r="P8" s="113"/>
      <x:c r="Q8" s="113"/>
      <x:c r="R8" s="113"/>
      <x:c r="S8" s="113"/>
      <x:c r="T8" s="113"/>
      <x:c r="U8" s="113"/>
      <x:c r="V8" s="113"/>
      <x:c r="W8" s="113"/>
      <x:c r="X8" s="113"/>
      <x:c r="Y8" s="113"/>
      <x:c r="Z8" s="113"/>
      <x:c r="AA8" s="113"/>
      <x:c r="AB8" s="113"/>
      <x:c r="AC8" s="113"/>
      <x:c r="AD8" s="113"/>
      <x:c r="AE8" s="113"/>
    </x:row>
    <x:row r="9">
      <x:c r="A9" s="116" t="str">
        <x:v>Neurologisch-psychiatrische Praxen</x:v>
      </x:c>
      <x:c r="B9" s="116" t="str">
        <x:v>MVZ für Neurologie und Psychiatrie Würzburg</x:v>
      </x:c>
      <x:c r="C9" s="116" t="str">
        <x:v>Aufnehmen</x:v>
      </x:c>
      <x:c r="D9" s="116" t="str">
        <x:v>A</x:v>
      </x:c>
      <x:c r="E9" s="116" t="str">
        <x:v>Neu</x:v>
      </x:c>
      <x:c r="F9" s="116" t="str">
        <x:v>Würzburg</x:v>
      </x:c>
      <x:c r="G9" s="116" t="str">
        <x:v>Hausadresse und Standortkoordinate verifiziert</x:v>
      </x:c>
      <x:c r="H9" s="116" t="str">
        <x:v>MVZ wird nicht als eigene Hauptkategorie geführt, sondern unter Neurologie/Psychiatrie.</x:v>
      </x:c>
      <x:c r="I9" s="116" t="str">
        <x:v>https://www.mvz-neuro.de/</x:v>
      </x:c>
      <x:c r="J9" s="116" t="str">
        <x:v>2026-08-30</x:v>
      </x:c>
      <x:c r="K9" s="113"/>
      <x:c r="L9" s="113"/>
      <x:c r="M9" s="113"/>
      <x:c r="N9" s="113"/>
      <x:c r="O9" s="113"/>
      <x:c r="P9" s="113"/>
      <x:c r="Q9" s="113"/>
      <x:c r="R9" s="113"/>
      <x:c r="S9" s="113"/>
      <x:c r="T9" s="113"/>
      <x:c r="U9" s="113"/>
      <x:c r="V9" s="113"/>
      <x:c r="W9" s="113"/>
      <x:c r="X9" s="113"/>
      <x:c r="Y9" s="113"/>
      <x:c r="Z9" s="113"/>
      <x:c r="AA9" s="113"/>
      <x:c r="AB9" s="113"/>
      <x:c r="AC9" s="113"/>
      <x:c r="AD9" s="113"/>
      <x:c r="AE9" s="113"/>
    </x:row>
    <x:row r="10">
      <x:c r="A10" s="116" t="str">
        <x:v>Neurologisch-psychiatrische Praxen</x:v>
      </x:c>
      <x:c r="B10" s="116" t="str">
        <x:v>meditz Würzburg</x:v>
      </x:c>
      <x:c r="C10" s="116" t="str">
        <x:v>Aufnehmen</x:v>
      </x:c>
      <x:c r="D10" s="116" t="str">
        <x:v>A</x:v>
      </x:c>
      <x:c r="E10" s="116" t="str">
        <x:v>Neu</x:v>
      </x:c>
      <x:c r="F10" s="116" t="str">
        <x:v>Würzburg</x:v>
      </x:c>
      <x:c r="G10" s="116" t="str">
        <x:v>Hausadresse und Standortkoordinate verifiziert</x:v>
      </x:c>
      <x:c r="H10" s="116" t="str">
        <x:v>Interdisziplinäre Einrichtung; in der Karte primär nach Fachgebiet, nicht als MVZ-Hauptkategorie.</x:v>
      </x:c>
      <x:c r="I10" s="116" t="str">
        <x:v>https://www.meditz-wuerzburg.de/de/kontakt</x:v>
      </x:c>
      <x:c r="J10" s="116" t="str">
        <x:v>2026-08-30</x:v>
      </x:c>
      <x:c r="K10" s="113"/>
      <x:c r="L10" s="113"/>
      <x:c r="M10" s="113"/>
      <x:c r="N10" s="113"/>
      <x:c r="O10" s="113"/>
      <x:c r="P10" s="113"/>
      <x:c r="Q10" s="113"/>
      <x:c r="R10" s="113"/>
      <x:c r="S10" s="113"/>
      <x:c r="T10" s="113"/>
      <x:c r="U10" s="113"/>
      <x:c r="V10" s="113"/>
      <x:c r="W10" s="113"/>
      <x:c r="X10" s="113"/>
      <x:c r="Y10" s="113"/>
      <x:c r="Z10" s="113"/>
      <x:c r="AA10" s="113"/>
      <x:c r="AB10" s="113"/>
      <x:c r="AC10" s="113"/>
      <x:c r="AD10" s="113"/>
      <x:c r="AE10" s="113"/>
    </x:row>
    <x:row r="11">
      <x:c r="A11" s="116" t="str">
        <x:v>Neurologisch-psychiatrische Praxen</x:v>
      </x:c>
      <x:c r="B11" s="116" t="str">
        <x:v>Nervenärztliche Gemeinschaftspraxis Schweinfurt</x:v>
      </x:c>
      <x:c r="C11" s="116" t="str">
        <x:v>Aufnehmen</x:v>
      </x:c>
      <x:c r="D11" s="116" t="str">
        <x:v>B</x:v>
      </x:c>
      <x:c r="E11" s="116" t="str">
        <x:v>Neu</x:v>
      </x:c>
      <x:c r="F11" s="116" t="str">
        <x:v>Schweinfurt</x:v>
      </x:c>
      <x:c r="G11" s="116" t="str">
        <x:v>Hausadresse und Standortkoordinate verifiziert</x:v>
      </x:c>
      <x:c r="H11" s="116" t="str">
        <x:v>Unterfranken-Ergänzung außerhalb Würzburg.</x:v>
      </x:c>
      <x:c r="I11" s="116" t="str">
        <x:v>https://nervenaerzte-schweinfurt.de/</x:v>
      </x:c>
      <x:c r="J11" s="116" t="str">
        <x:v>2026-08-30</x:v>
      </x:c>
      <x:c r="K11" s="113"/>
      <x:c r="L11" s="113"/>
      <x:c r="M11" s="113"/>
      <x:c r="N11" s="113"/>
      <x:c r="O11" s="113"/>
      <x:c r="P11" s="113"/>
      <x:c r="Q11" s="113"/>
      <x:c r="R11" s="113"/>
      <x:c r="S11" s="113"/>
      <x:c r="T11" s="113"/>
      <x:c r="U11" s="113"/>
      <x:c r="V11" s="113"/>
      <x:c r="W11" s="113"/>
      <x:c r="X11" s="113"/>
      <x:c r="Y11" s="113"/>
      <x:c r="Z11" s="113"/>
      <x:c r="AA11" s="113"/>
      <x:c r="AB11" s="113"/>
      <x:c r="AC11" s="113"/>
      <x:c r="AD11" s="113"/>
      <x:c r="AE11" s="113"/>
    </x:row>
    <x:row r="12">
      <x:c r="A12" s="116" t="str">
        <x:v>Berufliche Reha</x:v>
      </x:c>
      <x:c r="B12" s="116" t="str">
        <x:v>Berufsförderungswerk Frankfurt am Main e.V. – Bad Vilbel</x:v>
      </x:c>
      <x:c r="C12" s="116" t="str">
        <x:v>Aufnehmen</x:v>
      </x:c>
      <x:c r="D12" s="116" t="str">
        <x:v>A+</x:v>
      </x:c>
      <x:c r="E12" s="116" t="str">
        <x:v>Neu</x:v>
      </x:c>
      <x:c r="F12" s="116" t="str">
        <x:v>Bad Vilbel</x:v>
      </x:c>
      <x:c r="G12" s="116" t="str">
        <x:v>Hausadresse verifiziert; numerische Einrichtungskordinate noch nicht belastbar separat bestätigt</x:v>
      </x:c>
      <x:c r="H12" s="116" t="str">
        <x:v>Bad Vilbel verbindlich aufnehmen. Regionalcenter Kassel ausdrücklich nicht in den Kartenbestand übernehmen.</x:v>
      </x:c>
      <x:c r="I12" s="116" t="str">
        <x:v>https://bfw-frankfurt.de/infos-links/kontakte</x:v>
      </x:c>
      <x:c r="J12" s="116" t="str">
        <x:v>2026-08-30</x:v>
      </x:c>
      <x:c r="K12" s="113"/>
      <x:c r="L12" s="113"/>
      <x:c r="M12" s="113"/>
      <x:c r="N12" s="113"/>
      <x:c r="O12" s="113"/>
      <x:c r="P12" s="113"/>
      <x:c r="Q12" s="113"/>
      <x:c r="R12" s="113"/>
      <x:c r="S12" s="113"/>
      <x:c r="T12" s="113"/>
      <x:c r="U12" s="113"/>
      <x:c r="V12" s="113"/>
      <x:c r="W12" s="113"/>
      <x:c r="X12" s="113"/>
      <x:c r="Y12" s="113"/>
      <x:c r="Z12" s="113"/>
      <x:c r="AA12" s="113"/>
      <x:c r="AB12" s="113"/>
      <x:c r="AC12" s="113"/>
      <x:c r="AD12" s="113"/>
      <x:c r="AE12" s="113"/>
    </x:row>
    <x:row r="13">
      <x:c r="A13" s="116" t="str">
        <x:v>Kfz &amp; Mobilität</x:v>
      </x:c>
      <x:c r="B13" s="116" t="str">
        <x:v>Fahrschule Klaus – Standort Mundenheim</x:v>
      </x:c>
      <x:c r="C13" s="116" t="str">
        <x:v>Aufnehmen</x:v>
      </x:c>
      <x:c r="D13" s="116" t="str">
        <x:v>A</x:v>
      </x:c>
      <x:c r="E13" s="116" t="str">
        <x:v>Neu</x:v>
      </x:c>
      <x:c r="F13" s="116" t="str">
        <x:v>Ludwigshafen am Rhein</x:v>
      </x:c>
      <x:c r="G13" s="116" t="str">
        <x:v>Hausadresse und adressbezogene Koordinate verifiziert</x:v>
      </x:c>
      <x:c r="H13" s="116" t="str">
        <x:v>Von mehreren Standorten wird Mundenheim als Kartenpunkt geführt.</x:v>
      </x:c>
      <x:c r="I13" s="116" t="str">
        <x:v>https://www.fahrschuleklaus.de/</x:v>
      </x:c>
      <x:c r="J13" s="116" t="str">
        <x:v>2026-08-30</x:v>
      </x:c>
      <x:c r="K13" s="113"/>
      <x:c r="L13" s="113"/>
      <x:c r="M13" s="113"/>
      <x:c r="N13" s="113"/>
      <x:c r="O13" s="113"/>
      <x:c r="P13" s="113"/>
      <x:c r="Q13" s="113"/>
      <x:c r="R13" s="113"/>
      <x:c r="S13" s="113"/>
      <x:c r="T13" s="113"/>
      <x:c r="U13" s="113"/>
      <x:c r="V13" s="113"/>
      <x:c r="W13" s="113"/>
      <x:c r="X13" s="113"/>
      <x:c r="Y13" s="113"/>
      <x:c r="Z13" s="113"/>
      <x:c r="AA13" s="113"/>
      <x:c r="AB13" s="113"/>
      <x:c r="AC13" s="113"/>
      <x:c r="AD13" s="113"/>
      <x:c r="AE13" s="113"/>
    </x:row>
    <x:row r="14">
      <x:c r="A14" s="116" t="str">
        <x:v>Kfz &amp; Mobilität</x:v>
      </x:c>
      <x:c r="B14" s="116" t="str">
        <x:v>Fahrschule Zawatzky – Behindertenfahrschule</x:v>
      </x:c>
      <x:c r="C14" s="116" t="str">
        <x:v>Aufnehmen</x:v>
      </x:c>
      <x:c r="D14" s="116" t="str">
        <x:v>A+</x:v>
      </x:c>
      <x:c r="E14" s="116" t="str">
        <x:v>Neu</x:v>
      </x:c>
      <x:c r="F14" s="116" t="str">
        <x:v>Neckargemünd</x:v>
      </x:c>
      <x:c r="G14" s="116" t="str">
        <x:v>Hausadresse und Standortkoordinate verifiziert</x:v>
      </x:c>
      <x:c r="H14" s="116" t="str">
        <x:v>ID 224 Mobilcenter Zawatzky Meckesheim</x:v>
      </x:c>
      <x:c r="I14" s="116" t="str">
        <x:v>https://zawatzky.de/fahrschule/kontakt/</x:v>
      </x:c>
      <x:c r="J14" s="116" t="str">
        <x:v>2026-08-30</x:v>
      </x:c>
      <x:c r="K14" s="113"/>
      <x:c r="L14" s="113"/>
      <x:c r="M14" s="113"/>
      <x:c r="N14" s="113"/>
      <x:c r="O14" s="113"/>
      <x:c r="P14" s="113"/>
      <x:c r="Q14" s="113"/>
      <x:c r="R14" s="113"/>
      <x:c r="S14" s="113"/>
      <x:c r="T14" s="113"/>
      <x:c r="U14" s="113"/>
      <x:c r="V14" s="113"/>
      <x:c r="W14" s="113"/>
      <x:c r="X14" s="113"/>
      <x:c r="Y14" s="113"/>
      <x:c r="Z14" s="113"/>
      <x:c r="AA14" s="113"/>
      <x:c r="AB14" s="113"/>
      <x:c r="AC14" s="113"/>
      <x:c r="AD14" s="113"/>
      <x:c r="AE14" s="113"/>
    </x:row>
    <x:row r="15">
      <x:c r="A15" s="116" t="str">
        <x:v>Berufliche Reha / Coaching</x:v>
      </x:c>
      <x:c r="B15" s="116" t="str">
        <x:v>pebb gmbh – Ober-Hilbersheim</x:v>
      </x:c>
      <x:c r="C15" s="116" t="str">
        <x:v>Aufnehmen</x:v>
      </x:c>
      <x:c r="D15" s="116" t="str">
        <x:v>A</x:v>
      </x:c>
      <x:c r="E15" s="116" t="str">
        <x:v>Neu</x:v>
      </x:c>
      <x:c r="F15" s="116" t="str">
        <x:v>Ober-Hilbersheim</x:v>
      </x:c>
      <x:c r="G15" s="116" t="str">
        <x:v>Hausadresse und Kontakt verifiziert; numerische Hauskoordinate noch nicht separat belastbar bestätigt</x:v>
      </x:c>
      <x:c r="H15" s="116" t="str">
        <x:v>pebb zwei gmbh</x:v>
      </x:c>
      <x:c r="I15" s="116" t="str">
        <x:v>https://www.pebb.de/kontakt/impressum/</x:v>
      </x:c>
      <x:c r="J15" s="116" t="str">
        <x:v>2026-08-30</x:v>
      </x:c>
      <x:c r="K15" s="113"/>
      <x:c r="L15" s="113"/>
      <x:c r="M15" s="113"/>
      <x:c r="N15" s="113"/>
      <x:c r="O15" s="113"/>
      <x:c r="P15" s="113"/>
      <x:c r="Q15" s="113"/>
      <x:c r="R15" s="113"/>
      <x:c r="S15" s="113"/>
      <x:c r="T15" s="113"/>
      <x:c r="U15" s="113"/>
      <x:c r="V15" s="113"/>
      <x:c r="W15" s="113"/>
      <x:c r="X15" s="113"/>
      <x:c r="Y15" s="113"/>
      <x:c r="Z15" s="113"/>
      <x:c r="AA15" s="113"/>
      <x:c r="AB15" s="113"/>
      <x:c r="AC15" s="113"/>
      <x:c r="AD15" s="113"/>
      <x:c r="AE15" s="113"/>
    </x:row>
    <x:row r="16">
      <x:c r="A16" s="116" t="str">
        <x:v>Berufliche Reha / Arbeitsvermittlung</x:v>
      </x:c>
      <x:c r="B16" s="116" t="str">
        <x:v>pebb zwei gmbh – Ober-Hilbersheim</x:v>
      </x:c>
      <x:c r="C16" s="116" t="str">
        <x:v>Aufnehmen</x:v>
      </x:c>
      <x:c r="D16" s="116" t="str">
        <x:v>A+</x:v>
      </x:c>
      <x:c r="E16" s="116" t="str">
        <x:v>Neu</x:v>
      </x:c>
      <x:c r="F16" s="116" t="str">
        <x:v>Ober-Hilbersheim</x:v>
      </x:c>
      <x:c r="G16" s="116" t="str">
        <x:v>Hausadresse und Kontakt verifiziert; numerische Hauskoordinate noch nicht separat belastbar bestätigt</x:v>
      </x:c>
      <x:c r="H16" s="116" t="str">
        <x:v>pebb gmbh</x:v>
      </x:c>
      <x:c r="I16" s="116" t="str">
        <x:v>https://www.pebbzwei.de/standorte/rheinland-pfalz-saarland/</x:v>
      </x:c>
      <x:c r="J16" s="116" t="str">
        <x:v>2026-08-30</x:v>
      </x:c>
      <x:c r="K16" s="113"/>
      <x:c r="L16" s="113"/>
      <x:c r="M16" s="113"/>
      <x:c r="N16" s="113"/>
      <x:c r="O16" s="113"/>
      <x:c r="P16" s="113"/>
      <x:c r="Q16" s="113"/>
      <x:c r="R16" s="113"/>
      <x:c r="S16" s="113"/>
      <x:c r="T16" s="113"/>
      <x:c r="U16" s="113"/>
      <x:c r="V16" s="113"/>
      <x:c r="W16" s="113"/>
      <x:c r="X16" s="113"/>
      <x:c r="Y16" s="113"/>
      <x:c r="Z16" s="113"/>
      <x:c r="AA16" s="113"/>
      <x:c r="AB16" s="113"/>
      <x:c r="AC16" s="113"/>
      <x:c r="AD16" s="113"/>
      <x:c r="AE16" s="113"/>
    </x:row>
    <x:row r="17">
      <x:c r="A17" s="116" t="str">
        <x:v>Reha-Management / Pflege</x:v>
      </x:c>
      <x:c r="B17" s="116" t="str">
        <x:v>reha assist GmbH</x:v>
      </x:c>
      <x:c r="C17" s="116" t="str">
        <x:v>Aufnehmen</x:v>
      </x:c>
      <x:c r="D17" s="116" t="str">
        <x:v>A</x:v>
      </x:c>
      <x:c r="E17" s="116" t="str">
        <x:v>Neu</x:v>
      </x:c>
      <x:c r="F17" s="116" t="str">
        <x:v>Arnsberg</x:v>
      </x:c>
      <x:c r="G17" s="116" t="str">
        <x:v>Hausadresse und Gebäudekoordinate verifiziert</x:v>
      </x:c>
      <x:c r="H17" s="116" t="str">
        <x:v>Konkreter Pflege-/Reha-Dienst; ersetzt keinen generischen 'Pflegeberater GUV'-Sammelpunkt.</x:v>
      </x:c>
      <x:c r="I17" s="116" t="str">
        <x:v>https://www.reha-assist.com/pflegeberatung/</x:v>
      </x:c>
      <x:c r="J17" s="116" t="str">
        <x:v>2026-08-30</x:v>
      </x:c>
      <x:c r="K17" s="113"/>
      <x:c r="L17" s="113"/>
      <x:c r="M17" s="113"/>
      <x:c r="N17" s="113"/>
      <x:c r="O17" s="113"/>
      <x:c r="P17" s="113"/>
      <x:c r="Q17" s="113"/>
      <x:c r="R17" s="113"/>
      <x:c r="S17" s="113"/>
      <x:c r="T17" s="113"/>
      <x:c r="U17" s="113"/>
      <x:c r="V17" s="113"/>
      <x:c r="W17" s="113"/>
      <x:c r="X17" s="113"/>
      <x:c r="Y17" s="113"/>
      <x:c r="Z17" s="113"/>
      <x:c r="AA17" s="113"/>
      <x:c r="AB17" s="113"/>
      <x:c r="AC17" s="113"/>
      <x:c r="AD17" s="113"/>
      <x:c r="AE17" s="113"/>
    </x:row>
    <x:row r="18">
      <x:c r="A18" s="116" t="str">
        <x:v>Neurologisch-psychiatrische Praxen</x:v>
      </x:c>
      <x:c r="B18" s="116" t="str">
        <x:v>Neuropraxis Wertheim</x:v>
      </x:c>
      <x:c r="C18" s="116" t="str">
        <x:v>Bestand aktualisieren</x:v>
      </x:c>
      <x:c r="D18" s="116" t="str">
        <x:v>A</x:v>
      </x:c>
      <x:c r="E18" s="116" t="str">
        <x:v>Bestand</x:v>
      </x:c>
      <x:c r="F18" s="116" t="str">
        <x:v>Wertheim</x:v>
      </x:c>
      <x:c r="G18" s="116" t="str">
        <x:v>adressgenau verifiziert</x:v>
      </x:c>
      <x:c r="H18" s="116" t="str">
        <x:v>Verbindlich als fester Aufnahmebestand; Kategorie von 'Sonstige' auf Neurologie/Psychiatrie bereinigen.</x:v>
      </x:c>
      <x:c r="I18" s="116" t="str">
        <x:v>https://www.neuropraxis-wertheim.de/kontakt</x:v>
      </x:c>
      <x:c r="J18" s="116" t="str">
        <x:v>2026-08-30</x:v>
      </x:c>
      <x:c r="K18" s="113"/>
      <x:c r="L18" s="113"/>
      <x:c r="M18" s="113"/>
      <x:c r="N18" s="113"/>
      <x:c r="O18" s="113"/>
      <x:c r="P18" s="113"/>
      <x:c r="Q18" s="113"/>
      <x:c r="R18" s="113"/>
      <x:c r="S18" s="113"/>
      <x:c r="T18" s="113"/>
      <x:c r="U18" s="113"/>
      <x:c r="V18" s="113"/>
      <x:c r="W18" s="113"/>
      <x:c r="X18" s="113"/>
      <x:c r="Y18" s="113"/>
      <x:c r="Z18" s="113"/>
      <x:c r="AA18" s="113"/>
      <x:c r="AB18" s="113"/>
      <x:c r="AC18" s="113"/>
      <x:c r="AD18" s="113"/>
      <x:c r="AE18" s="113"/>
    </x:row>
    <x:row r="19">
      <x:c r="A19" s="116" t="str">
        <x:v>Neurologisch-psychiatrische Praxen</x:v>
      </x:c>
      <x:c r="B19" s="116" t="str">
        <x:v>NervenDocks – Praxis für Neurologie &amp; Psychiatrie</x:v>
      </x:c>
      <x:c r="C19" s="116" t="str">
        <x:v>Bestand aktualisieren</x:v>
      </x:c>
      <x:c r="D19" s="116" t="str">
        <x:v>A</x:v>
      </x:c>
      <x:c r="E19" s="116" t="str">
        <x:v>Bestand</x:v>
      </x:c>
      <x:c r="F19" s="116" t="str">
        <x:v>Buchen</x:v>
      </x:c>
      <x:c r="G19" s="116" t="str">
        <x:v>adressgenau verifiziert</x:v>
      </x:c>
      <x:c r="H19" s="116" t="str">
        <x:v>Deckt die gezielte Odenwald-Lücke bereits ab.</x:v>
      </x:c>
      <x:c r="I19" s="116" t="str">
        <x:v>https://www.nervendocks.de/</x:v>
      </x:c>
      <x:c r="J19" s="116" t="str">
        <x:v>2026-08-30</x:v>
      </x:c>
      <x:c r="K19" s="113"/>
      <x:c r="L19" s="113"/>
      <x:c r="M19" s="113"/>
      <x:c r="N19" s="113"/>
      <x:c r="O19" s="113"/>
      <x:c r="P19" s="113"/>
      <x:c r="Q19" s="113"/>
      <x:c r="R19" s="113"/>
      <x:c r="S19" s="113"/>
      <x:c r="T19" s="113"/>
      <x:c r="U19" s="113"/>
      <x:c r="V19" s="113"/>
      <x:c r="W19" s="113"/>
      <x:c r="X19" s="113"/>
      <x:c r="Y19" s="113"/>
      <x:c r="Z19" s="113"/>
      <x:c r="AA19" s="113"/>
      <x:c r="AB19" s="113"/>
      <x:c r="AC19" s="113"/>
      <x:c r="AD19" s="113"/>
      <x:c r="AE19" s="113"/>
    </x:row>
    <x:row r="20">
      <x:c r="A20" s="116" t="str">
        <x:v>Berufliche Reha / Neurologie Phase E</x:v>
      </x:c>
      <x:c r="B20" s="116" t="str">
        <x:v>Stephanuswerk Isny – Bildungszentrum</x:v>
      </x:c>
      <x:c r="C20" s="116" t="str">
        <x:v>Bestand aktualisieren</x:v>
      </x:c>
      <x:c r="D20" s="116" t="str">
        <x:v>A</x:v>
      </x:c>
      <x:c r="E20" s="116" t="str">
        <x:v>Bestand</x:v>
      </x:c>
      <x:c r="F20" s="116" t="str">
        <x:v>Isny im Allgäu</x:v>
      </x:c>
      <x:c r="G20" s="116" t="str">
        <x:v>Hausadresse verifiziert</x:v>
      </x:c>
      <x:c r="H20" s="116" t="str">
        <x:v>Phase E/LTA; ausdrücklich keine medizinische Phase-A-D-Klinik.</x:v>
      </x:c>
      <x:c r="I20" s="116" t="str">
        <x:v>https://www.stephanuswerk-isny.de/bildungszentrum/</x:v>
      </x:c>
      <x:c r="J20" s="116" t="str">
        <x:v>2026-08-30</x:v>
      </x:c>
      <x:c r="K20" s="113"/>
      <x:c r="L20" s="113"/>
      <x:c r="M20" s="113"/>
      <x:c r="N20" s="113"/>
      <x:c r="O20" s="113"/>
      <x:c r="P20" s="113"/>
      <x:c r="Q20" s="113"/>
      <x:c r="R20" s="113"/>
      <x:c r="S20" s="113"/>
      <x:c r="T20" s="113"/>
      <x:c r="U20" s="113"/>
      <x:c r="V20" s="113"/>
      <x:c r="W20" s="113"/>
      <x:c r="X20" s="113"/>
      <x:c r="Y20" s="113"/>
      <x:c r="Z20" s="113"/>
      <x:c r="AA20" s="113"/>
      <x:c r="AB20" s="113"/>
      <x:c r="AC20" s="113"/>
      <x:c r="AD20" s="113"/>
      <x:c r="AE20" s="113"/>
    </x:row>
    <x:row r="21">
      <x:c r="A21" s="116" t="str">
        <x:v>Neurologische Reha</x:v>
      </x:c>
      <x:c r="B21" s="116" t="str">
        <x:v>Asklepios Schlossberg Klinik Bad König</x:v>
      </x:c>
      <x:c r="C21" s="116" t="str">
        <x:v>Bestand bestätigen</x:v>
      </x:c>
      <x:c r="D21" s="116" t="str">
        <x:v>A</x:v>
      </x:c>
      <x:c r="E21" s="116" t="str">
        <x:v>Bestand</x:v>
      </x:c>
      <x:c r="F21" s="116" t="str">
        <x:v>Bad König</x:v>
      </x:c>
      <x:c r="G21" s="116" t="str">
        <x:v>Einrichtungsstandort geprüft</x:v>
      </x:c>
      <x:c r="H21" s="116" t="str">
        <x:v>Keine zusätzliche Phase-C-Zuordnung übernehmen.</x:v>
      </x:c>
      <x:c r="I21" s="116" t="str">
        <x:v>https://www.asklepios.com/bad-koenig/</x:v>
      </x:c>
      <x:c r="J21" s="116" t="str">
        <x:v>2026-08-30</x:v>
      </x:c>
      <x:c r="K21" s="113"/>
      <x:c r="L21" s="113"/>
      <x:c r="M21" s="113"/>
      <x:c r="N21" s="113"/>
      <x:c r="O21" s="113"/>
      <x:c r="P21" s="113"/>
      <x:c r="Q21" s="113"/>
      <x:c r="R21" s="113"/>
      <x:c r="S21" s="113"/>
      <x:c r="T21" s="113"/>
      <x:c r="U21" s="113"/>
      <x:c r="V21" s="113"/>
      <x:c r="W21" s="113"/>
      <x:c r="X21" s="113"/>
      <x:c r="Y21" s="113"/>
      <x:c r="Z21" s="113"/>
      <x:c r="AA21" s="113"/>
      <x:c r="AB21" s="113"/>
      <x:c r="AC21" s="113"/>
      <x:c r="AD21" s="113"/>
      <x:c r="AE21" s="113"/>
    </x:row>
    <x:row r="22">
      <x:c r="A22" s="116" t="str">
        <x:v>Neurologische Reha</x:v>
      </x:c>
      <x:c r="B22" s="116" t="str">
        <x:v>SRH Kurpfalzkrankenhaus Heidelberg</x:v>
      </x:c>
      <x:c r="C22" s="116" t="str">
        <x:v>Bestand bestätigen</x:v>
      </x:c>
      <x:c r="D22" s="116" t="str">
        <x:v>A</x:v>
      </x:c>
      <x:c r="E22" s="116" t="str">
        <x:v>Bestand</x:v>
      </x:c>
      <x:c r="F22" s="116" t="str">
        <x:v>Heidelberg</x:v>
      </x:c>
      <x:c r="G22" s="116" t="str">
        <x:v>Einrichtungsstandort geprüft</x:v>
      </x:c>
      <x:c r="H22" s="116" t="str">
        <x:v>Keine zusätzliche Phase-C-Zuordnung übernehmen.</x:v>
      </x:c>
      <x:c r="I22" s="116" t="str">
        <x:v>https://www.srh.de/</x:v>
      </x:c>
      <x:c r="J22" s="116" t="str">
        <x:v>2026-08-30</x:v>
      </x:c>
      <x:c r="K22" s="113"/>
      <x:c r="L22" s="113"/>
      <x:c r="M22" s="113"/>
      <x:c r="N22" s="113"/>
      <x:c r="O22" s="113"/>
      <x:c r="P22" s="113"/>
      <x:c r="Q22" s="113"/>
      <x:c r="R22" s="113"/>
      <x:c r="S22" s="113"/>
      <x:c r="T22" s="113"/>
      <x:c r="U22" s="113"/>
      <x:c r="V22" s="113"/>
      <x:c r="W22" s="113"/>
      <x:c r="X22" s="113"/>
      <x:c r="Y22" s="113"/>
      <x:c r="Z22" s="113"/>
      <x:c r="AA22" s="113"/>
      <x:c r="AB22" s="113"/>
      <x:c r="AC22" s="113"/>
      <x:c r="AD22" s="113"/>
      <x:c r="AE22" s="113"/>
    </x:row>
    <x:row r="23">
      <x:c r="A23" s="116" t="str">
        <x:v>Neurologische Reha</x:v>
      </x:c>
      <x:c r="B23" s="116" t="str">
        <x:v>Junge Pflege St. Anastasia – Fachpflege Neurophase F</x:v>
      </x:c>
      <x:c r="C23" s="116" t="str">
        <x:v>Bestand bestätigen</x:v>
      </x:c>
      <x:c r="D23" s="116" t="str">
        <x:v>A</x:v>
      </x:c>
      <x:c r="E23" s="116" t="str">
        <x:v>Bestand</x:v>
      </x:c>
      <x:c r="F23" s="116" t="str">
        <x:v>Limburgerhof</x:v>
      </x:c>
      <x:c r="G23" s="116" t="str">
        <x:v>Gebäude-/Adresspunkt verifiziert</x:v>
      </x:c>
      <x:c r="H23" s="116" t="str">
        <x:v>Aktiver Phase-F-Standort; Storchenpark Speyer dagegen entfernen.</x:v>
      </x:c>
      <x:c r="I23" s="116" t="str">
        <x:v>https://www.caritas-speyer.de/standorte/caritas-altenzentren/st-anastasia</x:v>
      </x:c>
      <x:c r="J23" s="116" t="str">
        <x:v>2026-08-30</x:v>
      </x:c>
      <x:c r="K23" s="113"/>
      <x:c r="L23" s="113"/>
      <x:c r="M23" s="113"/>
      <x:c r="N23" s="113"/>
      <x:c r="O23" s="113"/>
      <x:c r="P23" s="113"/>
      <x:c r="Q23" s="113"/>
      <x:c r="R23" s="113"/>
      <x:c r="S23" s="113"/>
      <x:c r="T23" s="113"/>
      <x:c r="U23" s="113"/>
      <x:c r="V23" s="113"/>
      <x:c r="W23" s="113"/>
      <x:c r="X23" s="113"/>
      <x:c r="Y23" s="113"/>
      <x:c r="Z23" s="113"/>
      <x:c r="AA23" s="113"/>
      <x:c r="AB23" s="113"/>
      <x:c r="AC23" s="113"/>
      <x:c r="AD23" s="113"/>
      <x:c r="AE23" s="113"/>
    </x:row>
    <x:row r="24">
      <x:c r="A24" s="116" t="str">
        <x:v>Kfz &amp; Mobilität</x:v>
      </x:c>
      <x:c r="B24" s="116" t="str">
        <x:v>Mobilcenter Zawatzky GmbH – Meckesheim</x:v>
      </x:c>
      <x:c r="C24" s="116" t="str">
        <x:v>Bestand bestätigen</x:v>
      </x:c>
      <x:c r="D24" s="116" t="str">
        <x:v>A</x:v>
      </x:c>
      <x:c r="E24" s="116" t="str">
        <x:v>Bestand</x:v>
      </x:c>
      <x:c r="F24" s="116" t="str">
        <x:v>Meckesheim</x:v>
      </x:c>
      <x:c r="G24" s="116" t="str">
        <x:v>adressgenau verifiziert</x:v>
      </x:c>
      <x:c r="H24" s="116" t="str">
        <x:v>MOB44-002 Fahrschule Zawatzky Neckargemünd</x:v>
      </x:c>
      <x:c r="I24" s="116" t="str">
        <x:v>https://zawatzky.de/standorte/</x:v>
      </x:c>
      <x:c r="J24" s="116" t="str">
        <x:v>2026-08-30</x:v>
      </x:c>
      <x:c r="K24" s="113"/>
      <x:c r="L24" s="113"/>
      <x:c r="M24" s="113"/>
      <x:c r="N24" s="113"/>
      <x:c r="O24" s="113"/>
      <x:c r="P24" s="113"/>
      <x:c r="Q24" s="113"/>
      <x:c r="R24" s="113"/>
      <x:c r="S24" s="113"/>
      <x:c r="T24" s="113"/>
      <x:c r="U24" s="113"/>
      <x:c r="V24" s="113"/>
      <x:c r="W24" s="113"/>
      <x:c r="X24" s="113"/>
      <x:c r="Y24" s="113"/>
      <x:c r="Z24" s="113"/>
      <x:c r="AA24" s="113"/>
      <x:c r="AB24" s="113"/>
      <x:c r="AC24" s="113"/>
      <x:c r="AD24" s="113"/>
      <x:c r="AE24" s="113"/>
    </x:row>
    <x:row r="25">
      <x:c r="A25" s="116" t="str">
        <x:v>Kfz &amp; Mobilität</x:v>
      </x:c>
      <x:c r="B25" s="116" t="str">
        <x:v>Gerd Waldvogel – Kfz-Sachverständiger</x:v>
      </x:c>
      <x:c r="C25" s="116" t="str">
        <x:v>Bestand bestätigen</x:v>
      </x:c>
      <x:c r="D25" s="116" t="str">
        <x:v>B</x:v>
      </x:c>
      <x:c r="E25" s="116" t="str">
        <x:v>Bestand</x:v>
      </x:c>
      <x:c r="F25" s="116" t="str">
        <x:v>Bad König</x:v>
      </x:c>
      <x:c r="G25" s="116" t="str">
        <x:v>adressbezogener Punkt geprüft</x:v>
      </x:c>
      <x:c r="H25" s="116" t="str">
        <x:v>PLZ 64732 ist der aktuelle/geprüfte Stand.</x:v>
      </x:c>
      <x:c r="I25" s="116" t="str"/>
      <x:c r="J25" s="116" t="str">
        <x:v>2026-08-30</x:v>
      </x:c>
      <x:c r="K25" s="113"/>
      <x:c r="L25" s="113"/>
      <x:c r="M25" s="113"/>
      <x:c r="N25" s="113"/>
      <x:c r="O25" s="113"/>
      <x:c r="P25" s="113"/>
      <x:c r="Q25" s="113"/>
      <x:c r="R25" s="113"/>
      <x:c r="S25" s="113"/>
      <x:c r="T25" s="113"/>
      <x:c r="U25" s="113"/>
      <x:c r="V25" s="113"/>
      <x:c r="W25" s="113"/>
      <x:c r="X25" s="113"/>
      <x:c r="Y25" s="113"/>
      <x:c r="Z25" s="113"/>
      <x:c r="AA25" s="113"/>
      <x:c r="AB25" s="113"/>
      <x:c r="AC25" s="113"/>
      <x:c r="AD25" s="113"/>
      <x:c r="AE25" s="113"/>
    </x:row>
    <x:row r="26">
      <x:c r="A26" s="116" t="str">
        <x:v>Soziale Teilhabe / Wohnen</x:v>
      </x:c>
      <x:c r="B26" s="116" t="str">
        <x:v>Jochen Martini – Architektur/Gutachten Wohnen</x:v>
      </x:c>
      <x:c r="C26" s="116" t="str">
        <x:v>Bestand bestätigen</x:v>
      </x:c>
      <x:c r="D26" s="116" t="str">
        <x:v>A</x:v>
      </x:c>
      <x:c r="E26" s="116" t="str">
        <x:v>Bestand</x:v>
      </x:c>
      <x:c r="F26" s="116" t="str">
        <x:v>Lambrecht (Pfalz)</x:v>
      </x:c>
      <x:c r="G26" s="116" t="str">
        <x:v>Adresse bestätigt; numerische Hauskoordinate im Gesamtimport nicht neu überschrieben</x:v>
      </x:c>
      <x:c r="H26" s="116" t="str">
        <x:v>Soziale Teilhabe/Wohnen als eigenständiger Bereich; Martini darf nicht erneut verloren gehen.</x:v>
      </x:c>
      <x:c r="I26" s="116" t="str"/>
      <x:c r="J26" s="116" t="str">
        <x:v>2026-08-30</x:v>
      </x:c>
      <x:c r="K26" s="113"/>
      <x:c r="L26" s="113"/>
      <x:c r="M26" s="113"/>
      <x:c r="N26" s="113"/>
      <x:c r="O26" s="113"/>
      <x:c r="P26" s="113"/>
      <x:c r="Q26" s="113"/>
      <x:c r="R26" s="113"/>
      <x:c r="S26" s="113"/>
      <x:c r="T26" s="113"/>
      <x:c r="U26" s="113"/>
      <x:c r="V26" s="113"/>
      <x:c r="W26" s="113"/>
      <x:c r="X26" s="113"/>
      <x:c r="Y26" s="113"/>
      <x:c r="Z26" s="113"/>
      <x:c r="AA26" s="113"/>
      <x:c r="AB26" s="113"/>
      <x:c r="AC26" s="113"/>
      <x:c r="AD26" s="113"/>
      <x:c r="AE26" s="113"/>
    </x:row>
    <x:row r="27">
      <x:c r="A27" s="116" t="str">
        <x:v>Neurologie Phase F</x:v>
      </x:c>
      <x:c r="B27" s="116" t="str">
        <x:v>Seniorenzentrum Storchenpark Speyer</x:v>
      </x:c>
      <x:c r="C27" s="116" t="str">
        <x:v>Entfernen Phase F</x:v>
      </x:c>
      <x:c r="D27" s="116" t="str">
        <x:v>A</x:v>
      </x:c>
      <x:c r="E27" s="116" t="str">
        <x:v>Bestand</x:v>
      </x:c>
      <x:c r="F27" s="116" t="str">
        <x:v>Speyer</x:v>
      </x:c>
      <x:c r="G27" s="116" t="str">
        <x:v>kein aktiver Phase-F-Status</x:v>
      </x:c>
      <x:c r="H27" s="116" t="str">
        <x:v>Nicht mehr als aktive Phase-F-Einrichtung führen</x:v>
      </x:c>
      <x:c r="I27" s="116" t="str">
        <x:v>https://bag-phase-f.de/lag/</x:v>
      </x:c>
      <x:c r="J27" s="116" t="str">
        <x:v>2026-08-30</x:v>
      </x:c>
      <x:c r="K27" s="113"/>
      <x:c r="L27" s="113"/>
      <x:c r="M27" s="113"/>
      <x:c r="N27" s="113"/>
      <x:c r="O27" s="113"/>
      <x:c r="P27" s="113"/>
      <x:c r="Q27" s="113"/>
      <x:c r="R27" s="113"/>
      <x:c r="S27" s="113"/>
      <x:c r="T27" s="113"/>
      <x:c r="U27" s="113"/>
      <x:c r="V27" s="113"/>
      <x:c r="W27" s="113"/>
      <x:c r="X27" s="113"/>
      <x:c r="Y27" s="113"/>
      <x:c r="Z27" s="113"/>
      <x:c r="AA27" s="113"/>
      <x:c r="AB27" s="113"/>
      <x:c r="AC27" s="113"/>
      <x:c r="AD27" s="113"/>
      <x:c r="AE27" s="113"/>
    </x:row>
    <x:row r="28">
      <x:c r="A28" s="116" t="str">
        <x:v>Neurologie Phase F</x:v>
      </x:c>
      <x:c r="B28" s="116" t="str">
        <x:v>Kliniken Schmieder</x:v>
      </x:c>
      <x:c r="C28" s="116" t="str">
        <x:v>Phase F nicht zuordnen</x:v>
      </x:c>
      <x:c r="D28" s="116" t="str">
        <x:v>A</x:v>
      </x:c>
      <x:c r="E28" s="116" t="str">
        <x:v>Bestand</x:v>
      </x:c>
      <x:c r="F28" s="116" t="str">
        <x:v>mehrere Standorte</x:v>
      </x:c>
      <x:c r="G28" s="116" t="str">
        <x:v>fachliche Zuordnung</x:v>
      </x:c>
      <x:c r="H28" s="116" t="str">
        <x:v>Schmieder nicht als Phase-F-Anbieter führen</x:v>
      </x:c>
      <x:c r="I28" s="116" t="str">
        <x:v>https://www.kliniken-schmieder.de/</x:v>
      </x:c>
      <x:c r="J28" s="116" t="str">
        <x:v>2026-08-30</x:v>
      </x:c>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row>
    <x:row r="29">
      <x:c r="A29" s="116" t="str">
        <x:v>Berufliche Reha</x:v>
      </x:c>
      <x:c r="B29" s="116" t="str">
        <x:v>BFW Regionalcenter Kassel</x:v>
      </x:c>
      <x:c r="C29" s="116" t="str">
        <x:v>Nicht aufnehmen</x:v>
      </x:c>
      <x:c r="D29" s="116" t="str">
        <x:v>A</x:v>
      </x:c>
      <x:c r="E29" s="116" t="str">
        <x:v>Ausschluss</x:v>
      </x:c>
      <x:c r="F29" s="116" t="str">
        <x:v>Kassel</x:v>
      </x:c>
      <x:c r="G29" s="116" t="str">
        <x:v>n/a</x:v>
      </x:c>
      <x:c r="H29" s="116" t="str">
        <x:v>Bad Vilbel aufnehmen; Kassel ausdrücklich aus Kartenbestand herauslassen</x:v>
      </x:c>
      <x:c r="I29" s="116" t="str">
        <x:v>https://bfw-frankfurt.de/das-bfw-frankfurt</x:v>
      </x:c>
      <x:c r="J29" s="116" t="str">
        <x:v>2026-08-30</x:v>
      </x:c>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row>
    <x:row r="30">
      <x:c r="A30" s="116" t="str">
        <x:v>Neurologie / berufliche Reha</x:v>
      </x:c>
      <x:c r="B30" s="116" t="str">
        <x:v>Stephanuswerk Isny</x:v>
      </x:c>
      <x:c r="C30" s="116" t="str">
        <x:v>Kategorie korrigieren</x:v>
      </x:c>
      <x:c r="D30" s="116" t="str">
        <x:v>A</x:v>
      </x:c>
      <x:c r="E30" s="116" t="str">
        <x:v>Bestand</x:v>
      </x:c>
      <x:c r="F30" s="116" t="str">
        <x:v>Isny im Allgäu</x:v>
      </x:c>
      <x:c r="G30" s="116" t="str">
        <x:v>Hausadresse geprüft</x:v>
      </x:c>
      <x:c r="H30" s="116" t="str">
        <x:v>Phase E/LTA, nicht medizinische A-D-Klinik</x:v>
      </x:c>
      <x:c r="I30" s="116" t="str">
        <x:v>https://www.stephanuswerk-isny.de/bildungszentrum/</x:v>
      </x:c>
      <x:c r="J30" s="116" t="str">
        <x:v>2026-08-30</x:v>
      </x:c>
      <x:c r="K30" s="113"/>
      <x:c r="L30" s="113"/>
      <x:c r="M30" s="113"/>
      <x:c r="N30" s="113"/>
      <x:c r="O30" s="113"/>
      <x:c r="P30" s="113"/>
      <x:c r="Q30" s="113"/>
      <x:c r="R30" s="113"/>
      <x:c r="S30" s="113"/>
      <x:c r="T30" s="113"/>
      <x:c r="U30" s="113"/>
      <x:c r="V30" s="113"/>
      <x:c r="W30" s="113"/>
      <x:c r="X30" s="113"/>
      <x:c r="Y30" s="113"/>
      <x:c r="Z30" s="113"/>
      <x:c r="AA30" s="113"/>
      <x:c r="AB30" s="113"/>
      <x:c r="AC30" s="113"/>
      <x:c r="AD30" s="113"/>
      <x:c r="AE30" s="113"/>
    </x:row>
    <x:row r="31">
      <x:c r="A31" s="116" t="str">
        <x:v>Pflege</x:v>
      </x:c>
      <x:c r="B31" s="116" t="str">
        <x:v>Pflegeberatung GUV</x:v>
      </x:c>
      <x:c r="C31" s="116" t="str">
        <x:v>Kein generischer Kartenpunkt</x:v>
      </x:c>
      <x:c r="D31" s="116" t="str">
        <x:v>A</x:v>
      </x:c>
      <x:c r="E31" s="116" t="str">
        <x:v>Regel</x:v>
      </x:c>
      <x:c r="F31" s="116" t="str"/>
      <x:c r="G31" s="116" t="str">
        <x:v>n/a</x:v>
      </x:c>
      <x:c r="H31" s="116" t="str">
        <x:v>Konkrete BG-Klinik-Pflegefachberatung/externe qualifizierte Dienste führen</x:v>
      </x:c>
      <x:c r="I31" s="116" t="str"/>
      <x:c r="J31" s="116" t="str">
        <x:v>2026-08-30</x:v>
      </x:c>
      <x:c r="K31" s="113"/>
      <x:c r="L31" s="113"/>
      <x:c r="M31" s="113"/>
      <x:c r="N31" s="113"/>
      <x:c r="O31" s="113"/>
      <x:c r="P31" s="113"/>
      <x:c r="Q31" s="113"/>
      <x:c r="R31" s="113"/>
      <x:c r="S31" s="113"/>
      <x:c r="T31" s="113"/>
      <x:c r="U31" s="113"/>
      <x:c r="V31" s="113"/>
      <x:c r="W31" s="113"/>
      <x:c r="X31" s="113"/>
      <x:c r="Y31" s="113"/>
      <x:c r="Z31" s="113"/>
      <x:c r="AA31" s="113"/>
      <x:c r="AB31" s="113"/>
      <x:c r="AC31" s="113"/>
      <x:c r="AD31" s="113"/>
      <x:c r="AE31" s="113"/>
    </x:row>
    <x:row r="32">
      <x:c r="A32" s="116" t="str">
        <x:v>Technik</x:v>
      </x:c>
      <x:c r="B32" s="116" t="str">
        <x:v>Technikblock 4.4.x</x:v>
      </x:c>
      <x:c r="C32" s="116" t="str">
        <x:v>52 Importzeilen übernehmen</x:v>
      </x:c>
      <x:c r="D32" s="116" t="str">
        <x:v>A+ bis B</x:v>
      </x:c>
      <x:c r="E32" s="116" t="str">
        <x:v>Neu</x:v>
      </x:c>
      <x:c r="F32" s="116" t="str">
        <x:v>regional/überregional</x:v>
      </x:c>
      <x:c r="G32" s="116" t="str">
        <x:v>separate Geo-Prüfung vorhanden</x:v>
      </x:c>
      <x:c r="H32" s="116" t="str">
        <x:v>Vollständiger Technikblock aus bestehender Geo-Datei</x:v>
      </x:c>
      <x:c r="I32" s="116" t="str"/>
      <x:c r="J32" s="116" t="str">
        <x:v>2026-08-30</x:v>
      </x:c>
      <x:c r="K32" s="113"/>
      <x:c r="L32" s="113"/>
      <x:c r="M32" s="113"/>
      <x:c r="N32" s="113"/>
      <x:c r="O32" s="113"/>
      <x:c r="P32" s="113"/>
      <x:c r="Q32" s="113"/>
      <x:c r="R32" s="113"/>
      <x:c r="S32" s="113"/>
      <x:c r="T32" s="113"/>
      <x:c r="U32" s="113"/>
      <x:c r="V32" s="113"/>
      <x:c r="W32" s="113"/>
      <x:c r="X32" s="113"/>
      <x:c r="Y32" s="113"/>
      <x:c r="Z32" s="113"/>
      <x:c r="AA32" s="113"/>
      <x:c r="AB32" s="113"/>
      <x:c r="AC32" s="113"/>
      <x:c r="AD32" s="113"/>
      <x:c r="AE32" s="113"/>
    </x:row>
    <x:row r="33">
      <x:c r="A33" s="113"/>
      <x:c r="B33" s="113"/>
      <x:c r="C33" s="113"/>
      <x:c r="D33" s="113"/>
      <x:c r="E33" s="113"/>
      <x:c r="F33" s="113"/>
      <x:c r="G33" s="113"/>
      <x:c r="H33" s="113"/>
      <x:c r="I33" s="113"/>
      <x:c r="J33" s="113"/>
      <x:c r="K33" s="113"/>
      <x:c r="L33" s="113"/>
      <x:c r="M33" s="113"/>
      <x:c r="N33" s="113"/>
      <x:c r="O33" s="113"/>
      <x:c r="P33" s="113"/>
      <x:c r="Q33" s="113"/>
      <x:c r="R33" s="113"/>
      <x:c r="S33" s="113"/>
      <x:c r="T33" s="113"/>
      <x:c r="U33" s="113"/>
      <x:c r="V33" s="113"/>
      <x:c r="W33" s="113"/>
      <x:c r="X33" s="113"/>
      <x:c r="Y33" s="113"/>
      <x:c r="Z33" s="113"/>
      <x:c r="AA33" s="113"/>
      <x:c r="AB33" s="113"/>
      <x:c r="AC33" s="113"/>
      <x:c r="AD33" s="113"/>
      <x:c r="AE33" s="113"/>
    </x:row>
    <x:row r="34">
      <x:c r="A34" s="113"/>
      <x:c r="B34" s="113"/>
      <x:c r="C34" s="113"/>
      <x:c r="D34" s="113"/>
      <x:c r="E34" s="113"/>
      <x:c r="F34" s="113"/>
      <x:c r="G34" s="113"/>
      <x:c r="H34" s="113"/>
      <x:c r="I34" s="113"/>
      <x:c r="J34" s="113"/>
      <x:c r="K34" s="113"/>
      <x:c r="L34" s="113"/>
      <x:c r="M34" s="113"/>
      <x:c r="N34" s="113"/>
      <x:c r="O34" s="113"/>
      <x:c r="P34" s="113"/>
      <x:c r="Q34" s="113"/>
      <x:c r="R34" s="113"/>
      <x:c r="S34" s="113"/>
      <x:c r="T34" s="113"/>
      <x:c r="U34" s="113"/>
      <x:c r="V34" s="113"/>
      <x:c r="W34" s="113"/>
      <x:c r="X34" s="113"/>
      <x:c r="Y34" s="113"/>
      <x:c r="Z34" s="113"/>
      <x:c r="AA34" s="113"/>
      <x:c r="AB34" s="113"/>
      <x:c r="AC34" s="113"/>
      <x:c r="AD34" s="113"/>
      <x:c r="AE34" s="113"/>
    </x:row>
    <x:row r="35">
      <x:c r="A35" s="113"/>
      <x:c r="B35" s="113"/>
      <x:c r="C35" s="113"/>
      <x:c r="D35" s="113"/>
      <x:c r="E35" s="113"/>
      <x:c r="F35" s="113"/>
      <x:c r="G35" s="113"/>
      <x:c r="H35" s="113"/>
      <x:c r="I35" s="113"/>
      <x:c r="J35" s="113"/>
      <x:c r="K35" s="113"/>
      <x:c r="L35" s="113"/>
      <x:c r="M35" s="113"/>
      <x:c r="N35" s="113"/>
      <x:c r="O35" s="113"/>
      <x:c r="P35" s="113"/>
      <x:c r="Q35" s="113"/>
      <x:c r="R35" s="113"/>
      <x:c r="S35" s="113"/>
      <x:c r="T35" s="113"/>
      <x:c r="U35" s="113"/>
      <x:c r="V35" s="113"/>
      <x:c r="W35" s="113"/>
      <x:c r="X35" s="113"/>
      <x:c r="Y35" s="113"/>
      <x:c r="Z35" s="113"/>
      <x:c r="AA35" s="113"/>
      <x:c r="AB35" s="113"/>
      <x:c r="AC35" s="113"/>
      <x:c r="AD35" s="113"/>
      <x:c r="AE35" s="113"/>
    </x:row>
    <x:row r="36">
      <x:c r="A36" s="113"/>
      <x:c r="B36" s="113"/>
      <x:c r="C36" s="113"/>
      <x:c r="D36" s="113"/>
      <x:c r="E36" s="113"/>
      <x:c r="F36" s="113"/>
      <x:c r="G36" s="113"/>
      <x:c r="H36" s="113"/>
      <x:c r="I36" s="113"/>
      <x:c r="J36" s="113"/>
      <x:c r="K36" s="113"/>
      <x:c r="L36" s="113"/>
      <x:c r="M36" s="113"/>
      <x:c r="N36" s="113"/>
      <x:c r="O36" s="113"/>
      <x:c r="P36" s="113"/>
      <x:c r="Q36" s="113"/>
      <x:c r="R36" s="113"/>
      <x:c r="S36" s="113"/>
      <x:c r="T36" s="113"/>
      <x:c r="U36" s="113"/>
      <x:c r="V36" s="113"/>
      <x:c r="W36" s="113"/>
      <x:c r="X36" s="113"/>
      <x:c r="Y36" s="113"/>
      <x:c r="Z36" s="113"/>
      <x:c r="AA36" s="113"/>
      <x:c r="AB36" s="113"/>
      <x:c r="AC36" s="113"/>
      <x:c r="AD36" s="113"/>
      <x:c r="AE36" s="113"/>
    </x:row>
    <x:row r="37">
      <x:c r="A37" s="113"/>
      <x:c r="B37" s="113"/>
      <x:c r="C37" s="113"/>
      <x:c r="D37" s="113"/>
      <x:c r="E37" s="113"/>
      <x:c r="F37" s="113"/>
      <x:c r="G37" s="113"/>
      <x:c r="H37" s="113"/>
      <x:c r="I37" s="113"/>
      <x:c r="J37" s="113"/>
      <x:c r="K37" s="113"/>
      <x:c r="L37" s="113"/>
      <x:c r="M37" s="113"/>
      <x:c r="N37" s="113"/>
      <x:c r="O37" s="113"/>
      <x:c r="P37" s="113"/>
      <x:c r="Q37" s="113"/>
      <x:c r="R37" s="113"/>
      <x:c r="S37" s="113"/>
      <x:c r="T37" s="113"/>
      <x:c r="U37" s="113"/>
      <x:c r="V37" s="113"/>
      <x:c r="W37" s="113"/>
      <x:c r="X37" s="113"/>
      <x:c r="Y37" s="113"/>
      <x:c r="Z37" s="113"/>
      <x:c r="AA37" s="113"/>
      <x:c r="AB37" s="113"/>
      <x:c r="AC37" s="113"/>
      <x:c r="AD37" s="113"/>
      <x:c r="AE37" s="113"/>
    </x:row>
    <x:row r="38">
      <x:c r="A38" s="113"/>
      <x:c r="B38" s="113"/>
      <x:c r="C38" s="113"/>
      <x:c r="D38" s="113"/>
      <x:c r="E38" s="113"/>
      <x:c r="F38" s="113"/>
      <x:c r="G38" s="113"/>
      <x:c r="H38" s="113"/>
      <x:c r="I38" s="113"/>
      <x:c r="J38" s="113"/>
      <x:c r="K38" s="113"/>
      <x:c r="L38" s="113"/>
      <x:c r="M38" s="113"/>
      <x:c r="N38" s="113"/>
      <x:c r="O38" s="113"/>
      <x:c r="P38" s="113"/>
      <x:c r="Q38" s="113"/>
      <x:c r="R38" s="113"/>
      <x:c r="S38" s="113"/>
      <x:c r="T38" s="113"/>
      <x:c r="U38" s="113"/>
      <x:c r="V38" s="113"/>
      <x:c r="W38" s="113"/>
      <x:c r="X38" s="113"/>
      <x:c r="Y38" s="113"/>
      <x:c r="Z38" s="113"/>
      <x:c r="AA38" s="113"/>
      <x:c r="AB38" s="113"/>
      <x:c r="AC38" s="113"/>
      <x:c r="AD38" s="113"/>
      <x:c r="AE38" s="113"/>
    </x:row>
    <x:row r="39">
      <x:c r="A39" s="113"/>
      <x:c r="B39" s="113"/>
      <x:c r="C39" s="113"/>
      <x:c r="D39" s="113"/>
      <x:c r="E39" s="113"/>
      <x:c r="F39" s="113"/>
      <x:c r="G39" s="113"/>
      <x:c r="H39" s="113"/>
      <x:c r="I39" s="113"/>
      <x:c r="J39" s="113"/>
      <x:c r="K39" s="113"/>
      <x:c r="L39" s="113"/>
      <x:c r="M39" s="113"/>
      <x:c r="N39" s="113"/>
      <x:c r="O39" s="113"/>
      <x:c r="P39" s="113"/>
      <x:c r="Q39" s="113"/>
      <x:c r="R39" s="113"/>
      <x:c r="S39" s="113"/>
      <x:c r="T39" s="113"/>
      <x:c r="U39" s="113"/>
      <x:c r="V39" s="113"/>
      <x:c r="W39" s="113"/>
      <x:c r="X39" s="113"/>
      <x:c r="Y39" s="113"/>
      <x:c r="Z39" s="113"/>
      <x:c r="AA39" s="113"/>
      <x:c r="AB39" s="113"/>
      <x:c r="AC39" s="113"/>
      <x:c r="AD39" s="113"/>
      <x:c r="AE39" s="113"/>
    </x:row>
    <x:row r="40">
      <x:c r="A40" s="113"/>
      <x:c r="B40" s="113"/>
      <x:c r="C40" s="113"/>
      <x:c r="D40" s="113"/>
      <x:c r="E40" s="113"/>
      <x:c r="F40" s="113"/>
      <x:c r="G40" s="113"/>
      <x:c r="H40" s="113"/>
      <x:c r="I40" s="113"/>
      <x:c r="J40" s="113"/>
      <x:c r="K40" s="113"/>
      <x:c r="L40" s="113"/>
      <x:c r="M40" s="113"/>
      <x:c r="N40" s="113"/>
      <x:c r="O40" s="113"/>
      <x:c r="P40" s="113"/>
      <x:c r="Q40" s="113"/>
      <x:c r="R40" s="113"/>
      <x:c r="S40" s="113"/>
      <x:c r="T40" s="113"/>
      <x:c r="U40" s="113"/>
      <x:c r="V40" s="113"/>
      <x:c r="W40" s="113"/>
      <x:c r="X40" s="113"/>
      <x:c r="Y40" s="113"/>
      <x:c r="Z40" s="113"/>
      <x:c r="AA40" s="113"/>
      <x:c r="AB40" s="113"/>
      <x:c r="AC40" s="113"/>
      <x:c r="AD40" s="113"/>
      <x:c r="AE40" s="113"/>
    </x:row>
    <x:row r="41">
      <x:c r="A41" s="113"/>
      <x:c r="B41" s="113"/>
      <x:c r="C41" s="113"/>
      <x:c r="D41" s="113"/>
      <x:c r="E41" s="113"/>
      <x:c r="F41" s="113"/>
      <x:c r="G41" s="113"/>
      <x:c r="H41" s="113"/>
      <x:c r="I41" s="113"/>
      <x:c r="J41" s="113"/>
      <x:c r="K41" s="113"/>
      <x:c r="L41" s="113"/>
      <x:c r="M41" s="113"/>
      <x:c r="N41" s="113"/>
      <x:c r="O41" s="113"/>
      <x:c r="P41" s="113"/>
      <x:c r="Q41" s="113"/>
      <x:c r="R41" s="113"/>
      <x:c r="S41" s="113"/>
      <x:c r="T41" s="113"/>
      <x:c r="U41" s="113"/>
      <x:c r="V41" s="113"/>
      <x:c r="W41" s="113"/>
      <x:c r="X41" s="113"/>
      <x:c r="Y41" s="113"/>
      <x:c r="Z41" s="113"/>
      <x:c r="AA41" s="113"/>
      <x:c r="AB41" s="113"/>
      <x:c r="AC41" s="113"/>
      <x:c r="AD41" s="113"/>
      <x:c r="AE41" s="113"/>
    </x:row>
    <x:row r="42">
      <x:c r="A42" s="113"/>
      <x:c r="B42" s="113"/>
      <x:c r="C42" s="113"/>
      <x:c r="D42" s="113"/>
      <x:c r="E42" s="113"/>
      <x:c r="F42" s="113"/>
      <x:c r="G42" s="113"/>
      <x:c r="H42" s="113"/>
      <x:c r="I42" s="113"/>
      <x:c r="J42" s="113"/>
      <x:c r="K42" s="113"/>
      <x:c r="L42" s="113"/>
      <x:c r="M42" s="113"/>
      <x:c r="N42" s="113"/>
      <x:c r="O42" s="113"/>
      <x:c r="P42" s="113"/>
      <x:c r="Q42" s="113"/>
      <x:c r="R42" s="113"/>
      <x:c r="S42" s="113"/>
      <x:c r="T42" s="113"/>
      <x:c r="U42" s="113"/>
      <x:c r="V42" s="113"/>
      <x:c r="W42" s="113"/>
      <x:c r="X42" s="113"/>
      <x:c r="Y42" s="113"/>
      <x:c r="Z42" s="113"/>
      <x:c r="AA42" s="113"/>
      <x:c r="AB42" s="113"/>
      <x:c r="AC42" s="113"/>
      <x:c r="AD42" s="113"/>
      <x:c r="AE42" s="113"/>
    </x:row>
    <x:row r="43">
      <x:c r="A43" s="113"/>
      <x:c r="B43" s="113"/>
      <x:c r="C43" s="113"/>
      <x:c r="D43" s="113"/>
      <x:c r="E43" s="113"/>
      <x:c r="F43" s="113"/>
      <x:c r="G43" s="113"/>
      <x:c r="H43" s="113"/>
      <x:c r="I43" s="113"/>
      <x:c r="J43" s="113"/>
      <x:c r="K43" s="113"/>
      <x:c r="L43" s="113"/>
      <x:c r="M43" s="113"/>
      <x:c r="N43" s="113"/>
      <x:c r="O43" s="113"/>
      <x:c r="P43" s="113"/>
      <x:c r="Q43" s="113"/>
      <x:c r="R43" s="113"/>
      <x:c r="S43" s="113"/>
      <x:c r="T43" s="113"/>
      <x:c r="U43" s="113"/>
      <x:c r="V43" s="113"/>
      <x:c r="W43" s="113"/>
      <x:c r="X43" s="113"/>
      <x:c r="Y43" s="113"/>
      <x:c r="Z43" s="113"/>
      <x:c r="AA43" s="113"/>
      <x:c r="AB43" s="113"/>
      <x:c r="AC43" s="113"/>
      <x:c r="AD43" s="113"/>
      <x:c r="AE43" s="113"/>
    </x:row>
    <x:row r="44">
      <x:c r="A44" s="113"/>
      <x:c r="B44" s="113"/>
      <x:c r="C44" s="113"/>
      <x:c r="D44" s="113"/>
      <x:c r="E44" s="113"/>
      <x:c r="F44" s="113"/>
      <x:c r="G44" s="113"/>
      <x:c r="H44" s="113"/>
      <x:c r="I44" s="113"/>
      <x:c r="J44" s="113"/>
      <x:c r="K44" s="113"/>
      <x:c r="L44" s="113"/>
      <x:c r="M44" s="113"/>
      <x:c r="N44" s="113"/>
      <x:c r="O44" s="113"/>
      <x:c r="P44" s="113"/>
      <x:c r="Q44" s="113"/>
      <x:c r="R44" s="113"/>
      <x:c r="S44" s="113"/>
      <x:c r="T44" s="113"/>
      <x:c r="U44" s="113"/>
      <x:c r="V44" s="113"/>
      <x:c r="W44" s="113"/>
      <x:c r="X44" s="113"/>
      <x:c r="Y44" s="113"/>
      <x:c r="Z44" s="113"/>
      <x:c r="AA44" s="113"/>
      <x:c r="AB44" s="113"/>
      <x:c r="AC44" s="113"/>
      <x:c r="AD44" s="113"/>
      <x:c r="AE44" s="113"/>
    </x:row>
    <x:row r="45">
      <x:c r="A45" s="113"/>
      <x:c r="B45" s="113"/>
      <x:c r="C45" s="113"/>
      <x:c r="D45" s="113"/>
      <x:c r="E45" s="113"/>
      <x:c r="F45" s="113"/>
      <x:c r="G45" s="113"/>
      <x:c r="H45" s="113"/>
      <x:c r="I45" s="113"/>
      <x:c r="J45" s="113"/>
      <x:c r="K45" s="113"/>
      <x:c r="L45" s="113"/>
      <x:c r="M45" s="113"/>
      <x:c r="N45" s="113"/>
      <x:c r="O45" s="113"/>
      <x:c r="P45" s="113"/>
      <x:c r="Q45" s="113"/>
      <x:c r="R45" s="113"/>
      <x:c r="S45" s="113"/>
      <x:c r="T45" s="113"/>
      <x:c r="U45" s="113"/>
      <x:c r="V45" s="113"/>
      <x:c r="W45" s="113"/>
      <x:c r="X45" s="113"/>
      <x:c r="Y45" s="113"/>
      <x:c r="Z45" s="113"/>
      <x:c r="AA45" s="113"/>
      <x:c r="AB45" s="113"/>
      <x:c r="AC45" s="113"/>
      <x:c r="AD45" s="113"/>
      <x:c r="AE45" s="113"/>
    </x:row>
    <x:row r="46">
      <x:c r="A46" s="113"/>
      <x:c r="B46" s="113"/>
      <x:c r="C46" s="113"/>
      <x:c r="D46" s="113"/>
      <x:c r="E46" s="113"/>
      <x:c r="F46" s="113"/>
      <x:c r="G46" s="113"/>
      <x:c r="H46" s="113"/>
      <x:c r="I46" s="113"/>
      <x:c r="J46" s="113"/>
      <x:c r="K46" s="113"/>
      <x:c r="L46" s="113"/>
      <x:c r="M46" s="113"/>
      <x:c r="N46" s="113"/>
      <x:c r="O46" s="113"/>
      <x:c r="P46" s="113"/>
      <x:c r="Q46" s="113"/>
      <x:c r="R46" s="113"/>
      <x:c r="S46" s="113"/>
      <x:c r="T46" s="113"/>
      <x:c r="U46" s="113"/>
      <x:c r="V46" s="113"/>
      <x:c r="W46" s="113"/>
      <x:c r="X46" s="113"/>
      <x:c r="Y46" s="113"/>
      <x:c r="Z46" s="113"/>
      <x:c r="AA46" s="113"/>
      <x:c r="AB46" s="113"/>
      <x:c r="AC46" s="113"/>
      <x:c r="AD46" s="113"/>
      <x:c r="AE46" s="113"/>
    </x:row>
    <x:row r="47">
      <x:c r="A47" s="113"/>
      <x:c r="B47" s="113"/>
      <x:c r="C47" s="113"/>
      <x:c r="D47" s="113"/>
      <x:c r="E47" s="113"/>
      <x:c r="F47" s="113"/>
      <x:c r="G47" s="113"/>
      <x:c r="H47" s="113"/>
      <x:c r="I47" s="113"/>
      <x:c r="J47" s="113"/>
      <x:c r="K47" s="113"/>
      <x:c r="L47" s="113"/>
      <x:c r="M47" s="113"/>
      <x:c r="N47" s="113"/>
      <x:c r="O47" s="113"/>
      <x:c r="P47" s="113"/>
      <x:c r="Q47" s="113"/>
      <x:c r="R47" s="113"/>
      <x:c r="S47" s="113"/>
      <x:c r="T47" s="113"/>
      <x:c r="U47" s="113"/>
      <x:c r="V47" s="113"/>
      <x:c r="W47" s="113"/>
      <x:c r="X47" s="113"/>
      <x:c r="Y47" s="113"/>
      <x:c r="Z47" s="113"/>
      <x:c r="AA47" s="113"/>
      <x:c r="AB47" s="113"/>
      <x:c r="AC47" s="113"/>
      <x:c r="AD47" s="113"/>
      <x:c r="AE47" s="113"/>
    </x:row>
    <x:row r="48">
      <x:c r="A48" s="113"/>
      <x:c r="B48" s="113"/>
      <x:c r="C48" s="113"/>
      <x:c r="D48" s="113"/>
      <x:c r="E48" s="113"/>
      <x:c r="F48" s="113"/>
      <x:c r="G48" s="113"/>
      <x:c r="H48" s="113"/>
      <x:c r="I48" s="113"/>
      <x:c r="J48" s="113"/>
      <x:c r="K48" s="113"/>
      <x:c r="L48" s="113"/>
      <x:c r="M48" s="113"/>
      <x:c r="N48" s="113"/>
      <x:c r="O48" s="113"/>
      <x:c r="P48" s="113"/>
      <x:c r="Q48" s="113"/>
      <x:c r="R48" s="113"/>
      <x:c r="S48" s="113"/>
      <x:c r="T48" s="113"/>
      <x:c r="U48" s="113"/>
      <x:c r="V48" s="113"/>
      <x:c r="W48" s="113"/>
      <x:c r="X48" s="113"/>
      <x:c r="Y48" s="113"/>
      <x:c r="Z48" s="113"/>
      <x:c r="AA48" s="113"/>
      <x:c r="AB48" s="113"/>
      <x:c r="AC48" s="113"/>
      <x:c r="AD48" s="113"/>
      <x:c r="AE48" s="113"/>
    </x:row>
    <x:row r="49">
      <x:c r="A49" s="113"/>
      <x:c r="B49" s="113"/>
      <x:c r="C49" s="113"/>
      <x:c r="D49" s="113"/>
      <x:c r="E49" s="113"/>
      <x:c r="F49" s="113"/>
      <x:c r="G49" s="113"/>
      <x:c r="H49" s="113"/>
      <x:c r="I49" s="113"/>
      <x:c r="J49" s="113"/>
      <x:c r="K49" s="113"/>
      <x:c r="L49" s="113"/>
      <x:c r="M49" s="113"/>
      <x:c r="N49" s="113"/>
      <x:c r="O49" s="113"/>
      <x:c r="P49" s="113"/>
      <x:c r="Q49" s="113"/>
      <x:c r="R49" s="113"/>
      <x:c r="S49" s="113"/>
      <x:c r="T49" s="113"/>
      <x:c r="U49" s="113"/>
      <x:c r="V49" s="113"/>
      <x:c r="W49" s="113"/>
      <x:c r="X49" s="113"/>
      <x:c r="Y49" s="113"/>
      <x:c r="Z49" s="113"/>
      <x:c r="AA49" s="113"/>
      <x:c r="AB49" s="113"/>
      <x:c r="AC49" s="113"/>
      <x:c r="AD49" s="113"/>
      <x:c r="AE49" s="113"/>
    </x:row>
    <x:row r="50">
      <x:c r="A50" s="113"/>
      <x:c r="B50" s="113"/>
      <x:c r="C50" s="113"/>
      <x:c r="D50" s="113"/>
      <x:c r="E50" s="113"/>
      <x:c r="F50" s="113"/>
      <x:c r="G50" s="113"/>
      <x:c r="H50" s="113"/>
      <x:c r="I50" s="113"/>
      <x:c r="J50" s="113"/>
      <x:c r="K50" s="113"/>
      <x:c r="L50" s="113"/>
      <x:c r="M50" s="113"/>
      <x:c r="N50" s="113"/>
      <x:c r="O50" s="113"/>
      <x:c r="P50" s="113"/>
      <x:c r="Q50" s="113"/>
      <x:c r="R50" s="113"/>
      <x:c r="S50" s="113"/>
      <x:c r="T50" s="113"/>
      <x:c r="U50" s="113"/>
      <x:c r="V50" s="113"/>
      <x:c r="W50" s="113"/>
      <x:c r="X50" s="113"/>
      <x:c r="Y50" s="113"/>
      <x:c r="Z50" s="113"/>
      <x:c r="AA50" s="113"/>
      <x:c r="AB50" s="113"/>
      <x:c r="AC50" s="113"/>
      <x:c r="AD50" s="113"/>
      <x:c r="AE50" s="113"/>
    </x:row>
    <x:row r="51">
      <x:c r="A51" s="113"/>
      <x:c r="B51" s="113"/>
      <x:c r="C51" s="113"/>
      <x:c r="D51" s="113"/>
      <x:c r="E51" s="113"/>
      <x:c r="F51" s="113"/>
      <x:c r="G51" s="113"/>
      <x:c r="H51" s="113"/>
      <x:c r="I51" s="113"/>
      <x:c r="J51" s="113"/>
      <x:c r="K51" s="113"/>
      <x:c r="L51" s="113"/>
      <x:c r="M51" s="113"/>
      <x:c r="N51" s="113"/>
      <x:c r="O51" s="113"/>
      <x:c r="P51" s="113"/>
      <x:c r="Q51" s="113"/>
      <x:c r="R51" s="113"/>
      <x:c r="S51" s="113"/>
      <x:c r="T51" s="113"/>
      <x:c r="U51" s="113"/>
      <x:c r="V51" s="113"/>
      <x:c r="W51" s="113"/>
      <x:c r="X51" s="113"/>
      <x:c r="Y51" s="113"/>
      <x:c r="Z51" s="113"/>
      <x:c r="AA51" s="113"/>
      <x:c r="AB51" s="113"/>
      <x:c r="AC51" s="113"/>
      <x:c r="AD51" s="113"/>
      <x:c r="AE51" s="113"/>
    </x:row>
    <x:row r="52">
      <x:c r="A52" s="113"/>
      <x:c r="B52" s="113"/>
      <x:c r="C52" s="113"/>
      <x:c r="D52" s="113"/>
      <x:c r="E52" s="113"/>
      <x:c r="F52" s="113"/>
      <x:c r="G52" s="113"/>
      <x:c r="H52" s="113"/>
      <x:c r="I52" s="113"/>
      <x:c r="J52" s="113"/>
      <x:c r="K52" s="113"/>
      <x:c r="L52" s="113"/>
      <x:c r="M52" s="113"/>
      <x:c r="N52" s="113"/>
      <x:c r="O52" s="113"/>
      <x:c r="P52" s="113"/>
      <x:c r="Q52" s="113"/>
      <x:c r="R52" s="113"/>
      <x:c r="S52" s="113"/>
      <x:c r="T52" s="113"/>
      <x:c r="U52" s="113"/>
      <x:c r="V52" s="113"/>
      <x:c r="W52" s="113"/>
      <x:c r="X52" s="113"/>
      <x:c r="Y52" s="113"/>
      <x:c r="Z52" s="113"/>
      <x:c r="AA52" s="113"/>
      <x:c r="AB52" s="113"/>
      <x:c r="AC52" s="113"/>
      <x:c r="AD52" s="113"/>
      <x:c r="AE52" s="113"/>
    </x:row>
    <x:row r="53">
      <x:c r="A53" s="113"/>
      <x:c r="B53" s="113"/>
      <x:c r="C53" s="113"/>
      <x:c r="D53" s="113"/>
      <x:c r="E53" s="113"/>
      <x:c r="F53" s="113"/>
      <x:c r="G53" s="113"/>
      <x:c r="H53" s="113"/>
      <x:c r="I53" s="113"/>
      <x:c r="J53" s="113"/>
      <x:c r="K53" s="113"/>
      <x:c r="L53" s="113"/>
      <x:c r="M53" s="113"/>
      <x:c r="N53" s="113"/>
      <x:c r="O53" s="113"/>
      <x:c r="P53" s="113"/>
      <x:c r="Q53" s="113"/>
      <x:c r="R53" s="113"/>
      <x:c r="S53" s="113"/>
      <x:c r="T53" s="113"/>
      <x:c r="U53" s="113"/>
      <x:c r="V53" s="113"/>
      <x:c r="W53" s="113"/>
      <x:c r="X53" s="113"/>
      <x:c r="Y53" s="113"/>
      <x:c r="Z53" s="113"/>
      <x:c r="AA53" s="113"/>
      <x:c r="AB53" s="113"/>
      <x:c r="AC53" s="113"/>
      <x:c r="AD53" s="113"/>
      <x:c r="AE53" s="113"/>
    </x:row>
    <x:row r="54">
      <x:c r="A54" s="113"/>
      <x:c r="B54" s="113"/>
      <x:c r="C54" s="113"/>
      <x:c r="D54" s="113"/>
      <x:c r="E54" s="113"/>
      <x:c r="F54" s="113"/>
      <x:c r="G54" s="113"/>
      <x:c r="H54" s="113"/>
      <x:c r="I54" s="113"/>
      <x:c r="J54" s="113"/>
      <x:c r="K54" s="113"/>
      <x:c r="L54" s="113"/>
      <x:c r="M54" s="113"/>
      <x:c r="N54" s="113"/>
      <x:c r="O54" s="113"/>
      <x:c r="P54" s="113"/>
      <x:c r="Q54" s="113"/>
      <x:c r="R54" s="113"/>
      <x:c r="S54" s="113"/>
      <x:c r="T54" s="113"/>
      <x:c r="U54" s="113"/>
      <x:c r="V54" s="113"/>
      <x:c r="W54" s="113"/>
      <x:c r="X54" s="113"/>
      <x:c r="Y54" s="113"/>
      <x:c r="Z54" s="113"/>
      <x:c r="AA54" s="113"/>
      <x:c r="AB54" s="113"/>
      <x:c r="AC54" s="113"/>
      <x:c r="AD54" s="113"/>
      <x:c r="AE54" s="113"/>
    </x:row>
    <x:row r="55">
      <x:c r="A55" s="113"/>
      <x:c r="B55" s="113"/>
      <x:c r="C55" s="113"/>
      <x:c r="D55" s="113"/>
      <x:c r="E55" s="113"/>
      <x:c r="F55" s="113"/>
      <x:c r="G55" s="113"/>
      <x:c r="H55" s="113"/>
      <x:c r="I55" s="113"/>
      <x:c r="J55" s="113"/>
      <x:c r="K55" s="113"/>
      <x:c r="L55" s="113"/>
      <x:c r="M55" s="113"/>
      <x:c r="N55" s="113"/>
      <x:c r="O55" s="113"/>
      <x:c r="P55" s="113"/>
      <x:c r="Q55" s="113"/>
      <x:c r="R55" s="113"/>
      <x:c r="S55" s="113"/>
      <x:c r="T55" s="113"/>
      <x:c r="U55" s="113"/>
      <x:c r="V55" s="113"/>
      <x:c r="W55" s="113"/>
      <x:c r="X55" s="113"/>
      <x:c r="Y55" s="113"/>
      <x:c r="Z55" s="113"/>
      <x:c r="AA55" s="113"/>
      <x:c r="AB55" s="113"/>
      <x:c r="AC55" s="113"/>
      <x:c r="AD55" s="113"/>
      <x:c r="AE55" s="113"/>
    </x:row>
    <x:row r="56">
      <x:c r="A56" s="113"/>
      <x:c r="B56" s="113"/>
      <x:c r="C56" s="113"/>
      <x:c r="D56" s="113"/>
      <x:c r="E56" s="113"/>
      <x:c r="F56" s="113"/>
      <x:c r="G56" s="113"/>
      <x:c r="H56" s="113"/>
      <x:c r="I56" s="113"/>
      <x:c r="J56" s="113"/>
      <x:c r="K56" s="113"/>
      <x:c r="L56" s="113"/>
      <x:c r="M56" s="113"/>
      <x:c r="N56" s="113"/>
      <x:c r="O56" s="113"/>
      <x:c r="P56" s="113"/>
      <x:c r="Q56" s="113"/>
      <x:c r="R56" s="113"/>
      <x:c r="S56" s="113"/>
      <x:c r="T56" s="113"/>
      <x:c r="U56" s="113"/>
      <x:c r="V56" s="113"/>
      <x:c r="W56" s="113"/>
      <x:c r="X56" s="113"/>
      <x:c r="Y56" s="113"/>
      <x:c r="Z56" s="113"/>
      <x:c r="AA56" s="113"/>
      <x:c r="AB56" s="113"/>
      <x:c r="AC56" s="113"/>
      <x:c r="AD56" s="113"/>
      <x:c r="AE56" s="113"/>
    </x:row>
    <x:row r="57">
      <x:c r="A57" s="113"/>
      <x:c r="B57" s="113"/>
      <x:c r="C57" s="113"/>
      <x:c r="D57" s="113"/>
      <x:c r="E57" s="113"/>
      <x:c r="F57" s="113"/>
      <x:c r="G57" s="113"/>
      <x:c r="H57" s="113"/>
      <x:c r="I57" s="113"/>
      <x:c r="J57" s="113"/>
      <x:c r="K57" s="113"/>
      <x:c r="L57" s="113"/>
      <x:c r="M57" s="113"/>
      <x:c r="N57" s="113"/>
      <x:c r="O57" s="113"/>
      <x:c r="P57" s="113"/>
      <x:c r="Q57" s="113"/>
      <x:c r="R57" s="113"/>
      <x:c r="S57" s="113"/>
      <x:c r="T57" s="113"/>
      <x:c r="U57" s="113"/>
      <x:c r="V57" s="113"/>
      <x:c r="W57" s="113"/>
      <x:c r="X57" s="113"/>
      <x:c r="Y57" s="113"/>
      <x:c r="Z57" s="113"/>
      <x:c r="AA57" s="113"/>
      <x:c r="AB57" s="113"/>
      <x:c r="AC57" s="113"/>
      <x:c r="AD57" s="113"/>
      <x:c r="AE57" s="113"/>
    </x:row>
    <x:row r="58">
      <x:c r="A58" s="113"/>
      <x:c r="B58" s="113"/>
      <x:c r="C58" s="113"/>
      <x:c r="D58" s="113"/>
      <x:c r="E58" s="113"/>
      <x:c r="F58" s="113"/>
      <x:c r="G58" s="113"/>
      <x:c r="H58" s="113"/>
      <x:c r="I58" s="113"/>
      <x:c r="J58" s="113"/>
      <x:c r="K58" s="113"/>
      <x:c r="L58" s="113"/>
      <x:c r="M58" s="113"/>
      <x:c r="N58" s="113"/>
      <x:c r="O58" s="113"/>
      <x:c r="P58" s="113"/>
      <x:c r="Q58" s="113"/>
      <x:c r="R58" s="113"/>
      <x:c r="S58" s="113"/>
      <x:c r="T58" s="113"/>
      <x:c r="U58" s="113"/>
      <x:c r="V58" s="113"/>
      <x:c r="W58" s="113"/>
      <x:c r="X58" s="113"/>
      <x:c r="Y58" s="113"/>
      <x:c r="Z58" s="113"/>
      <x:c r="AA58" s="113"/>
      <x:c r="AB58" s="113"/>
      <x:c r="AC58" s="113"/>
      <x:c r="AD58" s="113"/>
      <x:c r="AE58" s="113"/>
    </x:row>
    <x:row r="59">
      <x:c r="A59" s="113"/>
      <x:c r="B59" s="113"/>
      <x:c r="C59" s="113"/>
      <x:c r="D59" s="113"/>
      <x:c r="E59" s="113"/>
      <x:c r="F59" s="113"/>
      <x:c r="G59" s="113"/>
      <x:c r="H59" s="113"/>
      <x:c r="I59" s="113"/>
      <x:c r="J59" s="113"/>
      <x:c r="K59" s="113"/>
      <x:c r="L59" s="113"/>
      <x:c r="M59" s="113"/>
      <x:c r="N59" s="113"/>
      <x:c r="O59" s="113"/>
      <x:c r="P59" s="113"/>
      <x:c r="Q59" s="113"/>
      <x:c r="R59" s="113"/>
      <x:c r="S59" s="113"/>
      <x:c r="T59" s="113"/>
      <x:c r="U59" s="113"/>
      <x:c r="V59" s="113"/>
      <x:c r="W59" s="113"/>
      <x:c r="X59" s="113"/>
      <x:c r="Y59" s="113"/>
      <x:c r="Z59" s="113"/>
      <x:c r="AA59" s="113"/>
      <x:c r="AB59" s="113"/>
      <x:c r="AC59" s="113"/>
      <x:c r="AD59" s="113"/>
      <x:c r="AE59" s="113"/>
    </x:row>
    <x:row r="60">
      <x:c r="A60" s="113"/>
      <x:c r="B60" s="113"/>
      <x:c r="C60" s="113"/>
      <x:c r="D60" s="113"/>
      <x:c r="E60" s="113"/>
      <x:c r="F60" s="113"/>
      <x:c r="G60" s="113"/>
      <x:c r="H60" s="113"/>
      <x:c r="I60" s="113"/>
      <x:c r="J60" s="113"/>
      <x:c r="K60" s="113"/>
      <x:c r="L60" s="113"/>
      <x:c r="M60" s="113"/>
      <x:c r="N60" s="113"/>
      <x:c r="O60" s="113"/>
      <x:c r="P60" s="113"/>
      <x:c r="Q60" s="113"/>
      <x:c r="R60" s="113"/>
      <x:c r="S60" s="113"/>
      <x:c r="T60" s="113"/>
      <x:c r="U60" s="113"/>
      <x:c r="V60" s="113"/>
      <x:c r="W60" s="113"/>
      <x:c r="X60" s="113"/>
      <x:c r="Y60" s="113"/>
      <x:c r="Z60" s="113"/>
      <x:c r="AA60" s="113"/>
      <x:c r="AB60" s="113"/>
      <x:c r="AC60" s="113"/>
      <x:c r="AD60" s="113"/>
      <x:c r="AE60" s="113"/>
    </x:row>
    <x:row r="61">
      <x:c r="A61" s="113"/>
      <x:c r="B61" s="113"/>
      <x:c r="C61" s="113"/>
      <x:c r="D61" s="113"/>
      <x:c r="E61" s="113"/>
      <x:c r="F61" s="113"/>
      <x:c r="G61" s="113"/>
      <x:c r="H61" s="113"/>
      <x:c r="I61" s="113"/>
      <x:c r="J61" s="113"/>
      <x:c r="K61" s="113"/>
      <x:c r="L61" s="113"/>
      <x:c r="M61" s="113"/>
      <x:c r="N61" s="113"/>
      <x:c r="O61" s="113"/>
      <x:c r="P61" s="113"/>
      <x:c r="Q61" s="113"/>
      <x:c r="R61" s="113"/>
      <x:c r="S61" s="113"/>
      <x:c r="T61" s="113"/>
      <x:c r="U61" s="113"/>
      <x:c r="V61" s="113"/>
      <x:c r="W61" s="113"/>
      <x:c r="X61" s="113"/>
      <x:c r="Y61" s="113"/>
      <x:c r="Z61" s="113"/>
      <x:c r="AA61" s="113"/>
      <x:c r="AB61" s="113"/>
      <x:c r="AC61" s="113"/>
      <x:c r="AD61" s="113"/>
      <x:c r="AE61" s="113"/>
    </x:row>
    <x:row r="62">
      <x:c r="A62" s="113"/>
      <x:c r="B62" s="113"/>
      <x:c r="C62" s="113"/>
      <x:c r="D62" s="113"/>
      <x:c r="E62" s="113"/>
      <x:c r="F62" s="113"/>
      <x:c r="G62" s="113"/>
      <x:c r="H62" s="113"/>
      <x:c r="I62" s="113"/>
      <x:c r="J62" s="113"/>
      <x:c r="K62" s="113"/>
      <x:c r="L62" s="113"/>
      <x:c r="M62" s="113"/>
      <x:c r="N62" s="113"/>
      <x:c r="O62" s="113"/>
      <x:c r="P62" s="113"/>
      <x:c r="Q62" s="113"/>
      <x:c r="R62" s="113"/>
      <x:c r="S62" s="113"/>
      <x:c r="T62" s="113"/>
      <x:c r="U62" s="113"/>
      <x:c r="V62" s="113"/>
      <x:c r="W62" s="113"/>
      <x:c r="X62" s="113"/>
      <x:c r="Y62" s="113"/>
      <x:c r="Z62" s="113"/>
      <x:c r="AA62" s="113"/>
      <x:c r="AB62" s="113"/>
      <x:c r="AC62" s="113"/>
      <x:c r="AD62" s="113"/>
      <x:c r="AE62" s="113"/>
    </x:row>
    <x:row r="63">
      <x:c r="A63" s="113"/>
      <x:c r="B63" s="113"/>
      <x:c r="C63" s="113"/>
      <x:c r="D63" s="113"/>
      <x:c r="E63" s="113"/>
      <x:c r="F63" s="113"/>
      <x:c r="G63" s="113"/>
      <x:c r="H63" s="113"/>
      <x:c r="I63" s="113"/>
      <x:c r="J63" s="113"/>
      <x:c r="K63" s="113"/>
      <x:c r="L63" s="113"/>
      <x:c r="M63" s="113"/>
      <x:c r="N63" s="113"/>
      <x:c r="O63" s="113"/>
      <x:c r="P63" s="113"/>
      <x:c r="Q63" s="113"/>
      <x:c r="R63" s="113"/>
      <x:c r="S63" s="113"/>
      <x:c r="T63" s="113"/>
      <x:c r="U63" s="113"/>
      <x:c r="V63" s="113"/>
      <x:c r="W63" s="113"/>
      <x:c r="X63" s="113"/>
      <x:c r="Y63" s="113"/>
      <x:c r="Z63" s="113"/>
      <x:c r="AA63" s="113"/>
      <x:c r="AB63" s="113"/>
      <x:c r="AC63" s="113"/>
      <x:c r="AD63" s="113"/>
      <x:c r="AE63" s="113"/>
    </x:row>
    <x:row r="64">
      <x:c r="A64" s="113"/>
      <x:c r="B64" s="113"/>
      <x:c r="C64" s="113"/>
      <x:c r="D64" s="113"/>
      <x:c r="E64" s="113"/>
      <x:c r="F64" s="113"/>
      <x:c r="G64" s="113"/>
      <x:c r="H64" s="113"/>
      <x:c r="I64" s="113"/>
      <x:c r="J64" s="113"/>
      <x:c r="K64" s="113"/>
      <x:c r="L64" s="113"/>
      <x:c r="M64" s="113"/>
      <x:c r="N64" s="113"/>
      <x:c r="O64" s="113"/>
      <x:c r="P64" s="113"/>
      <x:c r="Q64" s="113"/>
      <x:c r="R64" s="113"/>
      <x:c r="S64" s="113"/>
      <x:c r="T64" s="113"/>
      <x:c r="U64" s="113"/>
      <x:c r="V64" s="113"/>
      <x:c r="W64" s="113"/>
      <x:c r="X64" s="113"/>
      <x:c r="Y64" s="113"/>
      <x:c r="Z64" s="113"/>
      <x:c r="AA64" s="113"/>
      <x:c r="AB64" s="113"/>
      <x:c r="AC64" s="113"/>
      <x:c r="AD64" s="113"/>
      <x:c r="AE64" s="113"/>
    </x:row>
    <x:row r="65">
      <x:c r="A65" s="113"/>
      <x:c r="B65" s="113"/>
      <x:c r="C65" s="113"/>
      <x:c r="D65" s="113"/>
      <x:c r="E65" s="113"/>
      <x:c r="F65" s="113"/>
      <x:c r="G65" s="113"/>
      <x:c r="H65" s="113"/>
      <x:c r="I65" s="113"/>
      <x:c r="J65" s="113"/>
      <x:c r="K65" s="113"/>
      <x:c r="L65" s="113"/>
      <x:c r="M65" s="113"/>
      <x:c r="N65" s="113"/>
      <x:c r="O65" s="113"/>
      <x:c r="P65" s="113"/>
      <x:c r="Q65" s="113"/>
      <x:c r="R65" s="113"/>
      <x:c r="S65" s="113"/>
      <x:c r="T65" s="113"/>
      <x:c r="U65" s="113"/>
      <x:c r="V65" s="113"/>
      <x:c r="W65" s="113"/>
      <x:c r="X65" s="113"/>
      <x:c r="Y65" s="113"/>
      <x:c r="Z65" s="113"/>
      <x:c r="AA65" s="113"/>
      <x:c r="AB65" s="113"/>
      <x:c r="AC65" s="113"/>
      <x:c r="AD65" s="113"/>
      <x:c r="AE65" s="113"/>
    </x:row>
    <x:row r="66">
      <x:c r="A66" s="113"/>
      <x:c r="B66" s="113"/>
      <x:c r="C66" s="113"/>
      <x:c r="D66" s="113"/>
      <x:c r="E66" s="113"/>
      <x:c r="F66" s="113"/>
      <x:c r="G66" s="113"/>
      <x:c r="H66" s="113"/>
      <x:c r="I66" s="113"/>
      <x:c r="J66" s="113"/>
      <x:c r="K66" s="113"/>
      <x:c r="L66" s="113"/>
      <x:c r="M66" s="113"/>
      <x:c r="N66" s="113"/>
      <x:c r="O66" s="113"/>
      <x:c r="P66" s="113"/>
      <x:c r="Q66" s="113"/>
      <x:c r="R66" s="113"/>
      <x:c r="S66" s="113"/>
      <x:c r="T66" s="113"/>
      <x:c r="U66" s="113"/>
      <x:c r="V66" s="113"/>
      <x:c r="W66" s="113"/>
      <x:c r="X66" s="113"/>
      <x:c r="Y66" s="113"/>
      <x:c r="Z66" s="113"/>
      <x:c r="AA66" s="113"/>
      <x:c r="AB66" s="113"/>
      <x:c r="AC66" s="113"/>
      <x:c r="AD66" s="113"/>
      <x:c r="AE66" s="113"/>
    </x:row>
    <x:row r="67">
      <x:c r="A67" s="113"/>
      <x:c r="B67" s="113"/>
      <x:c r="C67" s="113"/>
      <x:c r="D67" s="113"/>
      <x:c r="E67" s="113"/>
      <x:c r="F67" s="113"/>
      <x:c r="G67" s="113"/>
      <x:c r="H67" s="113"/>
      <x:c r="I67" s="113"/>
      <x:c r="J67" s="113"/>
      <x:c r="K67" s="113"/>
      <x:c r="L67" s="113"/>
      <x:c r="M67" s="113"/>
      <x:c r="N67" s="113"/>
      <x:c r="O67" s="113"/>
      <x:c r="P67" s="113"/>
      <x:c r="Q67" s="113"/>
      <x:c r="R67" s="113"/>
      <x:c r="S67" s="113"/>
      <x:c r="T67" s="113"/>
      <x:c r="U67" s="113"/>
      <x:c r="V67" s="113"/>
      <x:c r="W67" s="113"/>
      <x:c r="X67" s="113"/>
      <x:c r="Y67" s="113"/>
      <x:c r="Z67" s="113"/>
      <x:c r="AA67" s="113"/>
      <x:c r="AB67" s="113"/>
      <x:c r="AC67" s="113"/>
      <x:c r="AD67" s="113"/>
      <x:c r="AE67" s="113"/>
    </x:row>
    <x:row r="68">
      <x:c r="A68" s="113"/>
      <x:c r="B68" s="113"/>
      <x:c r="C68" s="113"/>
      <x:c r="D68" s="113"/>
      <x:c r="E68" s="113"/>
      <x:c r="F68" s="113"/>
      <x:c r="G68" s="113"/>
      <x:c r="H68" s="113"/>
      <x:c r="I68" s="113"/>
      <x:c r="J68" s="113"/>
      <x:c r="K68" s="113"/>
      <x:c r="L68" s="113"/>
      <x:c r="M68" s="113"/>
      <x:c r="N68" s="113"/>
      <x:c r="O68" s="113"/>
      <x:c r="P68" s="113"/>
      <x:c r="Q68" s="113"/>
      <x:c r="R68" s="113"/>
      <x:c r="S68" s="113"/>
      <x:c r="T68" s="113"/>
      <x:c r="U68" s="113"/>
      <x:c r="V68" s="113"/>
      <x:c r="W68" s="113"/>
      <x:c r="X68" s="113"/>
      <x:c r="Y68" s="113"/>
      <x:c r="Z68" s="113"/>
      <x:c r="AA68" s="113"/>
      <x:c r="AB68" s="113"/>
      <x:c r="AC68" s="113"/>
      <x:c r="AD68" s="113"/>
      <x:c r="AE68" s="113"/>
    </x:row>
    <x:row r="69">
      <x:c r="A69" s="113"/>
      <x:c r="B69" s="113"/>
      <x:c r="C69" s="113"/>
      <x:c r="D69" s="113"/>
      <x:c r="E69" s="113"/>
      <x:c r="F69" s="113"/>
      <x:c r="G69" s="113"/>
      <x:c r="H69" s="113"/>
      <x:c r="I69" s="113"/>
      <x:c r="J69" s="113"/>
      <x:c r="K69" s="113"/>
      <x:c r="L69" s="113"/>
      <x:c r="M69" s="113"/>
      <x:c r="N69" s="113"/>
      <x:c r="O69" s="113"/>
      <x:c r="P69" s="113"/>
      <x:c r="Q69" s="113"/>
      <x:c r="R69" s="113"/>
      <x:c r="S69" s="113"/>
      <x:c r="T69" s="113"/>
      <x:c r="U69" s="113"/>
      <x:c r="V69" s="113"/>
      <x:c r="W69" s="113"/>
      <x:c r="X69" s="113"/>
      <x:c r="Y69" s="113"/>
      <x:c r="Z69" s="113"/>
      <x:c r="AA69" s="113"/>
      <x:c r="AB69" s="113"/>
      <x:c r="AC69" s="113"/>
      <x:c r="AD69" s="113"/>
      <x:c r="AE69" s="113"/>
    </x:row>
    <x:row r="70">
      <x:c r="A70" s="113"/>
      <x:c r="B70" s="113"/>
      <x:c r="C70" s="113"/>
      <x:c r="D70" s="113"/>
      <x:c r="E70" s="113"/>
      <x:c r="F70" s="113"/>
      <x:c r="G70" s="113"/>
      <x:c r="H70" s="113"/>
      <x:c r="I70" s="113"/>
      <x:c r="J70" s="113"/>
      <x:c r="K70" s="113"/>
      <x:c r="L70" s="113"/>
      <x:c r="M70" s="113"/>
      <x:c r="N70" s="113"/>
      <x:c r="O70" s="113"/>
      <x:c r="P70" s="113"/>
      <x:c r="Q70" s="113"/>
      <x:c r="R70" s="113"/>
      <x:c r="S70" s="113"/>
      <x:c r="T70" s="113"/>
      <x:c r="U70" s="113"/>
      <x:c r="V70" s="113"/>
      <x:c r="W70" s="113"/>
      <x:c r="X70" s="113"/>
      <x:c r="Y70" s="113"/>
      <x:c r="Z70" s="113"/>
      <x:c r="AA70" s="113"/>
      <x:c r="AB70" s="113"/>
      <x:c r="AC70" s="113"/>
      <x:c r="AD70" s="113"/>
      <x:c r="AE70" s="113"/>
    </x:row>
    <x:row r="71">
      <x:c r="A71" s="113"/>
      <x:c r="B71" s="113"/>
      <x:c r="C71" s="113"/>
      <x:c r="D71" s="113"/>
      <x:c r="E71" s="113"/>
      <x:c r="F71" s="113"/>
      <x:c r="G71" s="113"/>
      <x:c r="H71" s="113"/>
      <x:c r="I71" s="113"/>
      <x:c r="J71" s="113"/>
      <x:c r="K71" s="113"/>
      <x:c r="L71" s="113"/>
      <x:c r="M71" s="113"/>
      <x:c r="N71" s="113"/>
      <x:c r="O71" s="113"/>
      <x:c r="P71" s="113"/>
      <x:c r="Q71" s="113"/>
      <x:c r="R71" s="113"/>
      <x:c r="S71" s="113"/>
      <x:c r="T71" s="113"/>
      <x:c r="U71" s="113"/>
      <x:c r="V71" s="113"/>
      <x:c r="W71" s="113"/>
      <x:c r="X71" s="113"/>
      <x:c r="Y71" s="113"/>
      <x:c r="Z71" s="113"/>
      <x:c r="AA71" s="113"/>
      <x:c r="AB71" s="113"/>
      <x:c r="AC71" s="113"/>
      <x:c r="AD71" s="113"/>
      <x:c r="AE71" s="113"/>
    </x:row>
    <x:row r="72">
      <x:c r="A72" s="113"/>
      <x:c r="B72" s="113"/>
      <x:c r="C72" s="113"/>
      <x:c r="D72" s="113"/>
      <x:c r="E72" s="113"/>
      <x:c r="F72" s="113"/>
      <x:c r="G72" s="113"/>
      <x:c r="H72" s="113"/>
      <x:c r="I72" s="113"/>
      <x:c r="J72" s="113"/>
      <x:c r="K72" s="113"/>
      <x:c r="L72" s="113"/>
      <x:c r="M72" s="113"/>
      <x:c r="N72" s="113"/>
      <x:c r="O72" s="113"/>
      <x:c r="P72" s="113"/>
      <x:c r="Q72" s="113"/>
      <x:c r="R72" s="113"/>
      <x:c r="S72" s="113"/>
      <x:c r="T72" s="113"/>
      <x:c r="U72" s="113"/>
      <x:c r="V72" s="113"/>
      <x:c r="W72" s="113"/>
      <x:c r="X72" s="113"/>
      <x:c r="Y72" s="113"/>
      <x:c r="Z72" s="113"/>
      <x:c r="AA72" s="113"/>
      <x:c r="AB72" s="113"/>
      <x:c r="AC72" s="113"/>
      <x:c r="AD72" s="113"/>
      <x:c r="AE72" s="113"/>
    </x:row>
    <x:row r="73">
      <x:c r="A73" s="113"/>
      <x:c r="B73" s="113"/>
      <x:c r="C73" s="113"/>
      <x:c r="D73" s="113"/>
      <x:c r="E73" s="113"/>
      <x:c r="F73" s="113"/>
      <x:c r="G73" s="113"/>
      <x:c r="H73" s="113"/>
      <x:c r="I73" s="113"/>
      <x:c r="J73" s="113"/>
      <x:c r="K73" s="113"/>
      <x:c r="L73" s="113"/>
      <x:c r="M73" s="113"/>
      <x:c r="N73" s="113"/>
      <x:c r="O73" s="113"/>
      <x:c r="P73" s="113"/>
      <x:c r="Q73" s="113"/>
      <x:c r="R73" s="113"/>
      <x:c r="S73" s="113"/>
      <x:c r="T73" s="113"/>
      <x:c r="U73" s="113"/>
      <x:c r="V73" s="113"/>
      <x:c r="W73" s="113"/>
      <x:c r="X73" s="113"/>
      <x:c r="Y73" s="113"/>
      <x:c r="Z73" s="113"/>
      <x:c r="AA73" s="113"/>
      <x:c r="AB73" s="113"/>
      <x:c r="AC73" s="113"/>
      <x:c r="AD73" s="113"/>
      <x:c r="AE73" s="113"/>
    </x:row>
    <x:row r="74">
      <x:c r="A74" s="113"/>
      <x:c r="B74" s="113"/>
      <x:c r="C74" s="113"/>
      <x:c r="D74" s="113"/>
      <x:c r="E74" s="113"/>
      <x:c r="F74" s="113"/>
      <x:c r="G74" s="113"/>
      <x:c r="H74" s="113"/>
      <x:c r="I74" s="113"/>
      <x:c r="J74" s="113"/>
      <x:c r="K74" s="113"/>
      <x:c r="L74" s="113"/>
      <x:c r="M74" s="113"/>
      <x:c r="N74" s="113"/>
      <x:c r="O74" s="113"/>
      <x:c r="P74" s="113"/>
      <x:c r="Q74" s="113"/>
      <x:c r="R74" s="113"/>
      <x:c r="S74" s="113"/>
      <x:c r="T74" s="113"/>
      <x:c r="U74" s="113"/>
      <x:c r="V74" s="113"/>
      <x:c r="W74" s="113"/>
      <x:c r="X74" s="113"/>
      <x:c r="Y74" s="113"/>
      <x:c r="Z74" s="113"/>
      <x:c r="AA74" s="113"/>
      <x:c r="AB74" s="113"/>
      <x:c r="AC74" s="113"/>
      <x:c r="AD74" s="113"/>
      <x:c r="AE74" s="113"/>
    </x:row>
    <x:row r="75">
      <x:c r="A75" s="113"/>
      <x:c r="B75" s="113"/>
      <x:c r="C75" s="113"/>
      <x:c r="D75" s="113"/>
      <x:c r="E75" s="113"/>
      <x:c r="F75" s="113"/>
      <x:c r="G75" s="113"/>
      <x:c r="H75" s="113"/>
      <x:c r="I75" s="113"/>
      <x:c r="J75" s="113"/>
      <x:c r="K75" s="113"/>
      <x:c r="L75" s="113"/>
      <x:c r="M75" s="113"/>
      <x:c r="N75" s="113"/>
      <x:c r="O75" s="113"/>
      <x:c r="P75" s="113"/>
      <x:c r="Q75" s="113"/>
      <x:c r="R75" s="113"/>
      <x:c r="S75" s="113"/>
      <x:c r="T75" s="113"/>
      <x:c r="U75" s="113"/>
      <x:c r="V75" s="113"/>
      <x:c r="W75" s="113"/>
      <x:c r="X75" s="113"/>
      <x:c r="Y75" s="113"/>
      <x:c r="Z75" s="113"/>
      <x:c r="AA75" s="113"/>
      <x:c r="AB75" s="113"/>
      <x:c r="AC75" s="113"/>
      <x:c r="AD75" s="113"/>
      <x:c r="AE75" s="113"/>
    </x:row>
    <x:row r="76">
      <x:c r="A76" s="113"/>
      <x:c r="B76" s="113"/>
      <x:c r="C76" s="113"/>
      <x:c r="D76" s="113"/>
      <x:c r="E76" s="113"/>
      <x:c r="F76" s="113"/>
      <x:c r="G76" s="113"/>
      <x:c r="H76" s="113"/>
      <x:c r="I76" s="113"/>
      <x:c r="J76" s="113"/>
      <x:c r="K76" s="113"/>
      <x:c r="L76" s="113"/>
      <x:c r="M76" s="113"/>
      <x:c r="N76" s="113"/>
      <x:c r="O76" s="113"/>
      <x:c r="P76" s="113"/>
      <x:c r="Q76" s="113"/>
      <x:c r="R76" s="113"/>
      <x:c r="S76" s="113"/>
      <x:c r="T76" s="113"/>
      <x:c r="U76" s="113"/>
      <x:c r="V76" s="113"/>
      <x:c r="W76" s="113"/>
      <x:c r="X76" s="113"/>
      <x:c r="Y76" s="113"/>
      <x:c r="Z76" s="113"/>
      <x:c r="AA76" s="113"/>
      <x:c r="AB76" s="113"/>
      <x:c r="AC76" s="113"/>
      <x:c r="AD76" s="113"/>
      <x:c r="AE76" s="113"/>
    </x:row>
    <x:row r="77">
      <x:c r="A77" s="113"/>
      <x:c r="B77" s="113"/>
      <x:c r="C77" s="113"/>
      <x:c r="D77" s="113"/>
      <x:c r="E77" s="113"/>
      <x:c r="F77" s="113"/>
      <x:c r="G77" s="113"/>
      <x:c r="H77" s="113"/>
      <x:c r="I77" s="113"/>
      <x:c r="J77" s="113"/>
      <x:c r="K77" s="113"/>
      <x:c r="L77" s="113"/>
      <x:c r="M77" s="113"/>
      <x:c r="N77" s="113"/>
      <x:c r="O77" s="113"/>
      <x:c r="P77" s="113"/>
      <x:c r="Q77" s="113"/>
      <x:c r="R77" s="113"/>
      <x:c r="S77" s="113"/>
      <x:c r="T77" s="113"/>
      <x:c r="U77" s="113"/>
      <x:c r="V77" s="113"/>
      <x:c r="W77" s="113"/>
      <x:c r="X77" s="113"/>
      <x:c r="Y77" s="113"/>
      <x:c r="Z77" s="113"/>
      <x:c r="AA77" s="113"/>
      <x:c r="AB77" s="113"/>
      <x:c r="AC77" s="113"/>
      <x:c r="AD77" s="113"/>
      <x:c r="AE77" s="113"/>
    </x:row>
    <x:row r="78">
      <x:c r="A78" s="113"/>
      <x:c r="B78" s="113"/>
      <x:c r="C78" s="113"/>
      <x:c r="D78" s="113"/>
      <x:c r="E78" s="113"/>
      <x:c r="F78" s="113"/>
      <x:c r="G78" s="113"/>
      <x:c r="H78" s="113"/>
      <x:c r="I78" s="113"/>
      <x:c r="J78" s="113"/>
      <x:c r="K78" s="113"/>
      <x:c r="L78" s="113"/>
      <x:c r="M78" s="113"/>
      <x:c r="N78" s="113"/>
      <x:c r="O78" s="113"/>
      <x:c r="P78" s="113"/>
      <x:c r="Q78" s="113"/>
      <x:c r="R78" s="113"/>
      <x:c r="S78" s="113"/>
      <x:c r="T78" s="113"/>
      <x:c r="U78" s="113"/>
      <x:c r="V78" s="113"/>
      <x:c r="W78" s="113"/>
      <x:c r="X78" s="113"/>
      <x:c r="Y78" s="113"/>
      <x:c r="Z78" s="113"/>
      <x:c r="AA78" s="113"/>
      <x:c r="AB78" s="113"/>
      <x:c r="AC78" s="113"/>
      <x:c r="AD78" s="113"/>
      <x:c r="AE78" s="113"/>
    </x:row>
    <x:row r="79">
      <x:c r="A79" s="113"/>
      <x:c r="B79" s="113"/>
      <x:c r="C79" s="113"/>
      <x:c r="D79" s="113"/>
      <x:c r="E79" s="113"/>
      <x:c r="F79" s="113"/>
      <x:c r="G79" s="113"/>
      <x:c r="H79" s="113"/>
      <x:c r="I79" s="113"/>
      <x:c r="J79" s="113"/>
      <x:c r="K79" s="113"/>
      <x:c r="L79" s="113"/>
      <x:c r="M79" s="113"/>
      <x:c r="N79" s="113"/>
      <x:c r="O79" s="113"/>
      <x:c r="P79" s="113"/>
      <x:c r="Q79" s="113"/>
      <x:c r="R79" s="113"/>
      <x:c r="S79" s="113"/>
      <x:c r="T79" s="113"/>
      <x:c r="U79" s="113"/>
      <x:c r="V79" s="113"/>
      <x:c r="W79" s="113"/>
      <x:c r="X79" s="113"/>
      <x:c r="Y79" s="113"/>
      <x:c r="Z79" s="113"/>
      <x:c r="AA79" s="113"/>
      <x:c r="AB79" s="113"/>
      <x:c r="AC79" s="113"/>
      <x:c r="AD79" s="113"/>
      <x:c r="AE79" s="113"/>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J1"/>
  </x:mergeCells>
  <x:conditionalFormatting sqref="C4:C32">
    <x:cfRule type="expression" dxfId="22" priority="1">
      <x:formula>LEFT(C4,9)="Entfernen"</x:formula>
    </x:cfRule>
  </x:conditionalFormatting>
  <x:pageMargins left="0.7" right="0.7" top="0.75" bottom="0.75" header="0.3" footer="0.3"/>
  <x:tableParts count="1">
    <x:tablePart xmlns:r="http://schemas.openxmlformats.org/officeDocument/2006/relationships" r:id="Rd2e38aef903c4e6a"/>
  </x:tableParts>
</x:worksheet>
</file>

<file path=xl/worksheets/sheet29.xml><?xml version="1.0" encoding="utf-8"?>
<x:worksheet xmlns:x="http://schemas.openxmlformats.org/spreadsheetml/2006/main">
  <x:sheetFormatPr defaultRowHeight="15"/>
  <x:cols>
    <x:col min="1" max="1" width="18" hidden="0" customWidth="1"/>
    <x:col min="2" max="2" width="35" hidden="0" customWidth="1"/>
    <x:col min="3" max="3" width="42" hidden="0" customWidth="1"/>
    <x:col min="4" max="4" width="42" hidden="0" customWidth="1"/>
    <x:col min="5" max="5" width="44" hidden="0" customWidth="1"/>
    <x:col min="6" max="6" width="15" hidden="0" customWidth="1"/>
  </x:cols>
  <x:sheetData>
    <x:row r="1" ht="28" customHeight="1">
      <x:c r="A1" s="121" t="str">
        <x:v>ARCHIV / ERSETZT – Ausschlüsse-Regeln 4.4x</x:v>
      </x:c>
      <x:c r="B1" s="121"/>
      <x:c r="C1" s="121"/>
      <x:c r="D1" s="121"/>
      <x:c r="E1" s="121"/>
      <x:c r="F1" s="121"/>
      <x:c r="G1" s="113"/>
      <x:c r="H1" s="113"/>
      <x:c r="I1" s="113"/>
      <x:c r="J1" s="113"/>
      <x:c r="K1" s="113"/>
      <x:c r="L1" s="113"/>
      <x:c r="M1" s="113"/>
      <x:c r="N1" s="113"/>
      <x:c r="O1" s="113"/>
      <x:c r="P1" s="113"/>
      <x:c r="Q1" s="113"/>
      <x:c r="R1" s="113"/>
      <x:c r="S1" s="113"/>
      <x:c r="T1" s="113"/>
      <x:c r="U1" s="113"/>
      <x:c r="V1" s="113"/>
      <x:c r="W1" s="113"/>
      <x:c r="X1" s="113"/>
      <x:c r="Y1" s="113"/>
      <x:c r="Z1" s="113"/>
      <x:c r="AA1" s="113"/>
      <x:c r="AB1" s="113"/>
      <x:c r="AC1" s="113"/>
      <x:c r="AD1" s="113"/>
      <x:c r="AE1" s="113"/>
    </x:row>
    <x:row r="2">
      <x:c r="A2" s="113"/>
      <x:c r="B2" s="113"/>
      <x:c r="C2" s="113"/>
      <x:c r="D2" s="113"/>
      <x:c r="E2" s="113"/>
      <x:c r="F2" s="113"/>
      <x:c r="G2" s="113"/>
      <x:c r="H2" s="113"/>
      <x:c r="I2" s="113"/>
      <x:c r="J2" s="113"/>
      <x:c r="K2" s="113"/>
      <x:c r="L2" s="113"/>
      <x:c r="M2" s="113"/>
      <x:c r="N2" s="113"/>
      <x:c r="O2" s="113"/>
      <x:c r="P2" s="113"/>
      <x:c r="Q2" s="113"/>
      <x:c r="R2" s="113"/>
      <x:c r="S2" s="113"/>
      <x:c r="T2" s="113"/>
      <x:c r="U2" s="113"/>
      <x:c r="V2" s="113"/>
      <x:c r="W2" s="113"/>
      <x:c r="X2" s="113"/>
      <x:c r="Y2" s="113"/>
      <x:c r="Z2" s="113"/>
      <x:c r="AA2" s="113"/>
      <x:c r="AB2" s="113"/>
      <x:c r="AC2" s="113"/>
      <x:c r="AD2" s="113"/>
      <x:c r="AE2" s="113"/>
    </x:row>
    <x:row r="3" ht="30" customHeight="1">
      <x:c r="A3" s="131" t="str">
        <x:v>Typ</x:v>
      </x:c>
      <x:c r="B3" s="131" t="str">
        <x:v>Thema / Einrichtung</x:v>
      </x:c>
      <x:c r="C3" s="131" t="str">
        <x:v>Verbindliche Regel</x:v>
      </x:c>
      <x:c r="D3" s="131" t="str">
        <x:v>Begründung</x:v>
      </x:c>
      <x:c r="E3" s="131" t="str">
        <x:v>Umsetzung</x:v>
      </x:c>
      <x:c r="F3" s="131" t="str">
        <x:v>Status</x:v>
      </x:c>
      <x:c r="G3" s="113"/>
      <x:c r="H3" s="113"/>
      <x:c r="I3" s="113"/>
      <x:c r="J3" s="113"/>
      <x:c r="K3" s="113"/>
      <x:c r="L3" s="113"/>
      <x:c r="M3" s="113"/>
      <x:c r="N3" s="113"/>
      <x:c r="O3" s="113"/>
      <x:c r="P3" s="113"/>
      <x:c r="Q3" s="113"/>
      <x:c r="R3" s="113"/>
      <x:c r="S3" s="113"/>
      <x:c r="T3" s="113"/>
      <x:c r="U3" s="113"/>
      <x:c r="V3" s="113"/>
      <x:c r="W3" s="113"/>
      <x:c r="X3" s="113"/>
      <x:c r="Y3" s="113"/>
      <x:c r="Z3" s="113"/>
      <x:c r="AA3" s="113"/>
      <x:c r="AB3" s="113"/>
      <x:c r="AC3" s="113"/>
      <x:c r="AD3" s="113"/>
      <x:c r="AE3" s="113"/>
    </x:row>
    <x:row r="4">
      <x:c r="A4" s="116" t="str">
        <x:v>Ausschluss</x:v>
      </x:c>
      <x:c r="B4" s="116" t="str">
        <x:v>BFW Kassel</x:v>
      </x:c>
      <x:c r="C4" s="116" t="str">
        <x:v>Nicht aufnehmen</x:v>
      </x:c>
      <x:c r="D4" s="116" t="str">
        <x:v>Bad Vilbel ist der verbindliche BFW-Standort für den Kartenbestand.</x:v>
      </x:c>
      <x:c r="E4" s="116" t="str">
        <x:v>Kein Kartenpunkt / kein Suchtreffer Kassel aus diesem BFW-Komplex.</x:v>
      </x:c>
      <x:c r="F4" s="116" t="str">
        <x:v>verbindlich</x:v>
      </x:c>
      <x:c r="G4" s="113"/>
      <x:c r="H4" s="113"/>
      <x:c r="I4" s="113"/>
      <x:c r="J4" s="113"/>
      <x:c r="K4" s="113"/>
      <x:c r="L4" s="113"/>
      <x:c r="M4" s="113"/>
      <x:c r="N4" s="113"/>
      <x:c r="O4" s="113"/>
      <x:c r="P4" s="113"/>
      <x:c r="Q4" s="113"/>
      <x:c r="R4" s="113"/>
      <x:c r="S4" s="113"/>
      <x:c r="T4" s="113"/>
      <x:c r="U4" s="113"/>
      <x:c r="V4" s="113"/>
      <x:c r="W4" s="113"/>
      <x:c r="X4" s="113"/>
      <x:c r="Y4" s="113"/>
      <x:c r="Z4" s="113"/>
      <x:c r="AA4" s="113"/>
      <x:c r="AB4" s="113"/>
      <x:c r="AC4" s="113"/>
      <x:c r="AD4" s="113"/>
      <x:c r="AE4" s="113"/>
    </x:row>
    <x:row r="5">
      <x:c r="A5" s="116" t="str">
        <x:v>Ausschluss</x:v>
      </x:c>
      <x:c r="B5" s="116" t="str">
        <x:v>Seniorenzentrum Storchenpark Speyer</x:v>
      </x:c>
      <x:c r="C5" s="116" t="str">
        <x:v>Phase F entfernen</x:v>
      </x:c>
      <x:c r="D5" s="116" t="str">
        <x:v>Nicht mehr als aktive Phase-F-Einrichtung führen.</x:v>
      </x:c>
      <x:c r="E5" s="116" t="str">
        <x:v>Phase-F-Kategorie und Filterzuordnung löschen.</x:v>
      </x:c>
      <x:c r="F5" s="116" t="str">
        <x:v>verbindlich</x:v>
      </x:c>
      <x:c r="G5" s="113"/>
      <x:c r="H5" s="113"/>
      <x:c r="I5" s="113"/>
      <x:c r="J5" s="113"/>
      <x:c r="K5" s="113"/>
      <x:c r="L5" s="113"/>
      <x:c r="M5" s="113"/>
      <x:c r="N5" s="113"/>
      <x:c r="O5" s="113"/>
      <x:c r="P5" s="113"/>
      <x:c r="Q5" s="113"/>
      <x:c r="R5" s="113"/>
      <x:c r="S5" s="113"/>
      <x:c r="T5" s="113"/>
      <x:c r="U5" s="113"/>
      <x:c r="V5" s="113"/>
      <x:c r="W5" s="113"/>
      <x:c r="X5" s="113"/>
      <x:c r="Y5" s="113"/>
      <x:c r="Z5" s="113"/>
      <x:c r="AA5" s="113"/>
      <x:c r="AB5" s="113"/>
      <x:c r="AC5" s="113"/>
      <x:c r="AD5" s="113"/>
      <x:c r="AE5" s="113"/>
    </x:row>
    <x:row r="6">
      <x:c r="A6" s="116" t="str">
        <x:v>Kategorisierung</x:v>
      </x:c>
      <x:c r="B6" s="116" t="str">
        <x:v>Kliniken Schmieder</x:v>
      </x:c>
      <x:c r="C6" s="116" t="str">
        <x:v>Keine Phase-F-Zuordnung</x:v>
      </x:c>
      <x:c r="D6" s="116" t="str">
        <x:v>Schmieder-Standorte nicht als Phase F führen.</x:v>
      </x:c>
      <x:c r="E6" s="116" t="str">
        <x:v>Nur tatsächlich bestätigte Phasen anzeigen.</x:v>
      </x:c>
      <x:c r="F6" s="116" t="str">
        <x:v>verbindlich</x:v>
      </x:c>
      <x:c r="G6" s="113"/>
      <x:c r="H6" s="113"/>
      <x:c r="I6" s="113"/>
      <x:c r="J6" s="113"/>
      <x:c r="K6" s="113"/>
      <x:c r="L6" s="113"/>
      <x:c r="M6" s="113"/>
      <x:c r="N6" s="113"/>
      <x:c r="O6" s="113"/>
      <x:c r="P6" s="113"/>
      <x:c r="Q6" s="113"/>
      <x:c r="R6" s="113"/>
      <x:c r="S6" s="113"/>
      <x:c r="T6" s="113"/>
      <x:c r="U6" s="113"/>
      <x:c r="V6" s="113"/>
      <x:c r="W6" s="113"/>
      <x:c r="X6" s="113"/>
      <x:c r="Y6" s="113"/>
      <x:c r="Z6" s="113"/>
      <x:c r="AA6" s="113"/>
      <x:c r="AB6" s="113"/>
      <x:c r="AC6" s="113"/>
      <x:c r="AD6" s="113"/>
      <x:c r="AE6" s="113"/>
    </x:row>
    <x:row r="7">
      <x:c r="A7" s="116" t="str">
        <x:v>Ausschluss</x:v>
      </x:c>
      <x:c r="B7" s="116" t="str">
        <x:v>Kevekordes Ergonomie</x:v>
      </x:c>
      <x:c r="C7" s="116" t="str">
        <x:v>Nicht neu aufnehmen</x:v>
      </x:c>
      <x:c r="D7" s="116" t="str">
        <x:v>Keine neuen Anfragen mehr; kein sinnvoller aktiver Anbieterbestand.</x:v>
      </x:c>
      <x:c r="E7" s="116" t="str">
        <x:v>Nicht in Technik-Import übernehmen.</x:v>
      </x:c>
      <x:c r="F7" s="116" t="str">
        <x:v>verbindlich</x:v>
      </x:c>
      <x:c r="G7" s="113"/>
      <x:c r="H7" s="113"/>
      <x:c r="I7" s="113"/>
      <x:c r="J7" s="113"/>
      <x:c r="K7" s="113"/>
      <x:c r="L7" s="113"/>
      <x:c r="M7" s="113"/>
      <x:c r="N7" s="113"/>
      <x:c r="O7" s="113"/>
      <x:c r="P7" s="113"/>
      <x:c r="Q7" s="113"/>
      <x:c r="R7" s="113"/>
      <x:c r="S7" s="113"/>
      <x:c r="T7" s="113"/>
      <x:c r="U7" s="113"/>
      <x:c r="V7" s="113"/>
      <x:c r="W7" s="113"/>
      <x:c r="X7" s="113"/>
      <x:c r="Y7" s="113"/>
      <x:c r="Z7" s="113"/>
      <x:c r="AA7" s="113"/>
      <x:c r="AB7" s="113"/>
      <x:c r="AC7" s="113"/>
      <x:c r="AD7" s="113"/>
      <x:c r="AE7" s="113"/>
    </x:row>
    <x:row r="8">
      <x:c r="A8" s="116" t="str">
        <x:v>Ausschluss</x:v>
      </x:c>
      <x:c r="B8" s="116" t="str">
        <x:v>Wilma Astrid Fleig, Dietzenbach</x:v>
      </x:c>
      <x:c r="C8" s="116" t="str">
        <x:v>Entfernt lassen</x:v>
      </x:c>
      <x:c r="D8" s="116" t="str">
        <x:v>Psychotherapie-Bereinigung bereits beschlossen.</x:v>
      </x:c>
      <x:c r="E8" s="116" t="str">
        <x:v>Kein produktiver Eintrag.</x:v>
      </x:c>
      <x:c r="F8" s="116" t="str">
        <x:v>verbindlich</x:v>
      </x:c>
      <x:c r="G8" s="113"/>
      <x:c r="H8" s="113"/>
      <x:c r="I8" s="113"/>
      <x:c r="J8" s="113"/>
      <x:c r="K8" s="113"/>
      <x:c r="L8" s="113"/>
      <x:c r="M8" s="113"/>
      <x:c r="N8" s="113"/>
      <x:c r="O8" s="113"/>
      <x:c r="P8" s="113"/>
      <x:c r="Q8" s="113"/>
      <x:c r="R8" s="113"/>
      <x:c r="S8" s="113"/>
      <x:c r="T8" s="113"/>
      <x:c r="U8" s="113"/>
      <x:c r="V8" s="113"/>
      <x:c r="W8" s="113"/>
      <x:c r="X8" s="113"/>
      <x:c r="Y8" s="113"/>
      <x:c r="Z8" s="113"/>
      <x:c r="AA8" s="113"/>
      <x:c r="AB8" s="113"/>
      <x:c r="AC8" s="113"/>
      <x:c r="AD8" s="113"/>
      <x:c r="AE8" s="113"/>
    </x:row>
    <x:row r="9">
      <x:c r="A9" s="116" t="str">
        <x:v>Ausschluss</x:v>
      </x:c>
      <x:c r="B9" s="116" t="str">
        <x:v>Christine/Christin Gräbner, Geiselbach</x:v>
      </x:c>
      <x:c r="C9" s="116" t="str">
        <x:v>Entfernt lassen</x:v>
      </x:c>
      <x:c r="D9" s="116" t="str">
        <x:v>Psychotherapie-Bereinigung bereits beschlossen.</x:v>
      </x:c>
      <x:c r="E9" s="116" t="str">
        <x:v>Kein produktiver Eintrag.</x:v>
      </x:c>
      <x:c r="F9" s="116" t="str">
        <x:v>verbindlich</x:v>
      </x:c>
      <x:c r="G9" s="113"/>
      <x:c r="H9" s="113"/>
      <x:c r="I9" s="113"/>
      <x:c r="J9" s="113"/>
      <x:c r="K9" s="113"/>
      <x:c r="L9" s="113"/>
      <x:c r="M9" s="113"/>
      <x:c r="N9" s="113"/>
      <x:c r="O9" s="113"/>
      <x:c r="P9" s="113"/>
      <x:c r="Q9" s="113"/>
      <x:c r="R9" s="113"/>
      <x:c r="S9" s="113"/>
      <x:c r="T9" s="113"/>
      <x:c r="U9" s="113"/>
      <x:c r="V9" s="113"/>
      <x:c r="W9" s="113"/>
      <x:c r="X9" s="113"/>
      <x:c r="Y9" s="113"/>
      <x:c r="Z9" s="113"/>
      <x:c r="AA9" s="113"/>
      <x:c r="AB9" s="113"/>
      <x:c r="AC9" s="113"/>
      <x:c r="AD9" s="113"/>
      <x:c r="AE9" s="113"/>
    </x:row>
    <x:row r="10">
      <x:c r="A10" s="116" t="str">
        <x:v>Kategorie</x:v>
      </x:c>
      <x:c r="B10" s="116" t="str">
        <x:v>MVZ</x:v>
      </x:c>
      <x:c r="C10" s="116" t="str">
        <x:v>Keine eigene isolierte Hauptkategorie</x:v>
      </x:c>
      <x:c r="D10" s="116" t="str">
        <x:v>MVZ ist Organisationsform, keine Reha-Fachleistung.</x:v>
      </x:c>
      <x:c r="E10" s="116" t="str">
        <x:v>MVZ-Datensätze primär nach Fachgebiet gruppieren.</x:v>
      </x:c>
      <x:c r="F10" s="116" t="str">
        <x:v>verbindlich</x:v>
      </x:c>
      <x:c r="G10" s="113"/>
      <x:c r="H10" s="113"/>
      <x:c r="I10" s="113"/>
      <x:c r="J10" s="113"/>
      <x:c r="K10" s="113"/>
      <x:c r="L10" s="113"/>
      <x:c r="M10" s="113"/>
      <x:c r="N10" s="113"/>
      <x:c r="O10" s="113"/>
      <x:c r="P10" s="113"/>
      <x:c r="Q10" s="113"/>
      <x:c r="R10" s="113"/>
      <x:c r="S10" s="113"/>
      <x:c r="T10" s="113"/>
      <x:c r="U10" s="113"/>
      <x:c r="V10" s="113"/>
      <x:c r="W10" s="113"/>
      <x:c r="X10" s="113"/>
      <x:c r="Y10" s="113"/>
      <x:c r="Z10" s="113"/>
      <x:c r="AA10" s="113"/>
      <x:c r="AB10" s="113"/>
      <x:c r="AC10" s="113"/>
      <x:c r="AD10" s="113"/>
      <x:c r="AE10" s="113"/>
    </x:row>
    <x:row r="11">
      <x:c r="A11" s="116" t="str">
        <x:v>Kategorie</x:v>
      </x:c>
      <x:c r="B11" s="116" t="str">
        <x:v>Stephanuswerk Isny</x:v>
      </x:c>
      <x:c r="C11" s="116" t="str">
        <x:v>Phase E/LTA, nicht A-D</x:v>
      </x:c>
      <x:c r="D11" s="116" t="str">
        <x:v>Berufliche Rehabilitation und Übergang in Arbeit; kein medizinisches A-D-Phasenangebot.</x:v>
      </x:c>
      <x:c r="E11" s="116" t="str">
        <x:v>Neurologie Phase E + Berufliche Reha/LTA verknüpfen.</x:v>
      </x:c>
      <x:c r="F11" s="116" t="str">
        <x:v>verbindlich</x:v>
      </x:c>
      <x:c r="G11" s="113"/>
      <x:c r="H11" s="113"/>
      <x:c r="I11" s="113"/>
      <x:c r="J11" s="113"/>
      <x:c r="K11" s="113"/>
      <x:c r="L11" s="113"/>
      <x:c r="M11" s="113"/>
      <x:c r="N11" s="113"/>
      <x:c r="O11" s="113"/>
      <x:c r="P11" s="113"/>
      <x:c r="Q11" s="113"/>
      <x:c r="R11" s="113"/>
      <x:c r="S11" s="113"/>
      <x:c r="T11" s="113"/>
      <x:c r="U11" s="113"/>
      <x:c r="V11" s="113"/>
      <x:c r="W11" s="113"/>
      <x:c r="X11" s="113"/>
      <x:c r="Y11" s="113"/>
      <x:c r="Z11" s="113"/>
      <x:c r="AA11" s="113"/>
      <x:c r="AB11" s="113"/>
      <x:c r="AC11" s="113"/>
      <x:c r="AD11" s="113"/>
      <x:c r="AE11" s="113"/>
    </x:row>
    <x:row r="12">
      <x:c r="A12" s="116" t="str">
        <x:v>Begriffsklärung</x:v>
      </x:c>
      <x:c r="B12" s="116" t="str">
        <x:v>Jugendwerk Isny</x:v>
      </x:c>
      <x:c r="C12" s="116" t="str">
        <x:v>Nicht als eigenes neurologisches Jugendwerk anlegen</x:v>
      </x:c>
      <x:c r="D12" s="116" t="str">
        <x:v>Der Isny-Baustein ist Stephanuswerk; das neurologische Jugend-Reha-Angebot ist Hegau-Jugendwerk Gailingen.</x:v>
      </x:c>
      <x:c r="E12" s="116" t="str">
        <x:v>Keine Dublette/falsche Einrichtung erzeugen.</x:v>
      </x:c>
      <x:c r="F12" s="116" t="str">
        <x:v>verbindlich</x:v>
      </x:c>
      <x:c r="G12" s="113"/>
      <x:c r="H12" s="113"/>
      <x:c r="I12" s="113"/>
      <x:c r="J12" s="113"/>
      <x:c r="K12" s="113"/>
      <x:c r="L12" s="113"/>
      <x:c r="M12" s="113"/>
      <x:c r="N12" s="113"/>
      <x:c r="O12" s="113"/>
      <x:c r="P12" s="113"/>
      <x:c r="Q12" s="113"/>
      <x:c r="R12" s="113"/>
      <x:c r="S12" s="113"/>
      <x:c r="T12" s="113"/>
      <x:c r="U12" s="113"/>
      <x:c r="V12" s="113"/>
      <x:c r="W12" s="113"/>
      <x:c r="X12" s="113"/>
      <x:c r="Y12" s="113"/>
      <x:c r="Z12" s="113"/>
      <x:c r="AA12" s="113"/>
      <x:c r="AB12" s="113"/>
      <x:c r="AC12" s="113"/>
      <x:c r="AD12" s="113"/>
      <x:c r="AE12" s="113"/>
    </x:row>
    <x:row r="13">
      <x:c r="A13" s="116" t="str">
        <x:v>Pflege</x:v>
      </x:c>
      <x:c r="B13" s="116" t="str">
        <x:v>Pflegeberater GUV</x:v>
      </x:c>
      <x:c r="C13" s="116" t="str">
        <x:v>Kein abstrakter Sammelpunkt</x:v>
      </x:c>
      <x:c r="D13" s="116" t="str">
        <x:v>Pflegeberatung muss an reale Leistungserbringer/Standorte gebunden werden.</x:v>
      </x:c>
      <x:c r="E13" s="116" t="str">
        <x:v>BG-Klinik-Pflegefachberatung + qualifizierte externe Dienste verknüpfen.</x:v>
      </x:c>
      <x:c r="F13" s="116" t="str">
        <x:v>verbindlich</x:v>
      </x:c>
      <x:c r="G13" s="113"/>
      <x:c r="H13" s="113"/>
      <x:c r="I13" s="113"/>
      <x:c r="J13" s="113"/>
      <x:c r="K13" s="113"/>
      <x:c r="L13" s="113"/>
      <x:c r="M13" s="113"/>
      <x:c r="N13" s="113"/>
      <x:c r="O13" s="113"/>
      <x:c r="P13" s="113"/>
      <x:c r="Q13" s="113"/>
      <x:c r="R13" s="113"/>
      <x:c r="S13" s="113"/>
      <x:c r="T13" s="113"/>
      <x:c r="U13" s="113"/>
      <x:c r="V13" s="113"/>
      <x:c r="W13" s="113"/>
      <x:c r="X13" s="113"/>
      <x:c r="Y13" s="113"/>
      <x:c r="Z13" s="113"/>
      <x:c r="AA13" s="113"/>
      <x:c r="AB13" s="113"/>
      <x:c r="AC13" s="113"/>
      <x:c r="AD13" s="113"/>
      <x:c r="AE13" s="113"/>
    </x:row>
    <x:row r="14">
      <x:c r="A14" s="116" t="str">
        <x:v>UX</x:v>
      </x:c>
      <x:c r="B14" s="116" t="str">
        <x:v>Filter NeuroCE</x:v>
      </x:c>
      <x:c r="C14" s="116" t="str">
        <x:v>Kein Europa-/Weltzoom</x:v>
      </x:c>
      <x:c r="D14" s="116" t="str">
        <x:v>Filter darf die Kartenansicht nicht auf globale Bounds setzen.</x:v>
      </x:c>
      <x:c r="E14" s="116" t="str">
        <x:v>fitBounds nur auf sichtbare gefilterte Marker; bei 1 Treffer lokaler Zoom.</x:v>
      </x:c>
      <x:c r="F14" s="116" t="str">
        <x:v>4.4.x Fix</x:v>
      </x:c>
      <x:c r="G14" s="113"/>
      <x:c r="H14" s="113"/>
      <x:c r="I14" s="113"/>
      <x:c r="J14" s="113"/>
      <x:c r="K14" s="113"/>
      <x:c r="L14" s="113"/>
      <x:c r="M14" s="113"/>
      <x:c r="N14" s="113"/>
      <x:c r="O14" s="113"/>
      <x:c r="P14" s="113"/>
      <x:c r="Q14" s="113"/>
      <x:c r="R14" s="113"/>
      <x:c r="S14" s="113"/>
      <x:c r="T14" s="113"/>
      <x:c r="U14" s="113"/>
      <x:c r="V14" s="113"/>
      <x:c r="W14" s="113"/>
      <x:c r="X14" s="113"/>
      <x:c r="Y14" s="113"/>
      <x:c r="Z14" s="113"/>
      <x:c r="AA14" s="113"/>
      <x:c r="AB14" s="113"/>
      <x:c r="AC14" s="113"/>
      <x:c r="AD14" s="113"/>
      <x:c r="AE14" s="113"/>
    </x:row>
    <x:row r="15">
      <x:c r="A15" s="116" t="str">
        <x:v>UX</x:v>
      </x:c>
      <x:c r="B15" s="116" t="str">
        <x:v>Filter Schmerztherapie</x:v>
      </x:c>
      <x:c r="C15" s="116" t="str">
        <x:v>Kein Europa-/Weltzoom</x:v>
      </x:c>
      <x:c r="D15" s="116" t="str">
        <x:v>Gleicher Darstellungsfehler wie NeuroCE.</x:v>
      </x:c>
      <x:c r="E15" s="116" t="str">
        <x:v>fitBounds nur auf aktive Marker; bei 1 Treffer lokaler Zoom.</x:v>
      </x:c>
      <x:c r="F15" s="116" t="str">
        <x:v>4.4.x Fix</x:v>
      </x:c>
      <x:c r="G15" s="113"/>
      <x:c r="H15" s="113"/>
      <x:c r="I15" s="113"/>
      <x:c r="J15" s="113"/>
      <x:c r="K15" s="113"/>
      <x:c r="L15" s="113"/>
      <x:c r="M15" s="113"/>
      <x:c r="N15" s="113"/>
      <x:c r="O15" s="113"/>
      <x:c r="P15" s="113"/>
      <x:c r="Q15" s="113"/>
      <x:c r="R15" s="113"/>
      <x:c r="S15" s="113"/>
      <x:c r="T15" s="113"/>
      <x:c r="U15" s="113"/>
      <x:c r="V15" s="113"/>
      <x:c r="W15" s="113"/>
      <x:c r="X15" s="113"/>
      <x:c r="Y15" s="113"/>
      <x:c r="Z15" s="113"/>
      <x:c r="AA15" s="113"/>
      <x:c r="AB15" s="113"/>
      <x:c r="AC15" s="113"/>
      <x:c r="AD15" s="113"/>
      <x:c r="AE15" s="113"/>
    </x:row>
    <x:row r="16">
      <x:c r="A16" s="116" t="str">
        <x:v>Geo</x:v>
      </x:c>
      <x:c r="B16" s="116" t="str">
        <x:v>Koordinatenstandard</x:v>
      </x:c>
      <x:c r="C16" s="116" t="str">
        <x:v>Keine erfundenen/Ortsmittelpunkt-Koordinaten</x:v>
      </x:c>
      <x:c r="D16" s="116" t="str">
        <x:v>Haus-/Einrichtungspunkt muss belastbar sein.</x:v>
      </x:c>
      <x:c r="E16" s="116" t="str">
        <x:v>Wenn Lat/Lon offen: geprüfte Volladresse + Geocode-Query speichern.</x:v>
      </x:c>
      <x:c r="F16" s="116" t="str">
        <x:v>verbindlich</x:v>
      </x:c>
      <x:c r="G16" s="113"/>
      <x:c r="H16" s="113"/>
      <x:c r="I16" s="113"/>
      <x:c r="J16" s="113"/>
      <x:c r="K16" s="113"/>
      <x:c r="L16" s="113"/>
      <x:c r="M16" s="113"/>
      <x:c r="N16" s="113"/>
      <x:c r="O16" s="113"/>
      <x:c r="P16" s="113"/>
      <x:c r="Q16" s="113"/>
      <x:c r="R16" s="113"/>
      <x:c r="S16" s="113"/>
      <x:c r="T16" s="113"/>
      <x:c r="U16" s="113"/>
      <x:c r="V16" s="113"/>
      <x:c r="W16" s="113"/>
      <x:c r="X16" s="113"/>
      <x:c r="Y16" s="113"/>
      <x:c r="Z16" s="113"/>
      <x:c r="AA16" s="113"/>
      <x:c r="AB16" s="113"/>
      <x:c r="AC16" s="113"/>
      <x:c r="AD16" s="113"/>
      <x:c r="AE16" s="113"/>
    </x:row>
    <x:row r="17">
      <x:c r="A17" s="113"/>
      <x:c r="B17" s="113"/>
      <x:c r="C17" s="113"/>
      <x:c r="D17" s="113"/>
      <x:c r="E17" s="113"/>
      <x:c r="F17" s="113"/>
      <x:c r="G17" s="113"/>
      <x:c r="H17" s="113"/>
      <x:c r="I17" s="113"/>
      <x:c r="J17" s="113"/>
      <x:c r="K17" s="113"/>
      <x:c r="L17" s="113"/>
      <x:c r="M17" s="113"/>
      <x:c r="N17" s="113"/>
      <x:c r="O17" s="113"/>
      <x:c r="P17" s="113"/>
      <x:c r="Q17" s="113"/>
      <x:c r="R17" s="113"/>
      <x:c r="S17" s="113"/>
      <x:c r="T17" s="113"/>
      <x:c r="U17" s="113"/>
      <x:c r="V17" s="113"/>
      <x:c r="W17" s="113"/>
      <x:c r="X17" s="113"/>
      <x:c r="Y17" s="113"/>
      <x:c r="Z17" s="113"/>
      <x:c r="AA17" s="113"/>
      <x:c r="AB17" s="113"/>
      <x:c r="AC17" s="113"/>
      <x:c r="AD17" s="113"/>
      <x:c r="AE17" s="113"/>
    </x:row>
    <x:row r="18">
      <x:c r="A18" s="113"/>
      <x:c r="B18" s="113"/>
      <x:c r="C18" s="113"/>
      <x:c r="D18" s="113"/>
      <x:c r="E18" s="113"/>
      <x:c r="F18" s="113"/>
      <x:c r="G18" s="113"/>
      <x:c r="H18" s="113"/>
      <x:c r="I18" s="113"/>
      <x:c r="J18" s="113"/>
      <x:c r="K18" s="113"/>
      <x:c r="L18" s="113"/>
      <x:c r="M18" s="113"/>
      <x:c r="N18" s="113"/>
      <x:c r="O18" s="113"/>
      <x:c r="P18" s="113"/>
      <x:c r="Q18" s="113"/>
      <x:c r="R18" s="113"/>
      <x:c r="S18" s="113"/>
      <x:c r="T18" s="113"/>
      <x:c r="U18" s="113"/>
      <x:c r="V18" s="113"/>
      <x:c r="W18" s="113"/>
      <x:c r="X18" s="113"/>
      <x:c r="Y18" s="113"/>
      <x:c r="Z18" s="113"/>
      <x:c r="AA18" s="113"/>
      <x:c r="AB18" s="113"/>
      <x:c r="AC18" s="113"/>
      <x:c r="AD18" s="113"/>
      <x:c r="AE18" s="113"/>
    </x:row>
    <x:row r="19">
      <x:c r="A19" s="113"/>
      <x:c r="B19" s="113"/>
      <x:c r="C19" s="113"/>
      <x:c r="D19" s="113"/>
      <x:c r="E19" s="113"/>
      <x:c r="F19" s="113"/>
      <x:c r="G19" s="113"/>
      <x:c r="H19" s="113"/>
      <x:c r="I19" s="113"/>
      <x:c r="J19" s="113"/>
      <x:c r="K19" s="113"/>
      <x:c r="L19" s="113"/>
      <x:c r="M19" s="113"/>
      <x:c r="N19" s="113"/>
      <x:c r="O19" s="113"/>
      <x:c r="P19" s="113"/>
      <x:c r="Q19" s="113"/>
      <x:c r="R19" s="113"/>
      <x:c r="S19" s="113"/>
      <x:c r="T19" s="113"/>
      <x:c r="U19" s="113"/>
      <x:c r="V19" s="113"/>
      <x:c r="W19" s="113"/>
      <x:c r="X19" s="113"/>
      <x:c r="Y19" s="113"/>
      <x:c r="Z19" s="113"/>
      <x:c r="AA19" s="113"/>
      <x:c r="AB19" s="113"/>
      <x:c r="AC19" s="113"/>
      <x:c r="AD19" s="113"/>
      <x:c r="AE19" s="113"/>
    </x:row>
    <x:row r="20">
      <x:c r="A20" s="113"/>
      <x:c r="B20" s="113"/>
      <x:c r="C20" s="113"/>
      <x:c r="D20" s="113"/>
      <x:c r="E20" s="113"/>
      <x:c r="F20" s="113"/>
      <x:c r="G20" s="113"/>
      <x:c r="H20" s="113"/>
      <x:c r="I20" s="113"/>
      <x:c r="J20" s="113"/>
      <x:c r="K20" s="113"/>
      <x:c r="L20" s="113"/>
      <x:c r="M20" s="113"/>
      <x:c r="N20" s="113"/>
      <x:c r="O20" s="113"/>
      <x:c r="P20" s="113"/>
      <x:c r="Q20" s="113"/>
      <x:c r="R20" s="113"/>
      <x:c r="S20" s="113"/>
      <x:c r="T20" s="113"/>
      <x:c r="U20" s="113"/>
      <x:c r="V20" s="113"/>
      <x:c r="W20" s="113"/>
      <x:c r="X20" s="113"/>
      <x:c r="Y20" s="113"/>
      <x:c r="Z20" s="113"/>
      <x:c r="AA20" s="113"/>
      <x:c r="AB20" s="113"/>
      <x:c r="AC20" s="113"/>
      <x:c r="AD20" s="113"/>
      <x:c r="AE20" s="113"/>
    </x:row>
    <x:row r="21">
      <x:c r="A21" s="113"/>
      <x:c r="B21" s="113"/>
      <x:c r="C21" s="113"/>
      <x:c r="D21" s="113"/>
      <x:c r="E21" s="113"/>
      <x:c r="F21" s="113"/>
      <x:c r="G21" s="113"/>
      <x:c r="H21" s="113"/>
      <x:c r="I21" s="113"/>
      <x:c r="J21" s="113"/>
      <x:c r="K21" s="113"/>
      <x:c r="L21" s="113"/>
      <x:c r="M21" s="113"/>
      <x:c r="N21" s="113"/>
      <x:c r="O21" s="113"/>
      <x:c r="P21" s="113"/>
      <x:c r="Q21" s="113"/>
      <x:c r="R21" s="113"/>
      <x:c r="S21" s="113"/>
      <x:c r="T21" s="113"/>
      <x:c r="U21" s="113"/>
      <x:c r="V21" s="113"/>
      <x:c r="W21" s="113"/>
      <x:c r="X21" s="113"/>
      <x:c r="Y21" s="113"/>
      <x:c r="Z21" s="113"/>
      <x:c r="AA21" s="113"/>
      <x:c r="AB21" s="113"/>
      <x:c r="AC21" s="113"/>
      <x:c r="AD21" s="113"/>
      <x:c r="AE21" s="113"/>
    </x:row>
    <x:row r="22">
      <x:c r="A22" s="113"/>
      <x:c r="B22" s="113"/>
      <x:c r="C22" s="113"/>
      <x:c r="D22" s="113"/>
      <x:c r="E22" s="113"/>
      <x:c r="F22" s="113"/>
      <x:c r="G22" s="113"/>
      <x:c r="H22" s="113"/>
      <x:c r="I22" s="113"/>
      <x:c r="J22" s="113"/>
      <x:c r="K22" s="113"/>
      <x:c r="L22" s="113"/>
      <x:c r="M22" s="113"/>
      <x:c r="N22" s="113"/>
      <x:c r="O22" s="113"/>
      <x:c r="P22" s="113"/>
      <x:c r="Q22" s="113"/>
      <x:c r="R22" s="113"/>
      <x:c r="S22" s="113"/>
      <x:c r="T22" s="113"/>
      <x:c r="U22" s="113"/>
      <x:c r="V22" s="113"/>
      <x:c r="W22" s="113"/>
      <x:c r="X22" s="113"/>
      <x:c r="Y22" s="113"/>
      <x:c r="Z22" s="113"/>
      <x:c r="AA22" s="113"/>
      <x:c r="AB22" s="113"/>
      <x:c r="AC22" s="113"/>
      <x:c r="AD22" s="113"/>
      <x:c r="AE22" s="113"/>
    </x:row>
    <x:row r="23">
      <x:c r="A23" s="113"/>
      <x:c r="B23" s="113"/>
      <x:c r="C23" s="113"/>
      <x:c r="D23" s="113"/>
      <x:c r="E23" s="113"/>
      <x:c r="F23" s="113"/>
      <x:c r="G23" s="113"/>
      <x:c r="H23" s="113"/>
      <x:c r="I23" s="113"/>
      <x:c r="J23" s="113"/>
      <x:c r="K23" s="113"/>
      <x:c r="L23" s="113"/>
      <x:c r="M23" s="113"/>
      <x:c r="N23" s="113"/>
      <x:c r="O23" s="113"/>
      <x:c r="P23" s="113"/>
      <x:c r="Q23" s="113"/>
      <x:c r="R23" s="113"/>
      <x:c r="S23" s="113"/>
      <x:c r="T23" s="113"/>
      <x:c r="U23" s="113"/>
      <x:c r="V23" s="113"/>
      <x:c r="W23" s="113"/>
      <x:c r="X23" s="113"/>
      <x:c r="Y23" s="113"/>
      <x:c r="Z23" s="113"/>
      <x:c r="AA23" s="113"/>
      <x:c r="AB23" s="113"/>
      <x:c r="AC23" s="113"/>
      <x:c r="AD23" s="113"/>
      <x:c r="AE23" s="113"/>
    </x:row>
    <x:row r="24">
      <x:c r="A24" s="113"/>
      <x:c r="B24" s="113"/>
      <x:c r="C24" s="113"/>
      <x:c r="D24" s="113"/>
      <x:c r="E24" s="113"/>
      <x:c r="F24" s="113"/>
      <x:c r="G24" s="113"/>
      <x:c r="H24" s="113"/>
      <x:c r="I24" s="113"/>
      <x:c r="J24" s="113"/>
      <x:c r="K24" s="113"/>
      <x:c r="L24" s="113"/>
      <x:c r="M24" s="113"/>
      <x:c r="N24" s="113"/>
      <x:c r="O24" s="113"/>
      <x:c r="P24" s="113"/>
      <x:c r="Q24" s="113"/>
      <x:c r="R24" s="113"/>
      <x:c r="S24" s="113"/>
      <x:c r="T24" s="113"/>
      <x:c r="U24" s="113"/>
      <x:c r="V24" s="113"/>
      <x:c r="W24" s="113"/>
      <x:c r="X24" s="113"/>
      <x:c r="Y24" s="113"/>
      <x:c r="Z24" s="113"/>
      <x:c r="AA24" s="113"/>
      <x:c r="AB24" s="113"/>
      <x:c r="AC24" s="113"/>
      <x:c r="AD24" s="113"/>
      <x:c r="AE24" s="113"/>
    </x:row>
    <x:row r="25">
      <x:c r="A25" s="113"/>
      <x:c r="B25" s="113"/>
      <x:c r="C25" s="113"/>
      <x:c r="D25" s="113"/>
      <x:c r="E25" s="113"/>
      <x:c r="F25" s="113"/>
      <x:c r="G25" s="113"/>
      <x:c r="H25" s="113"/>
      <x:c r="I25" s="113"/>
      <x:c r="J25" s="113"/>
      <x:c r="K25" s="113"/>
      <x:c r="L25" s="113"/>
      <x:c r="M25" s="113"/>
      <x:c r="N25" s="113"/>
      <x:c r="O25" s="113"/>
      <x:c r="P25" s="113"/>
      <x:c r="Q25" s="113"/>
      <x:c r="R25" s="113"/>
      <x:c r="S25" s="113"/>
      <x:c r="T25" s="113"/>
      <x:c r="U25" s="113"/>
      <x:c r="V25" s="113"/>
      <x:c r="W25" s="113"/>
      <x:c r="X25" s="113"/>
      <x:c r="Y25" s="113"/>
      <x:c r="Z25" s="113"/>
      <x:c r="AA25" s="113"/>
      <x:c r="AB25" s="113"/>
      <x:c r="AC25" s="113"/>
      <x:c r="AD25" s="113"/>
      <x:c r="AE25" s="113"/>
    </x:row>
    <x:row r="26">
      <x:c r="A26" s="113"/>
      <x:c r="B26" s="113"/>
      <x:c r="C26" s="113"/>
      <x:c r="D26" s="113"/>
      <x:c r="E26" s="113"/>
      <x:c r="F26" s="113"/>
      <x:c r="G26" s="113"/>
      <x:c r="H26" s="113"/>
      <x:c r="I26" s="113"/>
      <x:c r="J26" s="113"/>
      <x:c r="K26" s="113"/>
      <x:c r="L26" s="113"/>
      <x:c r="M26" s="113"/>
      <x:c r="N26" s="113"/>
      <x:c r="O26" s="113"/>
      <x:c r="P26" s="113"/>
      <x:c r="Q26" s="113"/>
      <x:c r="R26" s="113"/>
      <x:c r="S26" s="113"/>
      <x:c r="T26" s="113"/>
      <x:c r="U26" s="113"/>
      <x:c r="V26" s="113"/>
      <x:c r="W26" s="113"/>
      <x:c r="X26" s="113"/>
      <x:c r="Y26" s="113"/>
      <x:c r="Z26" s="113"/>
      <x:c r="AA26" s="113"/>
      <x:c r="AB26" s="113"/>
      <x:c r="AC26" s="113"/>
      <x:c r="AD26" s="113"/>
      <x:c r="AE26" s="113"/>
    </x:row>
    <x:row r="27">
      <x:c r="A27" s="113"/>
      <x:c r="B27" s="113"/>
      <x:c r="C27" s="113"/>
      <x:c r="D27" s="113"/>
      <x:c r="E27" s="113"/>
      <x:c r="F27" s="113"/>
      <x:c r="G27" s="113"/>
      <x:c r="H27" s="113"/>
      <x:c r="I27" s="113"/>
      <x:c r="J27" s="113"/>
      <x:c r="K27" s="113"/>
      <x:c r="L27" s="113"/>
      <x:c r="M27" s="113"/>
      <x:c r="N27" s="113"/>
      <x:c r="O27" s="113"/>
      <x:c r="P27" s="113"/>
      <x:c r="Q27" s="113"/>
      <x:c r="R27" s="113"/>
      <x:c r="S27" s="113"/>
      <x:c r="T27" s="113"/>
      <x:c r="U27" s="113"/>
      <x:c r="V27" s="113"/>
      <x:c r="W27" s="113"/>
      <x:c r="X27" s="113"/>
      <x:c r="Y27" s="113"/>
      <x:c r="Z27" s="113"/>
      <x:c r="AA27" s="113"/>
      <x:c r="AB27" s="113"/>
      <x:c r="AC27" s="113"/>
      <x:c r="AD27" s="113"/>
      <x:c r="AE27" s="113"/>
    </x:row>
    <x:row r="28">
      <x:c r="A28" s="113"/>
      <x:c r="B28" s="113"/>
      <x:c r="C28" s="113"/>
      <x:c r="D28" s="113"/>
      <x:c r="E28" s="113"/>
      <x:c r="F28" s="113"/>
      <x:c r="G28" s="113"/>
      <x:c r="H28" s="113"/>
      <x:c r="I28" s="113"/>
      <x:c r="J28" s="113"/>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row>
    <x:row r="29">
      <x:c r="A29" s="113"/>
      <x:c r="B29" s="113"/>
      <x:c r="C29" s="113"/>
      <x:c r="D29" s="113"/>
      <x:c r="E29" s="113"/>
      <x:c r="F29" s="113"/>
      <x:c r="G29" s="113"/>
      <x:c r="H29" s="113"/>
      <x:c r="I29" s="113"/>
      <x:c r="J29" s="113"/>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row>
    <x:row r="30">
      <x:c r="A30" s="113"/>
      <x:c r="B30" s="113"/>
      <x:c r="C30" s="113"/>
      <x:c r="D30" s="113"/>
      <x:c r="E30" s="113"/>
      <x:c r="F30" s="113"/>
      <x:c r="G30" s="113"/>
      <x:c r="H30" s="113"/>
      <x:c r="I30" s="113"/>
      <x:c r="J30" s="113"/>
      <x:c r="K30" s="113"/>
      <x:c r="L30" s="113"/>
      <x:c r="M30" s="113"/>
      <x:c r="N30" s="113"/>
      <x:c r="O30" s="113"/>
      <x:c r="P30" s="113"/>
      <x:c r="Q30" s="113"/>
      <x:c r="R30" s="113"/>
      <x:c r="S30" s="113"/>
      <x:c r="T30" s="113"/>
      <x:c r="U30" s="113"/>
      <x:c r="V30" s="113"/>
      <x:c r="W30" s="113"/>
      <x:c r="X30" s="113"/>
      <x:c r="Y30" s="113"/>
      <x:c r="Z30" s="113"/>
      <x:c r="AA30" s="113"/>
      <x:c r="AB30" s="113"/>
      <x:c r="AC30" s="113"/>
      <x:c r="AD30" s="113"/>
      <x:c r="AE30" s="113"/>
    </x:row>
    <x:row r="31">
      <x:c r="A31" s="113"/>
      <x:c r="B31" s="113"/>
      <x:c r="C31" s="113"/>
      <x:c r="D31" s="113"/>
      <x:c r="E31" s="113"/>
      <x:c r="F31" s="113"/>
      <x:c r="G31" s="113"/>
      <x:c r="H31" s="113"/>
      <x:c r="I31" s="113"/>
      <x:c r="J31" s="113"/>
      <x:c r="K31" s="113"/>
      <x:c r="L31" s="113"/>
      <x:c r="M31" s="113"/>
      <x:c r="N31" s="113"/>
      <x:c r="O31" s="113"/>
      <x:c r="P31" s="113"/>
      <x:c r="Q31" s="113"/>
      <x:c r="R31" s="113"/>
      <x:c r="S31" s="113"/>
      <x:c r="T31" s="113"/>
      <x:c r="U31" s="113"/>
      <x:c r="V31" s="113"/>
      <x:c r="W31" s="113"/>
      <x:c r="X31" s="113"/>
      <x:c r="Y31" s="113"/>
      <x:c r="Z31" s="113"/>
      <x:c r="AA31" s="113"/>
      <x:c r="AB31" s="113"/>
      <x:c r="AC31" s="113"/>
      <x:c r="AD31" s="113"/>
      <x:c r="AE31" s="113"/>
    </x:row>
    <x:row r="32">
      <x:c r="A32" s="113"/>
      <x:c r="B32" s="113"/>
      <x:c r="C32" s="113"/>
      <x:c r="D32" s="113"/>
      <x:c r="E32" s="113"/>
      <x:c r="F32" s="113"/>
      <x:c r="G32" s="113"/>
      <x:c r="H32" s="113"/>
      <x:c r="I32" s="113"/>
      <x:c r="J32" s="113"/>
      <x:c r="K32" s="113"/>
      <x:c r="L32" s="113"/>
      <x:c r="M32" s="113"/>
      <x:c r="N32" s="113"/>
      <x:c r="O32" s="113"/>
      <x:c r="P32" s="113"/>
      <x:c r="Q32" s="113"/>
      <x:c r="R32" s="113"/>
      <x:c r="S32" s="113"/>
      <x:c r="T32" s="113"/>
      <x:c r="U32" s="113"/>
      <x:c r="V32" s="113"/>
      <x:c r="W32" s="113"/>
      <x:c r="X32" s="113"/>
      <x:c r="Y32" s="113"/>
      <x:c r="Z32" s="113"/>
      <x:c r="AA32" s="113"/>
      <x:c r="AB32" s="113"/>
      <x:c r="AC32" s="113"/>
      <x:c r="AD32" s="113"/>
      <x:c r="AE32" s="113"/>
    </x:row>
    <x:row r="33">
      <x:c r="A33" s="113"/>
      <x:c r="B33" s="113"/>
      <x:c r="C33" s="113"/>
      <x:c r="D33" s="113"/>
      <x:c r="E33" s="113"/>
      <x:c r="F33" s="113"/>
      <x:c r="G33" s="113"/>
      <x:c r="H33" s="113"/>
      <x:c r="I33" s="113"/>
      <x:c r="J33" s="113"/>
      <x:c r="K33" s="113"/>
      <x:c r="L33" s="113"/>
      <x:c r="M33" s="113"/>
      <x:c r="N33" s="113"/>
      <x:c r="O33" s="113"/>
      <x:c r="P33" s="113"/>
      <x:c r="Q33" s="113"/>
      <x:c r="R33" s="113"/>
      <x:c r="S33" s="113"/>
      <x:c r="T33" s="113"/>
      <x:c r="U33" s="113"/>
      <x:c r="V33" s="113"/>
      <x:c r="W33" s="113"/>
      <x:c r="X33" s="113"/>
      <x:c r="Y33" s="113"/>
      <x:c r="Z33" s="113"/>
      <x:c r="AA33" s="113"/>
      <x:c r="AB33" s="113"/>
      <x:c r="AC33" s="113"/>
      <x:c r="AD33" s="113"/>
      <x:c r="AE33" s="113"/>
    </x:row>
    <x:row r="34">
      <x:c r="A34" s="113"/>
      <x:c r="B34" s="113"/>
      <x:c r="C34" s="113"/>
      <x:c r="D34" s="113"/>
      <x:c r="E34" s="113"/>
      <x:c r="F34" s="113"/>
      <x:c r="G34" s="113"/>
      <x:c r="H34" s="113"/>
      <x:c r="I34" s="113"/>
      <x:c r="J34" s="113"/>
      <x:c r="K34" s="113"/>
      <x:c r="L34" s="113"/>
      <x:c r="M34" s="113"/>
      <x:c r="N34" s="113"/>
      <x:c r="O34" s="113"/>
      <x:c r="P34" s="113"/>
      <x:c r="Q34" s="113"/>
      <x:c r="R34" s="113"/>
      <x:c r="S34" s="113"/>
      <x:c r="T34" s="113"/>
      <x:c r="U34" s="113"/>
      <x:c r="V34" s="113"/>
      <x:c r="W34" s="113"/>
      <x:c r="X34" s="113"/>
      <x:c r="Y34" s="113"/>
      <x:c r="Z34" s="113"/>
      <x:c r="AA34" s="113"/>
      <x:c r="AB34" s="113"/>
      <x:c r="AC34" s="113"/>
      <x:c r="AD34" s="113"/>
      <x:c r="AE34" s="113"/>
    </x:row>
    <x:row r="35">
      <x:c r="A35" s="113"/>
      <x:c r="B35" s="113"/>
      <x:c r="C35" s="113"/>
      <x:c r="D35" s="113"/>
      <x:c r="E35" s="113"/>
      <x:c r="F35" s="113"/>
      <x:c r="G35" s="113"/>
      <x:c r="H35" s="113"/>
      <x:c r="I35" s="113"/>
      <x:c r="J35" s="113"/>
      <x:c r="K35" s="113"/>
      <x:c r="L35" s="113"/>
      <x:c r="M35" s="113"/>
      <x:c r="N35" s="113"/>
      <x:c r="O35" s="113"/>
      <x:c r="P35" s="113"/>
      <x:c r="Q35" s="113"/>
      <x:c r="R35" s="113"/>
      <x:c r="S35" s="113"/>
      <x:c r="T35" s="113"/>
      <x:c r="U35" s="113"/>
      <x:c r="V35" s="113"/>
      <x:c r="W35" s="113"/>
      <x:c r="X35" s="113"/>
      <x:c r="Y35" s="113"/>
      <x:c r="Z35" s="113"/>
      <x:c r="AA35" s="113"/>
      <x:c r="AB35" s="113"/>
      <x:c r="AC35" s="113"/>
      <x:c r="AD35" s="113"/>
      <x:c r="AE35" s="113"/>
    </x:row>
    <x:row r="36">
      <x:c r="A36" s="113"/>
      <x:c r="B36" s="113"/>
      <x:c r="C36" s="113"/>
      <x:c r="D36" s="113"/>
      <x:c r="E36" s="113"/>
      <x:c r="F36" s="113"/>
      <x:c r="G36" s="113"/>
      <x:c r="H36" s="113"/>
      <x:c r="I36" s="113"/>
      <x:c r="J36" s="113"/>
      <x:c r="K36" s="113"/>
      <x:c r="L36" s="113"/>
      <x:c r="M36" s="113"/>
      <x:c r="N36" s="113"/>
      <x:c r="O36" s="113"/>
      <x:c r="P36" s="113"/>
      <x:c r="Q36" s="113"/>
      <x:c r="R36" s="113"/>
      <x:c r="S36" s="113"/>
      <x:c r="T36" s="113"/>
      <x:c r="U36" s="113"/>
      <x:c r="V36" s="113"/>
      <x:c r="W36" s="113"/>
      <x:c r="X36" s="113"/>
      <x:c r="Y36" s="113"/>
      <x:c r="Z36" s="113"/>
      <x:c r="AA36" s="113"/>
      <x:c r="AB36" s="113"/>
      <x:c r="AC36" s="113"/>
      <x:c r="AD36" s="113"/>
      <x:c r="AE36" s="113"/>
    </x:row>
    <x:row r="37">
      <x:c r="A37" s="113"/>
      <x:c r="B37" s="113"/>
      <x:c r="C37" s="113"/>
      <x:c r="D37" s="113"/>
      <x:c r="E37" s="113"/>
      <x:c r="F37" s="113"/>
      <x:c r="G37" s="113"/>
      <x:c r="H37" s="113"/>
      <x:c r="I37" s="113"/>
      <x:c r="J37" s="113"/>
      <x:c r="K37" s="113"/>
      <x:c r="L37" s="113"/>
      <x:c r="M37" s="113"/>
      <x:c r="N37" s="113"/>
      <x:c r="O37" s="113"/>
      <x:c r="P37" s="113"/>
      <x:c r="Q37" s="113"/>
      <x:c r="R37" s="113"/>
      <x:c r="S37" s="113"/>
      <x:c r="T37" s="113"/>
      <x:c r="U37" s="113"/>
      <x:c r="V37" s="113"/>
      <x:c r="W37" s="113"/>
      <x:c r="X37" s="113"/>
      <x:c r="Y37" s="113"/>
      <x:c r="Z37" s="113"/>
      <x:c r="AA37" s="113"/>
      <x:c r="AB37" s="113"/>
      <x:c r="AC37" s="113"/>
      <x:c r="AD37" s="113"/>
      <x:c r="AE37" s="113"/>
    </x:row>
    <x:row r="38">
      <x:c r="A38" s="113"/>
      <x:c r="B38" s="113"/>
      <x:c r="C38" s="113"/>
      <x:c r="D38" s="113"/>
      <x:c r="E38" s="113"/>
      <x:c r="F38" s="113"/>
      <x:c r="G38" s="113"/>
      <x:c r="H38" s="113"/>
      <x:c r="I38" s="113"/>
      <x:c r="J38" s="113"/>
      <x:c r="K38" s="113"/>
      <x:c r="L38" s="113"/>
      <x:c r="M38" s="113"/>
      <x:c r="N38" s="113"/>
      <x:c r="O38" s="113"/>
      <x:c r="P38" s="113"/>
      <x:c r="Q38" s="113"/>
      <x:c r="R38" s="113"/>
      <x:c r="S38" s="113"/>
      <x:c r="T38" s="113"/>
      <x:c r="U38" s="113"/>
      <x:c r="V38" s="113"/>
      <x:c r="W38" s="113"/>
      <x:c r="X38" s="113"/>
      <x:c r="Y38" s="113"/>
      <x:c r="Z38" s="113"/>
      <x:c r="AA38" s="113"/>
      <x:c r="AB38" s="113"/>
      <x:c r="AC38" s="113"/>
      <x:c r="AD38" s="113"/>
      <x:c r="AE38" s="113"/>
    </x:row>
    <x:row r="39">
      <x:c r="A39" s="113"/>
      <x:c r="B39" s="113"/>
      <x:c r="C39" s="113"/>
      <x:c r="D39" s="113"/>
      <x:c r="E39" s="113"/>
      <x:c r="F39" s="113"/>
      <x:c r="G39" s="113"/>
      <x:c r="H39" s="113"/>
      <x:c r="I39" s="113"/>
      <x:c r="J39" s="113"/>
      <x:c r="K39" s="113"/>
      <x:c r="L39" s="113"/>
      <x:c r="M39" s="113"/>
      <x:c r="N39" s="113"/>
      <x:c r="O39" s="113"/>
      <x:c r="P39" s="113"/>
      <x:c r="Q39" s="113"/>
      <x:c r="R39" s="113"/>
      <x:c r="S39" s="113"/>
      <x:c r="T39" s="113"/>
      <x:c r="U39" s="113"/>
      <x:c r="V39" s="113"/>
      <x:c r="W39" s="113"/>
      <x:c r="X39" s="113"/>
      <x:c r="Y39" s="113"/>
      <x:c r="Z39" s="113"/>
      <x:c r="AA39" s="113"/>
      <x:c r="AB39" s="113"/>
      <x:c r="AC39" s="113"/>
      <x:c r="AD39" s="113"/>
      <x:c r="AE39" s="113"/>
    </x:row>
    <x:row r="40">
      <x:c r="A40" s="113"/>
      <x:c r="B40" s="113"/>
      <x:c r="C40" s="113"/>
      <x:c r="D40" s="113"/>
      <x:c r="E40" s="113"/>
      <x:c r="F40" s="113"/>
      <x:c r="G40" s="113"/>
      <x:c r="H40" s="113"/>
      <x:c r="I40" s="113"/>
      <x:c r="J40" s="113"/>
      <x:c r="K40" s="113"/>
      <x:c r="L40" s="113"/>
      <x:c r="M40" s="113"/>
      <x:c r="N40" s="113"/>
      <x:c r="O40" s="113"/>
      <x:c r="P40" s="113"/>
      <x:c r="Q40" s="113"/>
      <x:c r="R40" s="113"/>
      <x:c r="S40" s="113"/>
      <x:c r="T40" s="113"/>
      <x:c r="U40" s="113"/>
      <x:c r="V40" s="113"/>
      <x:c r="W40" s="113"/>
      <x:c r="X40" s="113"/>
      <x:c r="Y40" s="113"/>
      <x:c r="Z40" s="113"/>
      <x:c r="AA40" s="113"/>
      <x:c r="AB40" s="113"/>
      <x:c r="AC40" s="113"/>
      <x:c r="AD40" s="113"/>
      <x:c r="AE40" s="113"/>
    </x:row>
    <x:row r="41">
      <x:c r="A41" s="113"/>
      <x:c r="B41" s="113"/>
      <x:c r="C41" s="113"/>
      <x:c r="D41" s="113"/>
      <x:c r="E41" s="113"/>
      <x:c r="F41" s="113"/>
      <x:c r="G41" s="113"/>
      <x:c r="H41" s="113"/>
      <x:c r="I41" s="113"/>
      <x:c r="J41" s="113"/>
      <x:c r="K41" s="113"/>
      <x:c r="L41" s="113"/>
      <x:c r="M41" s="113"/>
      <x:c r="N41" s="113"/>
      <x:c r="O41" s="113"/>
      <x:c r="P41" s="113"/>
      <x:c r="Q41" s="113"/>
      <x:c r="R41" s="113"/>
      <x:c r="S41" s="113"/>
      <x:c r="T41" s="113"/>
      <x:c r="U41" s="113"/>
      <x:c r="V41" s="113"/>
      <x:c r="W41" s="113"/>
      <x:c r="X41" s="113"/>
      <x:c r="Y41" s="113"/>
      <x:c r="Z41" s="113"/>
      <x:c r="AA41" s="113"/>
      <x:c r="AB41" s="113"/>
      <x:c r="AC41" s="113"/>
      <x:c r="AD41" s="113"/>
      <x:c r="AE41" s="113"/>
    </x:row>
    <x:row r="42">
      <x:c r="A42" s="113"/>
      <x:c r="B42" s="113"/>
      <x:c r="C42" s="113"/>
      <x:c r="D42" s="113"/>
      <x:c r="E42" s="113"/>
      <x:c r="F42" s="113"/>
      <x:c r="G42" s="113"/>
      <x:c r="H42" s="113"/>
      <x:c r="I42" s="113"/>
      <x:c r="J42" s="113"/>
      <x:c r="K42" s="113"/>
      <x:c r="L42" s="113"/>
      <x:c r="M42" s="113"/>
      <x:c r="N42" s="113"/>
      <x:c r="O42" s="113"/>
      <x:c r="P42" s="113"/>
      <x:c r="Q42" s="113"/>
      <x:c r="R42" s="113"/>
      <x:c r="S42" s="113"/>
      <x:c r="T42" s="113"/>
      <x:c r="U42" s="113"/>
      <x:c r="V42" s="113"/>
      <x:c r="W42" s="113"/>
      <x:c r="X42" s="113"/>
      <x:c r="Y42" s="113"/>
      <x:c r="Z42" s="113"/>
      <x:c r="AA42" s="113"/>
      <x:c r="AB42" s="113"/>
      <x:c r="AC42" s="113"/>
      <x:c r="AD42" s="113"/>
      <x:c r="AE42" s="113"/>
    </x:row>
    <x:row r="43">
      <x:c r="A43" s="113"/>
      <x:c r="B43" s="113"/>
      <x:c r="C43" s="113"/>
      <x:c r="D43" s="113"/>
      <x:c r="E43" s="113"/>
      <x:c r="F43" s="113"/>
      <x:c r="G43" s="113"/>
      <x:c r="H43" s="113"/>
      <x:c r="I43" s="113"/>
      <x:c r="J43" s="113"/>
      <x:c r="K43" s="113"/>
      <x:c r="L43" s="113"/>
      <x:c r="M43" s="113"/>
      <x:c r="N43" s="113"/>
      <x:c r="O43" s="113"/>
      <x:c r="P43" s="113"/>
      <x:c r="Q43" s="113"/>
      <x:c r="R43" s="113"/>
      <x:c r="S43" s="113"/>
      <x:c r="T43" s="113"/>
      <x:c r="U43" s="113"/>
      <x:c r="V43" s="113"/>
      <x:c r="W43" s="113"/>
      <x:c r="X43" s="113"/>
      <x:c r="Y43" s="113"/>
      <x:c r="Z43" s="113"/>
      <x:c r="AA43" s="113"/>
      <x:c r="AB43" s="113"/>
      <x:c r="AC43" s="113"/>
      <x:c r="AD43" s="113"/>
      <x:c r="AE43" s="113"/>
    </x:row>
    <x:row r="44">
      <x:c r="A44" s="113"/>
      <x:c r="B44" s="113"/>
      <x:c r="C44" s="113"/>
      <x:c r="D44" s="113"/>
      <x:c r="E44" s="113"/>
      <x:c r="F44" s="113"/>
      <x:c r="G44" s="113"/>
      <x:c r="H44" s="113"/>
      <x:c r="I44" s="113"/>
      <x:c r="J44" s="113"/>
      <x:c r="K44" s="113"/>
      <x:c r="L44" s="113"/>
      <x:c r="M44" s="113"/>
      <x:c r="N44" s="113"/>
      <x:c r="O44" s="113"/>
      <x:c r="P44" s="113"/>
      <x:c r="Q44" s="113"/>
      <x:c r="R44" s="113"/>
      <x:c r="S44" s="113"/>
      <x:c r="T44" s="113"/>
      <x:c r="U44" s="113"/>
      <x:c r="V44" s="113"/>
      <x:c r="W44" s="113"/>
      <x:c r="X44" s="113"/>
      <x:c r="Y44" s="113"/>
      <x:c r="Z44" s="113"/>
      <x:c r="AA44" s="113"/>
      <x:c r="AB44" s="113"/>
      <x:c r="AC44" s="113"/>
      <x:c r="AD44" s="113"/>
      <x:c r="AE44" s="113"/>
    </x:row>
    <x:row r="45">
      <x:c r="A45" s="113"/>
      <x:c r="B45" s="113"/>
      <x:c r="C45" s="113"/>
      <x:c r="D45" s="113"/>
      <x:c r="E45" s="113"/>
      <x:c r="F45" s="113"/>
      <x:c r="G45" s="113"/>
      <x:c r="H45" s="113"/>
      <x:c r="I45" s="113"/>
      <x:c r="J45" s="113"/>
      <x:c r="K45" s="113"/>
      <x:c r="L45" s="113"/>
      <x:c r="M45" s="113"/>
      <x:c r="N45" s="113"/>
      <x:c r="O45" s="113"/>
      <x:c r="P45" s="113"/>
      <x:c r="Q45" s="113"/>
      <x:c r="R45" s="113"/>
      <x:c r="S45" s="113"/>
      <x:c r="T45" s="113"/>
      <x:c r="U45" s="113"/>
      <x:c r="V45" s="113"/>
      <x:c r="W45" s="113"/>
      <x:c r="X45" s="113"/>
      <x:c r="Y45" s="113"/>
      <x:c r="Z45" s="113"/>
      <x:c r="AA45" s="113"/>
      <x:c r="AB45" s="113"/>
      <x:c r="AC45" s="113"/>
      <x:c r="AD45" s="113"/>
      <x:c r="AE45" s="113"/>
    </x:row>
    <x:row r="46">
      <x:c r="A46" s="113"/>
      <x:c r="B46" s="113"/>
      <x:c r="C46" s="113"/>
      <x:c r="D46" s="113"/>
      <x:c r="E46" s="113"/>
      <x:c r="F46" s="113"/>
      <x:c r="G46" s="113"/>
      <x:c r="H46" s="113"/>
      <x:c r="I46" s="113"/>
      <x:c r="J46" s="113"/>
      <x:c r="K46" s="113"/>
      <x:c r="L46" s="113"/>
      <x:c r="M46" s="113"/>
      <x:c r="N46" s="113"/>
      <x:c r="O46" s="113"/>
      <x:c r="P46" s="113"/>
      <x:c r="Q46" s="113"/>
      <x:c r="R46" s="113"/>
      <x:c r="S46" s="113"/>
      <x:c r="T46" s="113"/>
      <x:c r="U46" s="113"/>
      <x:c r="V46" s="113"/>
      <x:c r="W46" s="113"/>
      <x:c r="X46" s="113"/>
      <x:c r="Y46" s="113"/>
      <x:c r="Z46" s="113"/>
      <x:c r="AA46" s="113"/>
      <x:c r="AB46" s="113"/>
      <x:c r="AC46" s="113"/>
      <x:c r="AD46" s="113"/>
      <x:c r="AE46" s="113"/>
    </x:row>
    <x:row r="47">
      <x:c r="A47" s="113"/>
      <x:c r="B47" s="113"/>
      <x:c r="C47" s="113"/>
      <x:c r="D47" s="113"/>
      <x:c r="E47" s="113"/>
      <x:c r="F47" s="113"/>
      <x:c r="G47" s="113"/>
      <x:c r="H47" s="113"/>
      <x:c r="I47" s="113"/>
      <x:c r="J47" s="113"/>
      <x:c r="K47" s="113"/>
      <x:c r="L47" s="113"/>
      <x:c r="M47" s="113"/>
      <x:c r="N47" s="113"/>
      <x:c r="O47" s="113"/>
      <x:c r="P47" s="113"/>
      <x:c r="Q47" s="113"/>
      <x:c r="R47" s="113"/>
      <x:c r="S47" s="113"/>
      <x:c r="T47" s="113"/>
      <x:c r="U47" s="113"/>
      <x:c r="V47" s="113"/>
      <x:c r="W47" s="113"/>
      <x:c r="X47" s="113"/>
      <x:c r="Y47" s="113"/>
      <x:c r="Z47" s="113"/>
      <x:c r="AA47" s="113"/>
      <x:c r="AB47" s="113"/>
      <x:c r="AC47" s="113"/>
      <x:c r="AD47" s="113"/>
      <x:c r="AE47" s="113"/>
    </x:row>
    <x:row r="48">
      <x:c r="A48" s="113"/>
      <x:c r="B48" s="113"/>
      <x:c r="C48" s="113"/>
      <x:c r="D48" s="113"/>
      <x:c r="E48" s="113"/>
      <x:c r="F48" s="113"/>
      <x:c r="G48" s="113"/>
      <x:c r="H48" s="113"/>
      <x:c r="I48" s="113"/>
      <x:c r="J48" s="113"/>
      <x:c r="K48" s="113"/>
      <x:c r="L48" s="113"/>
      <x:c r="M48" s="113"/>
      <x:c r="N48" s="113"/>
      <x:c r="O48" s="113"/>
      <x:c r="P48" s="113"/>
      <x:c r="Q48" s="113"/>
      <x:c r="R48" s="113"/>
      <x:c r="S48" s="113"/>
      <x:c r="T48" s="113"/>
      <x:c r="U48" s="113"/>
      <x:c r="V48" s="113"/>
      <x:c r="W48" s="113"/>
      <x:c r="X48" s="113"/>
      <x:c r="Y48" s="113"/>
      <x:c r="Z48" s="113"/>
      <x:c r="AA48" s="113"/>
      <x:c r="AB48" s="113"/>
      <x:c r="AC48" s="113"/>
      <x:c r="AD48" s="113"/>
      <x:c r="AE48" s="113"/>
    </x:row>
    <x:row r="49">
      <x:c r="A49" s="113"/>
      <x:c r="B49" s="113"/>
      <x:c r="C49" s="113"/>
      <x:c r="D49" s="113"/>
      <x:c r="E49" s="113"/>
      <x:c r="F49" s="113"/>
      <x:c r="G49" s="113"/>
      <x:c r="H49" s="113"/>
      <x:c r="I49" s="113"/>
      <x:c r="J49" s="113"/>
      <x:c r="K49" s="113"/>
      <x:c r="L49" s="113"/>
      <x:c r="M49" s="113"/>
      <x:c r="N49" s="113"/>
      <x:c r="O49" s="113"/>
      <x:c r="P49" s="113"/>
      <x:c r="Q49" s="113"/>
      <x:c r="R49" s="113"/>
      <x:c r="S49" s="113"/>
      <x:c r="T49" s="113"/>
      <x:c r="U49" s="113"/>
      <x:c r="V49" s="113"/>
      <x:c r="W49" s="113"/>
      <x:c r="X49" s="113"/>
      <x:c r="Y49" s="113"/>
      <x:c r="Z49" s="113"/>
      <x:c r="AA49" s="113"/>
      <x:c r="AB49" s="113"/>
      <x:c r="AC49" s="113"/>
      <x:c r="AD49" s="113"/>
      <x:c r="AE49" s="113"/>
    </x:row>
    <x:row r="50">
      <x:c r="A50" s="113"/>
      <x:c r="B50" s="113"/>
      <x:c r="C50" s="113"/>
      <x:c r="D50" s="113"/>
      <x:c r="E50" s="113"/>
      <x:c r="F50" s="113"/>
      <x:c r="G50" s="113"/>
      <x:c r="H50" s="113"/>
      <x:c r="I50" s="113"/>
      <x:c r="J50" s="113"/>
      <x:c r="K50" s="113"/>
      <x:c r="L50" s="113"/>
      <x:c r="M50" s="113"/>
      <x:c r="N50" s="113"/>
      <x:c r="O50" s="113"/>
      <x:c r="P50" s="113"/>
      <x:c r="Q50" s="113"/>
      <x:c r="R50" s="113"/>
      <x:c r="S50" s="113"/>
      <x:c r="T50" s="113"/>
      <x:c r="U50" s="113"/>
      <x:c r="V50" s="113"/>
      <x:c r="W50" s="113"/>
      <x:c r="X50" s="113"/>
      <x:c r="Y50" s="113"/>
      <x:c r="Z50" s="113"/>
      <x:c r="AA50" s="113"/>
      <x:c r="AB50" s="113"/>
      <x:c r="AC50" s="113"/>
      <x:c r="AD50" s="113"/>
      <x:c r="AE50" s="113"/>
    </x:row>
    <x:row r="51">
      <x:c r="A51" s="113"/>
      <x:c r="B51" s="113"/>
      <x:c r="C51" s="113"/>
      <x:c r="D51" s="113"/>
      <x:c r="E51" s="113"/>
      <x:c r="F51" s="113"/>
      <x:c r="G51" s="113"/>
      <x:c r="H51" s="113"/>
      <x:c r="I51" s="113"/>
      <x:c r="J51" s="113"/>
      <x:c r="K51" s="113"/>
      <x:c r="L51" s="113"/>
      <x:c r="M51" s="113"/>
      <x:c r="N51" s="113"/>
      <x:c r="O51" s="113"/>
      <x:c r="P51" s="113"/>
      <x:c r="Q51" s="113"/>
      <x:c r="R51" s="113"/>
      <x:c r="S51" s="113"/>
      <x:c r="T51" s="113"/>
      <x:c r="U51" s="113"/>
      <x:c r="V51" s="113"/>
      <x:c r="W51" s="113"/>
      <x:c r="X51" s="113"/>
      <x:c r="Y51" s="113"/>
      <x:c r="Z51" s="113"/>
      <x:c r="AA51" s="113"/>
      <x:c r="AB51" s="113"/>
      <x:c r="AC51" s="113"/>
      <x:c r="AD51" s="113"/>
      <x:c r="AE51" s="113"/>
    </x:row>
    <x:row r="52">
      <x:c r="A52" s="113"/>
      <x:c r="B52" s="113"/>
      <x:c r="C52" s="113"/>
      <x:c r="D52" s="113"/>
      <x:c r="E52" s="113"/>
      <x:c r="F52" s="113"/>
      <x:c r="G52" s="113"/>
      <x:c r="H52" s="113"/>
      <x:c r="I52" s="113"/>
      <x:c r="J52" s="113"/>
      <x:c r="K52" s="113"/>
      <x:c r="L52" s="113"/>
      <x:c r="M52" s="113"/>
      <x:c r="N52" s="113"/>
      <x:c r="O52" s="113"/>
      <x:c r="P52" s="113"/>
      <x:c r="Q52" s="113"/>
      <x:c r="R52" s="113"/>
      <x:c r="S52" s="113"/>
      <x:c r="T52" s="113"/>
      <x:c r="U52" s="113"/>
      <x:c r="V52" s="113"/>
      <x:c r="W52" s="113"/>
      <x:c r="X52" s="113"/>
      <x:c r="Y52" s="113"/>
      <x:c r="Z52" s="113"/>
      <x:c r="AA52" s="113"/>
      <x:c r="AB52" s="113"/>
      <x:c r="AC52" s="113"/>
      <x:c r="AD52" s="113"/>
      <x:c r="AE52" s="113"/>
    </x:row>
    <x:row r="53">
      <x:c r="A53" s="113"/>
      <x:c r="B53" s="113"/>
      <x:c r="C53" s="113"/>
      <x:c r="D53" s="113"/>
      <x:c r="E53" s="113"/>
      <x:c r="F53" s="113"/>
      <x:c r="G53" s="113"/>
      <x:c r="H53" s="113"/>
      <x:c r="I53" s="113"/>
      <x:c r="J53" s="113"/>
      <x:c r="K53" s="113"/>
      <x:c r="L53" s="113"/>
      <x:c r="M53" s="113"/>
      <x:c r="N53" s="113"/>
      <x:c r="O53" s="113"/>
      <x:c r="P53" s="113"/>
      <x:c r="Q53" s="113"/>
      <x:c r="R53" s="113"/>
      <x:c r="S53" s="113"/>
      <x:c r="T53" s="113"/>
      <x:c r="U53" s="113"/>
      <x:c r="V53" s="113"/>
      <x:c r="W53" s="113"/>
      <x:c r="X53" s="113"/>
      <x:c r="Y53" s="113"/>
      <x:c r="Z53" s="113"/>
      <x:c r="AA53" s="113"/>
      <x:c r="AB53" s="113"/>
      <x:c r="AC53" s="113"/>
      <x:c r="AD53" s="113"/>
      <x:c r="AE53" s="113"/>
    </x:row>
    <x:row r="54">
      <x:c r="A54" s="113"/>
      <x:c r="B54" s="113"/>
      <x:c r="C54" s="113"/>
      <x:c r="D54" s="113"/>
      <x:c r="E54" s="113"/>
      <x:c r="F54" s="113"/>
      <x:c r="G54" s="113"/>
      <x:c r="H54" s="113"/>
      <x:c r="I54" s="113"/>
      <x:c r="J54" s="113"/>
      <x:c r="K54" s="113"/>
      <x:c r="L54" s="113"/>
      <x:c r="M54" s="113"/>
      <x:c r="N54" s="113"/>
      <x:c r="O54" s="113"/>
      <x:c r="P54" s="113"/>
      <x:c r="Q54" s="113"/>
      <x:c r="R54" s="113"/>
      <x:c r="S54" s="113"/>
      <x:c r="T54" s="113"/>
      <x:c r="U54" s="113"/>
      <x:c r="V54" s="113"/>
      <x:c r="W54" s="113"/>
      <x:c r="X54" s="113"/>
      <x:c r="Y54" s="113"/>
      <x:c r="Z54" s="113"/>
      <x:c r="AA54" s="113"/>
      <x:c r="AB54" s="113"/>
      <x:c r="AC54" s="113"/>
      <x:c r="AD54" s="113"/>
      <x:c r="AE54" s="113"/>
    </x:row>
    <x:row r="55">
      <x:c r="A55" s="113"/>
      <x:c r="B55" s="113"/>
      <x:c r="C55" s="113"/>
      <x:c r="D55" s="113"/>
      <x:c r="E55" s="113"/>
      <x:c r="F55" s="113"/>
      <x:c r="G55" s="113"/>
      <x:c r="H55" s="113"/>
      <x:c r="I55" s="113"/>
      <x:c r="J55" s="113"/>
      <x:c r="K55" s="113"/>
      <x:c r="L55" s="113"/>
      <x:c r="M55" s="113"/>
      <x:c r="N55" s="113"/>
      <x:c r="O55" s="113"/>
      <x:c r="P55" s="113"/>
      <x:c r="Q55" s="113"/>
      <x:c r="R55" s="113"/>
      <x:c r="S55" s="113"/>
      <x:c r="T55" s="113"/>
      <x:c r="U55" s="113"/>
      <x:c r="V55" s="113"/>
      <x:c r="W55" s="113"/>
      <x:c r="X55" s="113"/>
      <x:c r="Y55" s="113"/>
      <x:c r="Z55" s="113"/>
      <x:c r="AA55" s="113"/>
      <x:c r="AB55" s="113"/>
      <x:c r="AC55" s="113"/>
      <x:c r="AD55" s="113"/>
      <x:c r="AE55" s="113"/>
    </x:row>
    <x:row r="56">
      <x:c r="A56" s="113"/>
      <x:c r="B56" s="113"/>
      <x:c r="C56" s="113"/>
      <x:c r="D56" s="113"/>
      <x:c r="E56" s="113"/>
      <x:c r="F56" s="113"/>
      <x:c r="G56" s="113"/>
      <x:c r="H56" s="113"/>
      <x:c r="I56" s="113"/>
      <x:c r="J56" s="113"/>
      <x:c r="K56" s="113"/>
      <x:c r="L56" s="113"/>
      <x:c r="M56" s="113"/>
      <x:c r="N56" s="113"/>
      <x:c r="O56" s="113"/>
      <x:c r="P56" s="113"/>
      <x:c r="Q56" s="113"/>
      <x:c r="R56" s="113"/>
      <x:c r="S56" s="113"/>
      <x:c r="T56" s="113"/>
      <x:c r="U56" s="113"/>
      <x:c r="V56" s="113"/>
      <x:c r="W56" s="113"/>
      <x:c r="X56" s="113"/>
      <x:c r="Y56" s="113"/>
      <x:c r="Z56" s="113"/>
      <x:c r="AA56" s="113"/>
      <x:c r="AB56" s="113"/>
      <x:c r="AC56" s="113"/>
      <x:c r="AD56" s="113"/>
      <x:c r="AE56" s="113"/>
    </x:row>
    <x:row r="57">
      <x:c r="A57" s="113"/>
      <x:c r="B57" s="113"/>
      <x:c r="C57" s="113"/>
      <x:c r="D57" s="113"/>
      <x:c r="E57" s="113"/>
      <x:c r="F57" s="113"/>
      <x:c r="G57" s="113"/>
      <x:c r="H57" s="113"/>
      <x:c r="I57" s="113"/>
      <x:c r="J57" s="113"/>
      <x:c r="K57" s="113"/>
      <x:c r="L57" s="113"/>
      <x:c r="M57" s="113"/>
      <x:c r="N57" s="113"/>
      <x:c r="O57" s="113"/>
      <x:c r="P57" s="113"/>
      <x:c r="Q57" s="113"/>
      <x:c r="R57" s="113"/>
      <x:c r="S57" s="113"/>
      <x:c r="T57" s="113"/>
      <x:c r="U57" s="113"/>
      <x:c r="V57" s="113"/>
      <x:c r="W57" s="113"/>
      <x:c r="X57" s="113"/>
      <x:c r="Y57" s="113"/>
      <x:c r="Z57" s="113"/>
      <x:c r="AA57" s="113"/>
      <x:c r="AB57" s="113"/>
      <x:c r="AC57" s="113"/>
      <x:c r="AD57" s="113"/>
      <x:c r="AE57" s="113"/>
    </x:row>
    <x:row r="58">
      <x:c r="A58" s="113"/>
      <x:c r="B58" s="113"/>
      <x:c r="C58" s="113"/>
      <x:c r="D58" s="113"/>
      <x:c r="E58" s="113"/>
      <x:c r="F58" s="113"/>
      <x:c r="G58" s="113"/>
      <x:c r="H58" s="113"/>
      <x:c r="I58" s="113"/>
      <x:c r="J58" s="113"/>
      <x:c r="K58" s="113"/>
      <x:c r="L58" s="113"/>
      <x:c r="M58" s="113"/>
      <x:c r="N58" s="113"/>
      <x:c r="O58" s="113"/>
      <x:c r="P58" s="113"/>
      <x:c r="Q58" s="113"/>
      <x:c r="R58" s="113"/>
      <x:c r="S58" s="113"/>
      <x:c r="T58" s="113"/>
      <x:c r="U58" s="113"/>
      <x:c r="V58" s="113"/>
      <x:c r="W58" s="113"/>
      <x:c r="X58" s="113"/>
      <x:c r="Y58" s="113"/>
      <x:c r="Z58" s="113"/>
      <x:c r="AA58" s="113"/>
      <x:c r="AB58" s="113"/>
      <x:c r="AC58" s="113"/>
      <x:c r="AD58" s="113"/>
      <x:c r="AE58" s="113"/>
    </x:row>
    <x:row r="59">
      <x:c r="A59" s="113"/>
      <x:c r="B59" s="113"/>
      <x:c r="C59" s="113"/>
      <x:c r="D59" s="113"/>
      <x:c r="E59" s="113"/>
      <x:c r="F59" s="113"/>
      <x:c r="G59" s="113"/>
      <x:c r="H59" s="113"/>
      <x:c r="I59" s="113"/>
      <x:c r="J59" s="113"/>
      <x:c r="K59" s="113"/>
      <x:c r="L59" s="113"/>
      <x:c r="M59" s="113"/>
      <x:c r="N59" s="113"/>
      <x:c r="O59" s="113"/>
      <x:c r="P59" s="113"/>
      <x:c r="Q59" s="113"/>
      <x:c r="R59" s="113"/>
      <x:c r="S59" s="113"/>
      <x:c r="T59" s="113"/>
      <x:c r="U59" s="113"/>
      <x:c r="V59" s="113"/>
      <x:c r="W59" s="113"/>
      <x:c r="X59" s="113"/>
      <x:c r="Y59" s="113"/>
      <x:c r="Z59" s="113"/>
      <x:c r="AA59" s="113"/>
      <x:c r="AB59" s="113"/>
      <x:c r="AC59" s="113"/>
      <x:c r="AD59" s="113"/>
      <x:c r="AE59" s="113"/>
    </x:row>
    <x:row r="60">
      <x:c r="A60" s="113"/>
      <x:c r="B60" s="113"/>
      <x:c r="C60" s="113"/>
      <x:c r="D60" s="113"/>
      <x:c r="E60" s="113"/>
      <x:c r="F60" s="113"/>
      <x:c r="G60" s="113"/>
      <x:c r="H60" s="113"/>
      <x:c r="I60" s="113"/>
      <x:c r="J60" s="113"/>
      <x:c r="K60" s="113"/>
      <x:c r="L60" s="113"/>
      <x:c r="M60" s="113"/>
      <x:c r="N60" s="113"/>
      <x:c r="O60" s="113"/>
      <x:c r="P60" s="113"/>
      <x:c r="Q60" s="113"/>
      <x:c r="R60" s="113"/>
      <x:c r="S60" s="113"/>
      <x:c r="T60" s="113"/>
      <x:c r="U60" s="113"/>
      <x:c r="V60" s="113"/>
      <x:c r="W60" s="113"/>
      <x:c r="X60" s="113"/>
      <x:c r="Y60" s="113"/>
      <x:c r="Z60" s="113"/>
      <x:c r="AA60" s="113"/>
      <x:c r="AB60" s="113"/>
      <x:c r="AC60" s="113"/>
      <x:c r="AD60" s="113"/>
      <x:c r="AE60" s="113"/>
    </x:row>
    <x:row r="61">
      <x:c r="A61" s="113"/>
      <x:c r="B61" s="113"/>
      <x:c r="C61" s="113"/>
      <x:c r="D61" s="113"/>
      <x:c r="E61" s="113"/>
      <x:c r="F61" s="113"/>
      <x:c r="G61" s="113"/>
      <x:c r="H61" s="113"/>
      <x:c r="I61" s="113"/>
      <x:c r="J61" s="113"/>
      <x:c r="K61" s="113"/>
      <x:c r="L61" s="113"/>
      <x:c r="M61" s="113"/>
      <x:c r="N61" s="113"/>
      <x:c r="O61" s="113"/>
      <x:c r="P61" s="113"/>
      <x:c r="Q61" s="113"/>
      <x:c r="R61" s="113"/>
      <x:c r="S61" s="113"/>
      <x:c r="T61" s="113"/>
      <x:c r="U61" s="113"/>
      <x:c r="V61" s="113"/>
      <x:c r="W61" s="113"/>
      <x:c r="X61" s="113"/>
      <x:c r="Y61" s="113"/>
      <x:c r="Z61" s="113"/>
      <x:c r="AA61" s="113"/>
      <x:c r="AB61" s="113"/>
      <x:c r="AC61" s="113"/>
      <x:c r="AD61" s="113"/>
      <x:c r="AE61" s="113"/>
    </x:row>
    <x:row r="62">
      <x:c r="A62" s="113"/>
      <x:c r="B62" s="113"/>
      <x:c r="C62" s="113"/>
      <x:c r="D62" s="113"/>
      <x:c r="E62" s="113"/>
      <x:c r="F62" s="113"/>
      <x:c r="G62" s="113"/>
      <x:c r="H62" s="113"/>
      <x:c r="I62" s="113"/>
      <x:c r="J62" s="113"/>
      <x:c r="K62" s="113"/>
      <x:c r="L62" s="113"/>
      <x:c r="M62" s="113"/>
      <x:c r="N62" s="113"/>
      <x:c r="O62" s="113"/>
      <x:c r="P62" s="113"/>
      <x:c r="Q62" s="113"/>
      <x:c r="R62" s="113"/>
      <x:c r="S62" s="113"/>
      <x:c r="T62" s="113"/>
      <x:c r="U62" s="113"/>
      <x:c r="V62" s="113"/>
      <x:c r="W62" s="113"/>
      <x:c r="X62" s="113"/>
      <x:c r="Y62" s="113"/>
      <x:c r="Z62" s="113"/>
      <x:c r="AA62" s="113"/>
      <x:c r="AB62" s="113"/>
      <x:c r="AC62" s="113"/>
      <x:c r="AD62" s="113"/>
      <x:c r="AE62" s="113"/>
    </x:row>
    <x:row r="63">
      <x:c r="A63" s="113"/>
      <x:c r="B63" s="113"/>
      <x:c r="C63" s="113"/>
      <x:c r="D63" s="113"/>
      <x:c r="E63" s="113"/>
      <x:c r="F63" s="113"/>
      <x:c r="G63" s="113"/>
      <x:c r="H63" s="113"/>
      <x:c r="I63" s="113"/>
      <x:c r="J63" s="113"/>
      <x:c r="K63" s="113"/>
      <x:c r="L63" s="113"/>
      <x:c r="M63" s="113"/>
      <x:c r="N63" s="113"/>
      <x:c r="O63" s="113"/>
      <x:c r="P63" s="113"/>
      <x:c r="Q63" s="113"/>
      <x:c r="R63" s="113"/>
      <x:c r="S63" s="113"/>
      <x:c r="T63" s="113"/>
      <x:c r="U63" s="113"/>
      <x:c r="V63" s="113"/>
      <x:c r="W63" s="113"/>
      <x:c r="X63" s="113"/>
      <x:c r="Y63" s="113"/>
      <x:c r="Z63" s="113"/>
      <x:c r="AA63" s="113"/>
      <x:c r="AB63" s="113"/>
      <x:c r="AC63" s="113"/>
      <x:c r="AD63" s="113"/>
      <x:c r="AE63" s="113"/>
    </x:row>
    <x:row r="64">
      <x:c r="A64" s="113"/>
      <x:c r="B64" s="113"/>
      <x:c r="C64" s="113"/>
      <x:c r="D64" s="113"/>
      <x:c r="E64" s="113"/>
      <x:c r="F64" s="113"/>
      <x:c r="G64" s="113"/>
      <x:c r="H64" s="113"/>
      <x:c r="I64" s="113"/>
      <x:c r="J64" s="113"/>
      <x:c r="K64" s="113"/>
      <x:c r="L64" s="113"/>
      <x:c r="M64" s="113"/>
      <x:c r="N64" s="113"/>
      <x:c r="O64" s="113"/>
      <x:c r="P64" s="113"/>
      <x:c r="Q64" s="113"/>
      <x:c r="R64" s="113"/>
      <x:c r="S64" s="113"/>
      <x:c r="T64" s="113"/>
      <x:c r="U64" s="113"/>
      <x:c r="V64" s="113"/>
      <x:c r="W64" s="113"/>
      <x:c r="X64" s="113"/>
      <x:c r="Y64" s="113"/>
      <x:c r="Z64" s="113"/>
      <x:c r="AA64" s="113"/>
      <x:c r="AB64" s="113"/>
      <x:c r="AC64" s="113"/>
      <x:c r="AD64" s="113"/>
      <x:c r="AE64" s="113"/>
    </x:row>
    <x:row r="65">
      <x:c r="A65" s="113"/>
      <x:c r="B65" s="113"/>
      <x:c r="C65" s="113"/>
      <x:c r="D65" s="113"/>
      <x:c r="E65" s="113"/>
      <x:c r="F65" s="113"/>
      <x:c r="G65" s="113"/>
      <x:c r="H65" s="113"/>
      <x:c r="I65" s="113"/>
      <x:c r="J65" s="113"/>
      <x:c r="K65" s="113"/>
      <x:c r="L65" s="113"/>
      <x:c r="M65" s="113"/>
      <x:c r="N65" s="113"/>
      <x:c r="O65" s="113"/>
      <x:c r="P65" s="113"/>
      <x:c r="Q65" s="113"/>
      <x:c r="R65" s="113"/>
      <x:c r="S65" s="113"/>
      <x:c r="T65" s="113"/>
      <x:c r="U65" s="113"/>
      <x:c r="V65" s="113"/>
      <x:c r="W65" s="113"/>
      <x:c r="X65" s="113"/>
      <x:c r="Y65" s="113"/>
      <x:c r="Z65" s="113"/>
      <x:c r="AA65" s="113"/>
      <x:c r="AB65" s="113"/>
      <x:c r="AC65" s="113"/>
      <x:c r="AD65" s="113"/>
      <x:c r="AE65" s="113"/>
    </x:row>
    <x:row r="66">
      <x:c r="A66" s="113"/>
      <x:c r="B66" s="113"/>
      <x:c r="C66" s="113"/>
      <x:c r="D66" s="113"/>
      <x:c r="E66" s="113"/>
      <x:c r="F66" s="113"/>
      <x:c r="G66" s="113"/>
      <x:c r="H66" s="113"/>
      <x:c r="I66" s="113"/>
      <x:c r="J66" s="113"/>
      <x:c r="K66" s="113"/>
      <x:c r="L66" s="113"/>
      <x:c r="M66" s="113"/>
      <x:c r="N66" s="113"/>
      <x:c r="O66" s="113"/>
      <x:c r="P66" s="113"/>
      <x:c r="Q66" s="113"/>
      <x:c r="R66" s="113"/>
      <x:c r="S66" s="113"/>
      <x:c r="T66" s="113"/>
      <x:c r="U66" s="113"/>
      <x:c r="V66" s="113"/>
      <x:c r="W66" s="113"/>
      <x:c r="X66" s="113"/>
      <x:c r="Y66" s="113"/>
      <x:c r="Z66" s="113"/>
      <x:c r="AA66" s="113"/>
      <x:c r="AB66" s="113"/>
      <x:c r="AC66" s="113"/>
      <x:c r="AD66" s="113"/>
      <x:c r="AE66" s="113"/>
    </x:row>
    <x:row r="67">
      <x:c r="A67" s="113"/>
      <x:c r="B67" s="113"/>
      <x:c r="C67" s="113"/>
      <x:c r="D67" s="113"/>
      <x:c r="E67" s="113"/>
      <x:c r="F67" s="113"/>
      <x:c r="G67" s="113"/>
      <x:c r="H67" s="113"/>
      <x:c r="I67" s="113"/>
      <x:c r="J67" s="113"/>
      <x:c r="K67" s="113"/>
      <x:c r="L67" s="113"/>
      <x:c r="M67" s="113"/>
      <x:c r="N67" s="113"/>
      <x:c r="O67" s="113"/>
      <x:c r="P67" s="113"/>
      <x:c r="Q67" s="113"/>
      <x:c r="R67" s="113"/>
      <x:c r="S67" s="113"/>
      <x:c r="T67" s="113"/>
      <x:c r="U67" s="113"/>
      <x:c r="V67" s="113"/>
      <x:c r="W67" s="113"/>
      <x:c r="X67" s="113"/>
      <x:c r="Y67" s="113"/>
      <x:c r="Z67" s="113"/>
      <x:c r="AA67" s="113"/>
      <x:c r="AB67" s="113"/>
      <x:c r="AC67" s="113"/>
      <x:c r="AD67" s="113"/>
      <x:c r="AE67" s="113"/>
    </x:row>
    <x:row r="68">
      <x:c r="A68" s="113"/>
      <x:c r="B68" s="113"/>
      <x:c r="C68" s="113"/>
      <x:c r="D68" s="113"/>
      <x:c r="E68" s="113"/>
      <x:c r="F68" s="113"/>
      <x:c r="G68" s="113"/>
      <x:c r="H68" s="113"/>
      <x:c r="I68" s="113"/>
      <x:c r="J68" s="113"/>
      <x:c r="K68" s="113"/>
      <x:c r="L68" s="113"/>
      <x:c r="M68" s="113"/>
      <x:c r="N68" s="113"/>
      <x:c r="O68" s="113"/>
      <x:c r="P68" s="113"/>
      <x:c r="Q68" s="113"/>
      <x:c r="R68" s="113"/>
      <x:c r="S68" s="113"/>
      <x:c r="T68" s="113"/>
      <x:c r="U68" s="113"/>
      <x:c r="V68" s="113"/>
      <x:c r="W68" s="113"/>
      <x:c r="X68" s="113"/>
      <x:c r="Y68" s="113"/>
      <x:c r="Z68" s="113"/>
      <x:c r="AA68" s="113"/>
      <x:c r="AB68" s="113"/>
      <x:c r="AC68" s="113"/>
      <x:c r="AD68" s="113"/>
      <x:c r="AE68" s="113"/>
    </x:row>
    <x:row r="69">
      <x:c r="A69" s="113"/>
      <x:c r="B69" s="113"/>
      <x:c r="C69" s="113"/>
      <x:c r="D69" s="113"/>
      <x:c r="E69" s="113"/>
      <x:c r="F69" s="113"/>
      <x:c r="G69" s="113"/>
      <x:c r="H69" s="113"/>
      <x:c r="I69" s="113"/>
      <x:c r="J69" s="113"/>
      <x:c r="K69" s="113"/>
      <x:c r="L69" s="113"/>
      <x:c r="M69" s="113"/>
      <x:c r="N69" s="113"/>
      <x:c r="O69" s="113"/>
      <x:c r="P69" s="113"/>
      <x:c r="Q69" s="113"/>
      <x:c r="R69" s="113"/>
      <x:c r="S69" s="113"/>
      <x:c r="T69" s="113"/>
      <x:c r="U69" s="113"/>
      <x:c r="V69" s="113"/>
      <x:c r="W69" s="113"/>
      <x:c r="X69" s="113"/>
      <x:c r="Y69" s="113"/>
      <x:c r="Z69" s="113"/>
      <x:c r="AA69" s="113"/>
      <x:c r="AB69" s="113"/>
      <x:c r="AC69" s="113"/>
      <x:c r="AD69" s="113"/>
      <x:c r="AE69" s="113"/>
    </x:row>
    <x:row r="70">
      <x:c r="A70" s="113"/>
      <x:c r="B70" s="113"/>
      <x:c r="C70" s="113"/>
      <x:c r="D70" s="113"/>
      <x:c r="E70" s="113"/>
      <x:c r="F70" s="113"/>
      <x:c r="G70" s="113"/>
      <x:c r="H70" s="113"/>
      <x:c r="I70" s="113"/>
      <x:c r="J70" s="113"/>
      <x:c r="K70" s="113"/>
      <x:c r="L70" s="113"/>
      <x:c r="M70" s="113"/>
      <x:c r="N70" s="113"/>
      <x:c r="O70" s="113"/>
      <x:c r="P70" s="113"/>
      <x:c r="Q70" s="113"/>
      <x:c r="R70" s="113"/>
      <x:c r="S70" s="113"/>
      <x:c r="T70" s="113"/>
      <x:c r="U70" s="113"/>
      <x:c r="V70" s="113"/>
      <x:c r="W70" s="113"/>
      <x:c r="X70" s="113"/>
      <x:c r="Y70" s="113"/>
      <x:c r="Z70" s="113"/>
      <x:c r="AA70" s="113"/>
      <x:c r="AB70" s="113"/>
      <x:c r="AC70" s="113"/>
      <x:c r="AD70" s="113"/>
      <x:c r="AE70" s="113"/>
    </x:row>
    <x:row r="71">
      <x:c r="A71" s="113"/>
      <x:c r="B71" s="113"/>
      <x:c r="C71" s="113"/>
      <x:c r="D71" s="113"/>
      <x:c r="E71" s="113"/>
      <x:c r="F71" s="113"/>
      <x:c r="G71" s="113"/>
      <x:c r="H71" s="113"/>
      <x:c r="I71" s="113"/>
      <x:c r="J71" s="113"/>
      <x:c r="K71" s="113"/>
      <x:c r="L71" s="113"/>
      <x:c r="M71" s="113"/>
      <x:c r="N71" s="113"/>
      <x:c r="O71" s="113"/>
      <x:c r="P71" s="113"/>
      <x:c r="Q71" s="113"/>
      <x:c r="R71" s="113"/>
      <x:c r="S71" s="113"/>
      <x:c r="T71" s="113"/>
      <x:c r="U71" s="113"/>
      <x:c r="V71" s="113"/>
      <x:c r="W71" s="113"/>
      <x:c r="X71" s="113"/>
      <x:c r="Y71" s="113"/>
      <x:c r="Z71" s="113"/>
      <x:c r="AA71" s="113"/>
      <x:c r="AB71" s="113"/>
      <x:c r="AC71" s="113"/>
      <x:c r="AD71" s="113"/>
      <x:c r="AE71" s="113"/>
    </x:row>
    <x:row r="72">
      <x:c r="A72" s="113"/>
      <x:c r="B72" s="113"/>
      <x:c r="C72" s="113"/>
      <x:c r="D72" s="113"/>
      <x:c r="E72" s="113"/>
      <x:c r="F72" s="113"/>
      <x:c r="G72" s="113"/>
      <x:c r="H72" s="113"/>
      <x:c r="I72" s="113"/>
      <x:c r="J72" s="113"/>
      <x:c r="K72" s="113"/>
      <x:c r="L72" s="113"/>
      <x:c r="M72" s="113"/>
      <x:c r="N72" s="113"/>
      <x:c r="O72" s="113"/>
      <x:c r="P72" s="113"/>
      <x:c r="Q72" s="113"/>
      <x:c r="R72" s="113"/>
      <x:c r="S72" s="113"/>
      <x:c r="T72" s="113"/>
      <x:c r="U72" s="113"/>
      <x:c r="V72" s="113"/>
      <x:c r="W72" s="113"/>
      <x:c r="X72" s="113"/>
      <x:c r="Y72" s="113"/>
      <x:c r="Z72" s="113"/>
      <x:c r="AA72" s="113"/>
      <x:c r="AB72" s="113"/>
      <x:c r="AC72" s="113"/>
      <x:c r="AD72" s="113"/>
      <x:c r="AE72" s="113"/>
    </x:row>
    <x:row r="73">
      <x:c r="A73" s="113"/>
      <x:c r="B73" s="113"/>
      <x:c r="C73" s="113"/>
      <x:c r="D73" s="113"/>
      <x:c r="E73" s="113"/>
      <x:c r="F73" s="113"/>
      <x:c r="G73" s="113"/>
      <x:c r="H73" s="113"/>
      <x:c r="I73" s="113"/>
      <x:c r="J73" s="113"/>
      <x:c r="K73" s="113"/>
      <x:c r="L73" s="113"/>
      <x:c r="M73" s="113"/>
      <x:c r="N73" s="113"/>
      <x:c r="O73" s="113"/>
      <x:c r="P73" s="113"/>
      <x:c r="Q73" s="113"/>
      <x:c r="R73" s="113"/>
      <x:c r="S73" s="113"/>
      <x:c r="T73" s="113"/>
      <x:c r="U73" s="113"/>
      <x:c r="V73" s="113"/>
      <x:c r="W73" s="113"/>
      <x:c r="X73" s="113"/>
      <x:c r="Y73" s="113"/>
      <x:c r="Z73" s="113"/>
      <x:c r="AA73" s="113"/>
      <x:c r="AB73" s="113"/>
      <x:c r="AC73" s="113"/>
      <x:c r="AD73" s="113"/>
      <x:c r="AE73" s="113"/>
    </x:row>
    <x:row r="74">
      <x:c r="A74" s="113"/>
      <x:c r="B74" s="113"/>
      <x:c r="C74" s="113"/>
      <x:c r="D74" s="113"/>
      <x:c r="E74" s="113"/>
      <x:c r="F74" s="113"/>
      <x:c r="G74" s="113"/>
      <x:c r="H74" s="113"/>
      <x:c r="I74" s="113"/>
      <x:c r="J74" s="113"/>
      <x:c r="K74" s="113"/>
      <x:c r="L74" s="113"/>
      <x:c r="M74" s="113"/>
      <x:c r="N74" s="113"/>
      <x:c r="O74" s="113"/>
      <x:c r="P74" s="113"/>
      <x:c r="Q74" s="113"/>
      <x:c r="R74" s="113"/>
      <x:c r="S74" s="113"/>
      <x:c r="T74" s="113"/>
      <x:c r="U74" s="113"/>
      <x:c r="V74" s="113"/>
      <x:c r="W74" s="113"/>
      <x:c r="X74" s="113"/>
      <x:c r="Y74" s="113"/>
      <x:c r="Z74" s="113"/>
      <x:c r="AA74" s="113"/>
      <x:c r="AB74" s="113"/>
      <x:c r="AC74" s="113"/>
      <x:c r="AD74" s="113"/>
      <x:c r="AE74" s="113"/>
    </x:row>
    <x:row r="75">
      <x:c r="A75" s="113"/>
      <x:c r="B75" s="113"/>
      <x:c r="C75" s="113"/>
      <x:c r="D75" s="113"/>
      <x:c r="E75" s="113"/>
      <x:c r="F75" s="113"/>
      <x:c r="G75" s="113"/>
      <x:c r="H75" s="113"/>
      <x:c r="I75" s="113"/>
      <x:c r="J75" s="113"/>
      <x:c r="K75" s="113"/>
      <x:c r="L75" s="113"/>
      <x:c r="M75" s="113"/>
      <x:c r="N75" s="113"/>
      <x:c r="O75" s="113"/>
      <x:c r="P75" s="113"/>
      <x:c r="Q75" s="113"/>
      <x:c r="R75" s="113"/>
      <x:c r="S75" s="113"/>
      <x:c r="T75" s="113"/>
      <x:c r="U75" s="113"/>
      <x:c r="V75" s="113"/>
      <x:c r="W75" s="113"/>
      <x:c r="X75" s="113"/>
      <x:c r="Y75" s="113"/>
      <x:c r="Z75" s="113"/>
      <x:c r="AA75" s="113"/>
      <x:c r="AB75" s="113"/>
      <x:c r="AC75" s="113"/>
      <x:c r="AD75" s="113"/>
      <x:c r="AE75" s="113"/>
    </x:row>
    <x:row r="76">
      <x:c r="A76" s="113"/>
      <x:c r="B76" s="113"/>
      <x:c r="C76" s="113"/>
      <x:c r="D76" s="113"/>
      <x:c r="E76" s="113"/>
      <x:c r="F76" s="113"/>
      <x:c r="G76" s="113"/>
      <x:c r="H76" s="113"/>
      <x:c r="I76" s="113"/>
      <x:c r="J76" s="113"/>
      <x:c r="K76" s="113"/>
      <x:c r="L76" s="113"/>
      <x:c r="M76" s="113"/>
      <x:c r="N76" s="113"/>
      <x:c r="O76" s="113"/>
      <x:c r="P76" s="113"/>
      <x:c r="Q76" s="113"/>
      <x:c r="R76" s="113"/>
      <x:c r="S76" s="113"/>
      <x:c r="T76" s="113"/>
      <x:c r="U76" s="113"/>
      <x:c r="V76" s="113"/>
      <x:c r="W76" s="113"/>
      <x:c r="X76" s="113"/>
      <x:c r="Y76" s="113"/>
      <x:c r="Z76" s="113"/>
      <x:c r="AA76" s="113"/>
      <x:c r="AB76" s="113"/>
      <x:c r="AC76" s="113"/>
      <x:c r="AD76" s="113"/>
      <x:c r="AE76" s="113"/>
    </x:row>
    <x:row r="77">
      <x:c r="A77" s="113"/>
      <x:c r="B77" s="113"/>
      <x:c r="C77" s="113"/>
      <x:c r="D77" s="113"/>
      <x:c r="E77" s="113"/>
      <x:c r="F77" s="113"/>
      <x:c r="G77" s="113"/>
      <x:c r="H77" s="113"/>
      <x:c r="I77" s="113"/>
      <x:c r="J77" s="113"/>
      <x:c r="K77" s="113"/>
      <x:c r="L77" s="113"/>
      <x:c r="M77" s="113"/>
      <x:c r="N77" s="113"/>
      <x:c r="O77" s="113"/>
      <x:c r="P77" s="113"/>
      <x:c r="Q77" s="113"/>
      <x:c r="R77" s="113"/>
      <x:c r="S77" s="113"/>
      <x:c r="T77" s="113"/>
      <x:c r="U77" s="113"/>
      <x:c r="V77" s="113"/>
      <x:c r="W77" s="113"/>
      <x:c r="X77" s="113"/>
      <x:c r="Y77" s="113"/>
      <x:c r="Z77" s="113"/>
      <x:c r="AA77" s="113"/>
      <x:c r="AB77" s="113"/>
      <x:c r="AC77" s="113"/>
      <x:c r="AD77" s="113"/>
      <x:c r="AE77" s="113"/>
    </x:row>
    <x:row r="78">
      <x:c r="A78" s="113"/>
      <x:c r="B78" s="113"/>
      <x:c r="C78" s="113"/>
      <x:c r="D78" s="113"/>
      <x:c r="E78" s="113"/>
      <x:c r="F78" s="113"/>
      <x:c r="G78" s="113"/>
      <x:c r="H78" s="113"/>
      <x:c r="I78" s="113"/>
      <x:c r="J78" s="113"/>
      <x:c r="K78" s="113"/>
      <x:c r="L78" s="113"/>
      <x:c r="M78" s="113"/>
      <x:c r="N78" s="113"/>
      <x:c r="O78" s="113"/>
      <x:c r="P78" s="113"/>
      <x:c r="Q78" s="113"/>
      <x:c r="R78" s="113"/>
      <x:c r="S78" s="113"/>
      <x:c r="T78" s="113"/>
      <x:c r="U78" s="113"/>
      <x:c r="V78" s="113"/>
      <x:c r="W78" s="113"/>
      <x:c r="X78" s="113"/>
      <x:c r="Y78" s="113"/>
      <x:c r="Z78" s="113"/>
      <x:c r="AA78" s="113"/>
      <x:c r="AB78" s="113"/>
      <x:c r="AC78" s="113"/>
      <x:c r="AD78" s="113"/>
      <x:c r="AE78" s="113"/>
    </x:row>
    <x:row r="79">
      <x:c r="A79" s="113"/>
      <x:c r="B79" s="113"/>
      <x:c r="C79" s="113"/>
      <x:c r="D79" s="113"/>
      <x:c r="E79" s="113"/>
      <x:c r="F79" s="113"/>
      <x:c r="G79" s="113"/>
      <x:c r="H79" s="113"/>
      <x:c r="I79" s="113"/>
      <x:c r="J79" s="113"/>
      <x:c r="K79" s="113"/>
      <x:c r="L79" s="113"/>
      <x:c r="M79" s="113"/>
      <x:c r="N79" s="113"/>
      <x:c r="O79" s="113"/>
      <x:c r="P79" s="113"/>
      <x:c r="Q79" s="113"/>
      <x:c r="R79" s="113"/>
      <x:c r="S79" s="113"/>
      <x:c r="T79" s="113"/>
      <x:c r="U79" s="113"/>
      <x:c r="V79" s="113"/>
      <x:c r="W79" s="113"/>
      <x:c r="X79" s="113"/>
      <x:c r="Y79" s="113"/>
      <x:c r="Z79" s="113"/>
      <x:c r="AA79" s="113"/>
      <x:c r="AB79" s="113"/>
      <x:c r="AC79" s="113"/>
      <x:c r="AD79" s="113"/>
      <x:c r="AE79" s="113"/>
    </x:row>
    <x:row r="80">
      <x:c r="A80" s="113"/>
      <x:c r="B80" s="113"/>
      <x:c r="C80" s="113"/>
      <x:c r="D80" s="113"/>
      <x:c r="E80" s="113"/>
      <x:c r="F80" s="113"/>
      <x:c r="G80" s="113"/>
      <x:c r="H80" s="113"/>
      <x:c r="I80" s="113"/>
      <x:c r="J80" s="113"/>
      <x:c r="K80" s="113"/>
      <x:c r="L80" s="113"/>
      <x:c r="M80" s="113"/>
      <x:c r="N80" s="113"/>
      <x:c r="O80" s="113"/>
      <x:c r="P80" s="113"/>
      <x:c r="Q80" s="113"/>
      <x:c r="R80" s="113"/>
      <x:c r="S80" s="113"/>
      <x:c r="T80" s="113"/>
      <x:c r="U80" s="113"/>
      <x:c r="V80" s="113"/>
      <x:c r="W80" s="113"/>
      <x:c r="X80" s="113"/>
      <x:c r="Y80" s="113"/>
      <x:c r="Z80" s="113"/>
      <x:c r="AA80" s="113"/>
      <x:c r="AB80" s="113"/>
      <x:c r="AC80" s="113"/>
      <x:c r="AD80" s="113"/>
      <x:c r="AE80" s="113"/>
    </x:row>
    <x:row r="81">
      <x:c r="A81" s="113"/>
      <x:c r="B81" s="113"/>
      <x:c r="C81" s="113"/>
      <x:c r="D81" s="113"/>
      <x:c r="E81" s="113"/>
      <x:c r="F81" s="113"/>
      <x:c r="G81" s="113"/>
      <x:c r="H81" s="113"/>
      <x:c r="I81" s="113"/>
      <x:c r="J81" s="113"/>
      <x:c r="K81" s="113"/>
      <x:c r="L81" s="113"/>
      <x:c r="M81" s="113"/>
      <x:c r="N81" s="113"/>
      <x:c r="O81" s="113"/>
      <x:c r="P81" s="113"/>
      <x:c r="Q81" s="113"/>
      <x:c r="R81" s="113"/>
      <x:c r="S81" s="113"/>
      <x:c r="T81" s="113"/>
      <x:c r="U81" s="113"/>
      <x:c r="V81" s="113"/>
      <x:c r="W81" s="113"/>
      <x:c r="X81" s="113"/>
      <x:c r="Y81" s="113"/>
      <x:c r="Z81" s="113"/>
      <x:c r="AA81" s="113"/>
      <x:c r="AB81" s="113"/>
      <x:c r="AC81" s="113"/>
      <x:c r="AD81" s="113"/>
      <x:c r="AE81" s="113"/>
    </x:row>
    <x:row r="82">
      <x:c r="A82" s="113"/>
      <x:c r="B82" s="113"/>
      <x:c r="C82" s="113"/>
      <x:c r="D82" s="113"/>
      <x:c r="E82" s="113"/>
      <x:c r="F82" s="113"/>
      <x:c r="G82" s="113"/>
      <x:c r="H82" s="113"/>
      <x:c r="I82" s="113"/>
      <x:c r="J82" s="113"/>
      <x:c r="K82" s="113"/>
      <x:c r="L82" s="113"/>
      <x:c r="M82" s="113"/>
      <x:c r="N82" s="113"/>
      <x:c r="O82" s="113"/>
      <x:c r="P82" s="113"/>
      <x:c r="Q82" s="113"/>
      <x:c r="R82" s="113"/>
      <x:c r="S82" s="113"/>
      <x:c r="T82" s="113"/>
      <x:c r="U82" s="113"/>
      <x:c r="V82" s="113"/>
      <x:c r="W82" s="113"/>
      <x:c r="X82" s="113"/>
      <x:c r="Y82" s="113"/>
      <x:c r="Z82" s="113"/>
      <x:c r="AA82" s="113"/>
      <x:c r="AB82" s="113"/>
      <x:c r="AC82" s="113"/>
      <x:c r="AD82" s="113"/>
      <x:c r="AE82" s="113"/>
    </x:row>
    <x:row r="83">
      <x:c r="A83" s="113"/>
      <x:c r="B83" s="113"/>
      <x:c r="C83" s="113"/>
      <x:c r="D83" s="113"/>
      <x:c r="E83" s="113"/>
      <x:c r="F83" s="113"/>
      <x:c r="G83" s="113"/>
      <x:c r="H83" s="113"/>
      <x:c r="I83" s="113"/>
      <x:c r="J83" s="113"/>
      <x:c r="K83" s="113"/>
      <x:c r="L83" s="113"/>
      <x:c r="M83" s="113"/>
      <x:c r="N83" s="113"/>
      <x:c r="O83" s="113"/>
      <x:c r="P83" s="113"/>
      <x:c r="Q83" s="113"/>
      <x:c r="R83" s="113"/>
      <x:c r="S83" s="113"/>
      <x:c r="T83" s="113"/>
      <x:c r="U83" s="113"/>
      <x:c r="V83" s="113"/>
      <x:c r="W83" s="113"/>
      <x:c r="X83" s="113"/>
      <x:c r="Y83" s="113"/>
      <x:c r="Z83" s="113"/>
      <x:c r="AA83" s="113"/>
      <x:c r="AB83" s="113"/>
      <x:c r="AC83" s="113"/>
      <x:c r="AD83" s="113"/>
      <x:c r="AE83" s="113"/>
    </x:row>
    <x:row r="84">
      <x:c r="A84" s="113"/>
      <x:c r="B84" s="113"/>
      <x:c r="C84" s="113"/>
      <x:c r="D84" s="113"/>
      <x:c r="E84" s="113"/>
      <x:c r="F84" s="113"/>
      <x:c r="G84" s="113"/>
      <x:c r="H84" s="113"/>
      <x:c r="I84" s="113"/>
      <x:c r="J84" s="113"/>
      <x:c r="K84" s="113"/>
      <x:c r="L84" s="113"/>
      <x:c r="M84" s="113"/>
      <x:c r="N84" s="113"/>
      <x:c r="O84" s="113"/>
      <x:c r="P84" s="113"/>
      <x:c r="Q84" s="113"/>
      <x:c r="R84" s="113"/>
      <x:c r="S84" s="113"/>
      <x:c r="T84" s="113"/>
      <x:c r="U84" s="113"/>
      <x:c r="V84" s="113"/>
      <x:c r="W84" s="113"/>
      <x:c r="X84" s="113"/>
      <x:c r="Y84" s="113"/>
      <x:c r="Z84" s="113"/>
      <x:c r="AA84" s="113"/>
      <x:c r="AB84" s="113"/>
      <x:c r="AC84" s="113"/>
      <x:c r="AD84" s="113"/>
      <x:c r="AE84" s="113"/>
    </x:row>
    <x:row r="85">
      <x:c r="A85" s="113"/>
      <x:c r="B85" s="113"/>
      <x:c r="C85" s="113"/>
      <x:c r="D85" s="113"/>
      <x:c r="E85" s="113"/>
      <x:c r="F85" s="113"/>
      <x:c r="G85" s="113"/>
      <x:c r="H85" s="113"/>
      <x:c r="I85" s="113"/>
      <x:c r="J85" s="113"/>
      <x:c r="K85" s="113"/>
      <x:c r="L85" s="113"/>
      <x:c r="M85" s="113"/>
      <x:c r="N85" s="113"/>
      <x:c r="O85" s="113"/>
      <x:c r="P85" s="113"/>
      <x:c r="Q85" s="113"/>
      <x:c r="R85" s="113"/>
      <x:c r="S85" s="113"/>
      <x:c r="T85" s="113"/>
      <x:c r="U85" s="113"/>
      <x:c r="V85" s="113"/>
      <x:c r="W85" s="113"/>
      <x:c r="X85" s="113"/>
      <x:c r="Y85" s="113"/>
      <x:c r="Z85" s="113"/>
      <x:c r="AA85" s="113"/>
      <x:c r="AB85" s="113"/>
      <x:c r="AC85" s="113"/>
      <x:c r="AD85" s="113"/>
      <x:c r="AE85" s="113"/>
    </x:row>
    <x:row r="86">
      <x:c r="A86" s="113"/>
      <x:c r="B86" s="113"/>
      <x:c r="C86" s="113"/>
      <x:c r="D86" s="113"/>
      <x:c r="E86" s="113"/>
      <x:c r="F86" s="113"/>
      <x:c r="G86" s="113"/>
      <x:c r="H86" s="113"/>
      <x:c r="I86" s="113"/>
      <x:c r="J86" s="113"/>
      <x:c r="K86" s="113"/>
      <x:c r="L86" s="113"/>
      <x:c r="M86" s="113"/>
      <x:c r="N86" s="113"/>
      <x:c r="O86" s="113"/>
      <x:c r="P86" s="113"/>
      <x:c r="Q86" s="113"/>
      <x:c r="R86" s="113"/>
      <x:c r="S86" s="113"/>
      <x:c r="T86" s="113"/>
      <x:c r="U86" s="113"/>
      <x:c r="V86" s="113"/>
      <x:c r="W86" s="113"/>
      <x:c r="X86" s="113"/>
      <x:c r="Y86" s="113"/>
      <x:c r="Z86" s="113"/>
      <x:c r="AA86" s="113"/>
      <x:c r="AB86" s="113"/>
      <x:c r="AC86" s="113"/>
      <x:c r="AD86" s="113"/>
      <x:c r="AE86" s="113"/>
    </x:row>
    <x:row r="87">
      <x:c r="A87" s="113"/>
      <x:c r="B87" s="113"/>
      <x:c r="C87" s="113"/>
      <x:c r="D87" s="113"/>
      <x:c r="E87" s="113"/>
      <x:c r="F87" s="113"/>
      <x:c r="G87" s="113"/>
      <x:c r="H87" s="113"/>
      <x:c r="I87" s="113"/>
      <x:c r="J87" s="113"/>
      <x:c r="K87" s="113"/>
      <x:c r="L87" s="113"/>
      <x:c r="M87" s="113"/>
      <x:c r="N87" s="113"/>
      <x:c r="O87" s="113"/>
      <x:c r="P87" s="113"/>
      <x:c r="Q87" s="113"/>
      <x:c r="R87" s="113"/>
      <x:c r="S87" s="113"/>
      <x:c r="T87" s="113"/>
      <x:c r="U87" s="113"/>
      <x:c r="V87" s="113"/>
      <x:c r="W87" s="113"/>
      <x:c r="X87" s="113"/>
      <x:c r="Y87" s="113"/>
      <x:c r="Z87" s="113"/>
      <x:c r="AA87" s="113"/>
      <x:c r="AB87" s="113"/>
      <x:c r="AC87" s="113"/>
      <x:c r="AD87" s="113"/>
      <x:c r="AE87" s="113"/>
    </x:row>
    <x:row r="88">
      <x:c r="A88" s="113"/>
      <x:c r="B88" s="113"/>
      <x:c r="C88" s="113"/>
      <x:c r="D88" s="113"/>
      <x:c r="E88" s="113"/>
      <x:c r="F88" s="113"/>
      <x:c r="G88" s="113"/>
      <x:c r="H88" s="113"/>
      <x:c r="I88" s="113"/>
      <x:c r="J88" s="113"/>
      <x:c r="K88" s="113"/>
      <x:c r="L88" s="113"/>
      <x:c r="M88" s="113"/>
      <x:c r="N88" s="113"/>
      <x:c r="O88" s="113"/>
      <x:c r="P88" s="113"/>
      <x:c r="Q88" s="113"/>
      <x:c r="R88" s="113"/>
      <x:c r="S88" s="113"/>
      <x:c r="T88" s="113"/>
      <x:c r="U88" s="113"/>
      <x:c r="V88" s="113"/>
      <x:c r="W88" s="113"/>
      <x:c r="X88" s="113"/>
      <x:c r="Y88" s="113"/>
      <x:c r="Z88" s="113"/>
      <x:c r="AA88" s="113"/>
      <x:c r="AB88" s="113"/>
      <x:c r="AC88" s="113"/>
      <x:c r="AD88" s="113"/>
      <x:c r="AE88" s="113"/>
    </x:row>
    <x:row r="89">
      <x:c r="A89" s="113"/>
      <x:c r="B89" s="113"/>
      <x:c r="C89" s="113"/>
      <x:c r="D89" s="113"/>
      <x:c r="E89" s="113"/>
      <x:c r="F89" s="113"/>
      <x:c r="G89" s="113"/>
      <x:c r="H89" s="113"/>
      <x:c r="I89" s="113"/>
      <x:c r="J89" s="113"/>
      <x:c r="K89" s="113"/>
      <x:c r="L89" s="113"/>
      <x:c r="M89" s="113"/>
      <x:c r="N89" s="113"/>
      <x:c r="O89" s="113"/>
      <x:c r="P89" s="113"/>
      <x:c r="Q89" s="113"/>
      <x:c r="R89" s="113"/>
      <x:c r="S89" s="113"/>
      <x:c r="T89" s="113"/>
      <x:c r="U89" s="113"/>
      <x:c r="V89" s="113"/>
      <x:c r="W89" s="113"/>
      <x:c r="X89" s="113"/>
      <x:c r="Y89" s="113"/>
      <x:c r="Z89" s="113"/>
      <x:c r="AA89" s="113"/>
      <x:c r="AB89" s="113"/>
      <x:c r="AC89" s="113"/>
      <x:c r="AD89" s="113"/>
      <x:c r="AE89" s="113"/>
    </x:row>
    <x:row r="90">
      <x:c r="A90" s="113"/>
      <x:c r="B90" s="113"/>
      <x:c r="C90" s="113"/>
      <x:c r="D90" s="113"/>
      <x:c r="E90" s="113"/>
      <x:c r="F90" s="113"/>
      <x:c r="G90" s="113"/>
      <x:c r="H90" s="113"/>
      <x:c r="I90" s="113"/>
      <x:c r="J90" s="113"/>
      <x:c r="K90" s="113"/>
      <x:c r="L90" s="113"/>
      <x:c r="M90" s="113"/>
      <x:c r="N90" s="113"/>
      <x:c r="O90" s="113"/>
      <x:c r="P90" s="113"/>
      <x:c r="Q90" s="113"/>
      <x:c r="R90" s="113"/>
      <x:c r="S90" s="113"/>
      <x:c r="T90" s="113"/>
      <x:c r="U90" s="113"/>
      <x:c r="V90" s="113"/>
      <x:c r="W90" s="113"/>
      <x:c r="X90" s="113"/>
      <x:c r="Y90" s="113"/>
      <x:c r="Z90" s="113"/>
      <x:c r="AA90" s="113"/>
      <x:c r="AB90" s="113"/>
      <x:c r="AC90" s="113"/>
      <x:c r="AD90" s="113"/>
      <x:c r="AE90" s="113"/>
    </x:row>
    <x:row r="91">
      <x:c r="A91" s="113"/>
      <x:c r="B91" s="113"/>
      <x:c r="C91" s="113"/>
      <x:c r="D91" s="113"/>
      <x:c r="E91" s="113"/>
      <x:c r="F91" s="113"/>
      <x:c r="G91" s="113"/>
      <x:c r="H91" s="113"/>
      <x:c r="I91" s="113"/>
      <x:c r="J91" s="113"/>
      <x:c r="K91" s="113"/>
      <x:c r="L91" s="113"/>
      <x:c r="M91" s="113"/>
      <x:c r="N91" s="113"/>
      <x:c r="O91" s="113"/>
      <x:c r="P91" s="113"/>
      <x:c r="Q91" s="113"/>
      <x:c r="R91" s="113"/>
      <x:c r="S91" s="113"/>
      <x:c r="T91" s="113"/>
      <x:c r="U91" s="113"/>
      <x:c r="V91" s="113"/>
      <x:c r="W91" s="113"/>
      <x:c r="X91" s="113"/>
      <x:c r="Y91" s="113"/>
      <x:c r="Z91" s="113"/>
      <x:c r="AA91" s="113"/>
      <x:c r="AB91" s="113"/>
      <x:c r="AC91" s="113"/>
      <x:c r="AD91" s="113"/>
      <x:c r="AE91" s="113"/>
    </x:row>
    <x:row r="92">
      <x:c r="A92" s="113"/>
      <x:c r="B92" s="113"/>
      <x:c r="C92" s="113"/>
      <x:c r="D92" s="113"/>
      <x:c r="E92" s="113"/>
      <x:c r="F92" s="113"/>
      <x:c r="G92" s="113"/>
      <x:c r="H92" s="113"/>
      <x:c r="I92" s="113"/>
      <x:c r="J92" s="113"/>
      <x:c r="K92" s="113"/>
      <x:c r="L92" s="113"/>
      <x:c r="M92" s="113"/>
      <x:c r="N92" s="113"/>
      <x:c r="O92" s="113"/>
      <x:c r="P92" s="113"/>
      <x:c r="Q92" s="113"/>
      <x:c r="R92" s="113"/>
      <x:c r="S92" s="113"/>
      <x:c r="T92" s="113"/>
      <x:c r="U92" s="113"/>
      <x:c r="V92" s="113"/>
      <x:c r="W92" s="113"/>
      <x:c r="X92" s="113"/>
      <x:c r="Y92" s="113"/>
      <x:c r="Z92" s="113"/>
      <x:c r="AA92" s="113"/>
      <x:c r="AB92" s="113"/>
      <x:c r="AC92" s="113"/>
      <x:c r="AD92" s="113"/>
      <x:c r="AE92" s="113"/>
    </x:row>
    <x:row r="93">
      <x:c r="A93" s="113"/>
      <x:c r="B93" s="113"/>
      <x:c r="C93" s="113"/>
      <x:c r="D93" s="113"/>
      <x:c r="E93" s="113"/>
      <x:c r="F93" s="113"/>
      <x:c r="G93" s="113"/>
      <x:c r="H93" s="113"/>
      <x:c r="I93" s="113"/>
      <x:c r="J93" s="113"/>
      <x:c r="K93" s="113"/>
      <x:c r="L93" s="113"/>
      <x:c r="M93" s="113"/>
      <x:c r="N93" s="113"/>
      <x:c r="O93" s="113"/>
      <x:c r="P93" s="113"/>
      <x:c r="Q93" s="113"/>
      <x:c r="R93" s="113"/>
      <x:c r="S93" s="113"/>
      <x:c r="T93" s="113"/>
      <x:c r="U93" s="113"/>
      <x:c r="V93" s="113"/>
      <x:c r="W93" s="113"/>
      <x:c r="X93" s="113"/>
      <x:c r="Y93" s="113"/>
      <x:c r="Z93" s="113"/>
      <x:c r="AA93" s="113"/>
      <x:c r="AB93" s="113"/>
      <x:c r="AC93" s="113"/>
      <x:c r="AD93" s="113"/>
      <x:c r="AE93" s="113"/>
    </x:row>
    <x:row r="94">
      <x:c r="A94" s="113"/>
      <x:c r="B94" s="113"/>
      <x:c r="C94" s="113"/>
      <x:c r="D94" s="113"/>
      <x:c r="E94" s="113"/>
      <x:c r="F94" s="113"/>
      <x:c r="G94" s="113"/>
      <x:c r="H94" s="113"/>
      <x:c r="I94" s="113"/>
      <x:c r="J94" s="113"/>
      <x:c r="K94" s="113"/>
      <x:c r="L94" s="113"/>
      <x:c r="M94" s="113"/>
      <x:c r="N94" s="113"/>
      <x:c r="O94" s="113"/>
      <x:c r="P94" s="113"/>
      <x:c r="Q94" s="113"/>
      <x:c r="R94" s="113"/>
      <x:c r="S94" s="113"/>
      <x:c r="T94" s="113"/>
      <x:c r="U94" s="113"/>
      <x:c r="V94" s="113"/>
      <x:c r="W94" s="113"/>
      <x:c r="X94" s="113"/>
      <x:c r="Y94" s="113"/>
      <x:c r="Z94" s="113"/>
      <x:c r="AA94" s="113"/>
      <x:c r="AB94" s="113"/>
      <x:c r="AC94" s="113"/>
      <x:c r="AD94" s="113"/>
      <x:c r="AE94" s="113"/>
    </x:row>
    <x:row r="95">
      <x:c r="A95" s="113"/>
      <x:c r="B95" s="113"/>
      <x:c r="C95" s="113"/>
      <x:c r="D95" s="113"/>
      <x:c r="E95" s="113"/>
      <x:c r="F95" s="113"/>
      <x:c r="G95" s="113"/>
      <x:c r="H95" s="113"/>
      <x:c r="I95" s="113"/>
      <x:c r="J95" s="113"/>
      <x:c r="K95" s="113"/>
      <x:c r="L95" s="113"/>
      <x:c r="M95" s="113"/>
      <x:c r="N95" s="113"/>
      <x:c r="O95" s="113"/>
      <x:c r="P95" s="113"/>
      <x:c r="Q95" s="113"/>
      <x:c r="R95" s="113"/>
      <x:c r="S95" s="113"/>
      <x:c r="T95" s="113"/>
      <x:c r="U95" s="113"/>
      <x:c r="V95" s="113"/>
      <x:c r="W95" s="113"/>
      <x:c r="X95" s="113"/>
      <x:c r="Y95" s="113"/>
      <x:c r="Z95" s="113"/>
      <x:c r="AA95" s="113"/>
      <x:c r="AB95" s="113"/>
      <x:c r="AC95" s="113"/>
      <x:c r="AD95" s="113"/>
      <x:c r="AE95" s="113"/>
    </x:row>
    <x:row r="96">
      <x:c r="A96" s="113"/>
      <x:c r="B96" s="113"/>
      <x:c r="C96" s="113"/>
      <x:c r="D96" s="113"/>
      <x:c r="E96" s="113"/>
      <x:c r="F96" s="113"/>
      <x:c r="G96" s="113"/>
      <x:c r="H96" s="113"/>
      <x:c r="I96" s="113"/>
      <x:c r="J96" s="113"/>
      <x:c r="K96" s="113"/>
      <x:c r="L96" s="113"/>
      <x:c r="M96" s="113"/>
      <x:c r="N96" s="113"/>
      <x:c r="O96" s="113"/>
      <x:c r="P96" s="113"/>
      <x:c r="Q96" s="113"/>
      <x:c r="R96" s="113"/>
      <x:c r="S96" s="113"/>
      <x:c r="T96" s="113"/>
      <x:c r="U96" s="113"/>
      <x:c r="V96" s="113"/>
      <x:c r="W96" s="113"/>
      <x:c r="X96" s="113"/>
      <x:c r="Y96" s="113"/>
      <x:c r="Z96" s="113"/>
      <x:c r="AA96" s="113"/>
      <x:c r="AB96" s="113"/>
      <x:c r="AC96" s="113"/>
      <x:c r="AD96" s="113"/>
      <x:c r="AE96" s="113"/>
    </x:row>
    <x:row r="97">
      <x:c r="A97" s="113"/>
      <x:c r="B97" s="113"/>
      <x:c r="C97" s="113"/>
      <x:c r="D97" s="113"/>
      <x:c r="E97" s="113"/>
      <x:c r="F97" s="113"/>
      <x:c r="G97" s="113"/>
      <x:c r="H97" s="113"/>
      <x:c r="I97" s="113"/>
      <x:c r="J97" s="113"/>
      <x:c r="K97" s="113"/>
      <x:c r="L97" s="113"/>
      <x:c r="M97" s="113"/>
      <x:c r="N97" s="113"/>
      <x:c r="O97" s="113"/>
      <x:c r="P97" s="113"/>
      <x:c r="Q97" s="113"/>
      <x:c r="R97" s="113"/>
      <x:c r="S97" s="113"/>
      <x:c r="T97" s="113"/>
      <x:c r="U97" s="113"/>
      <x:c r="V97" s="113"/>
      <x:c r="W97" s="113"/>
      <x:c r="X97" s="113"/>
      <x:c r="Y97" s="113"/>
      <x:c r="Z97" s="113"/>
      <x:c r="AA97" s="113"/>
      <x:c r="AB97" s="113"/>
      <x:c r="AC97" s="113"/>
      <x:c r="AD97" s="113"/>
      <x:c r="AE97" s="113"/>
    </x:row>
    <x:row r="98">
      <x:c r="A98" s="113"/>
      <x:c r="B98" s="113"/>
      <x:c r="C98" s="113"/>
      <x:c r="D98" s="113"/>
      <x:c r="E98" s="113"/>
      <x:c r="F98" s="113"/>
      <x:c r="G98" s="113"/>
      <x:c r="H98" s="113"/>
      <x:c r="I98" s="113"/>
      <x:c r="J98" s="113"/>
      <x:c r="K98" s="113"/>
      <x:c r="L98" s="113"/>
      <x:c r="M98" s="113"/>
      <x:c r="N98" s="113"/>
      <x:c r="O98" s="113"/>
      <x:c r="P98" s="113"/>
      <x:c r="Q98" s="113"/>
      <x:c r="R98" s="113"/>
      <x:c r="S98" s="113"/>
      <x:c r="T98" s="113"/>
      <x:c r="U98" s="113"/>
      <x:c r="V98" s="113"/>
      <x:c r="W98" s="113"/>
      <x:c r="X98" s="113"/>
      <x:c r="Y98" s="113"/>
      <x:c r="Z98" s="113"/>
      <x:c r="AA98" s="113"/>
      <x:c r="AB98" s="113"/>
      <x:c r="AC98" s="113"/>
      <x:c r="AD98" s="113"/>
      <x:c r="AE98" s="113"/>
    </x:row>
    <x:row r="99">
      <x:c r="A99" s="113"/>
      <x:c r="B99" s="113"/>
      <x:c r="C99" s="113"/>
      <x:c r="D99" s="113"/>
      <x:c r="E99" s="113"/>
      <x:c r="F99" s="113"/>
      <x:c r="G99" s="113"/>
      <x:c r="H99" s="113"/>
      <x:c r="I99" s="113"/>
      <x:c r="J99" s="113"/>
      <x:c r="K99" s="113"/>
      <x:c r="L99" s="113"/>
      <x:c r="M99" s="113"/>
      <x:c r="N99" s="113"/>
      <x:c r="O99" s="113"/>
      <x:c r="P99" s="113"/>
      <x:c r="Q99" s="113"/>
      <x:c r="R99" s="113"/>
      <x:c r="S99" s="113"/>
      <x:c r="T99" s="113"/>
      <x:c r="U99" s="113"/>
      <x:c r="V99" s="113"/>
      <x:c r="W99" s="113"/>
      <x:c r="X99" s="113"/>
      <x:c r="Y99" s="113"/>
      <x:c r="Z99" s="113"/>
      <x:c r="AA99" s="113"/>
      <x:c r="AB99" s="113"/>
      <x:c r="AC99" s="113"/>
      <x:c r="AD99" s="113"/>
      <x:c r="AE99" s="113"/>
    </x:row>
    <x:row r="100">
      <x:c r="A100" s="113"/>
      <x:c r="B100" s="113"/>
      <x:c r="C100" s="113"/>
      <x:c r="D100" s="113"/>
      <x:c r="E100" s="113"/>
      <x:c r="F100" s="113"/>
      <x:c r="G100" s="113"/>
      <x:c r="H100" s="113"/>
      <x:c r="I100" s="113"/>
      <x:c r="J100" s="113"/>
      <x:c r="K100" s="113"/>
      <x:c r="L100" s="113"/>
      <x:c r="M100" s="113"/>
      <x:c r="N100" s="113"/>
      <x:c r="O100" s="113"/>
      <x:c r="P100" s="113"/>
      <x:c r="Q100" s="113"/>
      <x:c r="R100" s="113"/>
      <x:c r="S100" s="113"/>
      <x:c r="T100" s="113"/>
      <x:c r="U100" s="113"/>
      <x:c r="V100" s="113"/>
      <x:c r="W100" s="113"/>
      <x:c r="X100" s="113"/>
      <x:c r="Y100" s="113"/>
      <x:c r="Z100" s="113"/>
      <x:c r="AA100" s="113"/>
      <x:c r="AB100" s="113"/>
      <x:c r="AC100" s="113"/>
      <x:c r="AD100" s="113"/>
      <x:c r="AE100" s="113"/>
    </x:row>
    <x:row r="101">
      <x:c r="A101" s="113"/>
      <x:c r="B101" s="113"/>
      <x:c r="C101" s="113"/>
      <x:c r="D101" s="113"/>
      <x:c r="E101" s="113"/>
      <x:c r="F101" s="113"/>
      <x:c r="G101" s="113"/>
      <x:c r="H101" s="113"/>
      <x:c r="I101" s="113"/>
      <x:c r="J101" s="113"/>
      <x:c r="K101" s="113"/>
      <x:c r="L101" s="113"/>
      <x:c r="M101" s="113"/>
      <x:c r="N101" s="113"/>
      <x:c r="O101" s="113"/>
      <x:c r="P101" s="113"/>
      <x:c r="Q101" s="113"/>
      <x:c r="R101" s="113"/>
      <x:c r="S101" s="113"/>
      <x:c r="T101" s="113"/>
      <x:c r="U101" s="113"/>
      <x:c r="V101" s="113"/>
      <x:c r="W101" s="113"/>
      <x:c r="X101" s="113"/>
      <x:c r="Y101" s="113"/>
      <x:c r="Z101" s="113"/>
      <x:c r="AA101" s="113"/>
      <x:c r="AB101" s="113"/>
      <x:c r="AC101" s="113"/>
      <x:c r="AD101" s="113"/>
      <x:c r="AE101" s="113"/>
    </x:row>
    <x:row r="102">
      <x:c r="A102" s="113"/>
      <x:c r="B102" s="113"/>
      <x:c r="C102" s="113"/>
      <x:c r="D102" s="113"/>
      <x:c r="E102" s="113"/>
      <x:c r="F102" s="113"/>
      <x:c r="G102" s="113"/>
      <x:c r="H102" s="113"/>
      <x:c r="I102" s="113"/>
      <x:c r="J102" s="113"/>
      <x:c r="K102" s="113"/>
      <x:c r="L102" s="113"/>
      <x:c r="M102" s="113"/>
      <x:c r="N102" s="113"/>
      <x:c r="O102" s="113"/>
      <x:c r="P102" s="113"/>
      <x:c r="Q102" s="113"/>
      <x:c r="R102" s="113"/>
      <x:c r="S102" s="113"/>
      <x:c r="T102" s="113"/>
      <x:c r="U102" s="113"/>
      <x:c r="V102" s="113"/>
      <x:c r="W102" s="113"/>
      <x:c r="X102" s="113"/>
      <x:c r="Y102" s="113"/>
      <x:c r="Z102" s="113"/>
      <x:c r="AA102" s="113"/>
      <x:c r="AB102" s="113"/>
      <x:c r="AC102" s="113"/>
      <x:c r="AD102" s="113"/>
      <x:c r="AE102" s="113"/>
    </x:row>
    <x:row r="103">
      <x:c r="A103" s="113"/>
      <x:c r="B103" s="113"/>
      <x:c r="C103" s="113"/>
      <x:c r="D103" s="113"/>
      <x:c r="E103" s="113"/>
      <x:c r="F103" s="113"/>
      <x:c r="G103" s="113"/>
      <x:c r="H103" s="113"/>
      <x:c r="I103" s="113"/>
      <x:c r="J103" s="113"/>
      <x:c r="K103" s="113"/>
      <x:c r="L103" s="113"/>
      <x:c r="M103" s="113"/>
      <x:c r="N103" s="113"/>
      <x:c r="O103" s="113"/>
      <x:c r="P103" s="113"/>
      <x:c r="Q103" s="113"/>
      <x:c r="R103" s="113"/>
      <x:c r="S103" s="113"/>
      <x:c r="T103" s="113"/>
      <x:c r="U103" s="113"/>
      <x:c r="V103" s="113"/>
      <x:c r="W103" s="113"/>
      <x:c r="X103" s="113"/>
      <x:c r="Y103" s="113"/>
      <x:c r="Z103" s="113"/>
      <x:c r="AA103" s="113"/>
      <x:c r="AB103" s="113"/>
      <x:c r="AC103" s="113"/>
      <x:c r="AD103" s="113"/>
      <x:c r="AE103" s="113"/>
    </x:row>
    <x:row r="104">
      <x:c r="A104" s="113"/>
      <x:c r="B104" s="113"/>
      <x:c r="C104" s="113"/>
      <x:c r="D104" s="113"/>
      <x:c r="E104" s="113"/>
      <x:c r="F104" s="113"/>
      <x:c r="G104" s="113"/>
      <x:c r="H104" s="113"/>
      <x:c r="I104" s="113"/>
      <x:c r="J104" s="113"/>
      <x:c r="K104" s="113"/>
      <x:c r="L104" s="113"/>
      <x:c r="M104" s="113"/>
      <x:c r="N104" s="113"/>
      <x:c r="O104" s="113"/>
      <x:c r="P104" s="113"/>
      <x:c r="Q104" s="113"/>
      <x:c r="R104" s="113"/>
      <x:c r="S104" s="113"/>
      <x:c r="T104" s="113"/>
      <x:c r="U104" s="113"/>
      <x:c r="V104" s="113"/>
      <x:c r="W104" s="113"/>
      <x:c r="X104" s="113"/>
      <x:c r="Y104" s="113"/>
      <x:c r="Z104" s="113"/>
      <x:c r="AA104" s="113"/>
      <x:c r="AB104" s="113"/>
      <x:c r="AC104" s="113"/>
      <x:c r="AD104" s="113"/>
      <x:c r="AE104" s="113"/>
    </x:row>
    <x:row r="105">
      <x:c r="A105" s="113"/>
      <x:c r="B105" s="113"/>
      <x:c r="C105" s="113"/>
      <x:c r="D105" s="113"/>
      <x:c r="E105" s="113"/>
      <x:c r="F105" s="113"/>
      <x:c r="G105" s="113"/>
      <x:c r="H105" s="113"/>
      <x:c r="I105" s="113"/>
      <x:c r="J105" s="113"/>
      <x:c r="K105" s="113"/>
      <x:c r="L105" s="113"/>
      <x:c r="M105" s="113"/>
      <x:c r="N105" s="113"/>
      <x:c r="O105" s="113"/>
      <x:c r="P105" s="113"/>
      <x:c r="Q105" s="113"/>
      <x:c r="R105" s="113"/>
      <x:c r="S105" s="113"/>
      <x:c r="T105" s="113"/>
      <x:c r="U105" s="113"/>
      <x:c r="V105" s="113"/>
      <x:c r="W105" s="113"/>
      <x:c r="X105" s="113"/>
      <x:c r="Y105" s="113"/>
      <x:c r="Z105" s="113"/>
      <x:c r="AA105" s="113"/>
      <x:c r="AB105" s="113"/>
      <x:c r="AC105" s="113"/>
      <x:c r="AD105" s="113"/>
      <x:c r="AE105" s="113"/>
    </x:row>
    <x:row r="106">
      <x:c r="A106" s="113"/>
      <x:c r="B106" s="113"/>
      <x:c r="C106" s="113"/>
      <x:c r="D106" s="113"/>
      <x:c r="E106" s="113"/>
      <x:c r="F106" s="113"/>
      <x:c r="G106" s="113"/>
      <x:c r="H106" s="113"/>
      <x:c r="I106" s="113"/>
      <x:c r="J106" s="113"/>
      <x:c r="K106" s="113"/>
      <x:c r="L106" s="113"/>
      <x:c r="M106" s="113"/>
      <x:c r="N106" s="113"/>
      <x:c r="O106" s="113"/>
      <x:c r="P106" s="113"/>
      <x:c r="Q106" s="113"/>
      <x:c r="R106" s="113"/>
      <x:c r="S106" s="113"/>
      <x:c r="T106" s="113"/>
      <x:c r="U106" s="113"/>
      <x:c r="V106" s="113"/>
      <x:c r="W106" s="113"/>
      <x:c r="X106" s="113"/>
      <x:c r="Y106" s="113"/>
      <x:c r="Z106" s="113"/>
      <x:c r="AA106" s="113"/>
      <x:c r="AB106" s="113"/>
      <x:c r="AC106" s="113"/>
      <x:c r="AD106" s="113"/>
      <x:c r="AE106" s="113"/>
    </x:row>
    <x:row r="107">
      <x:c r="A107" s="113"/>
      <x:c r="B107" s="113"/>
      <x:c r="C107" s="113"/>
      <x:c r="D107" s="113"/>
      <x:c r="E107" s="113"/>
      <x:c r="F107" s="113"/>
      <x:c r="G107" s="113"/>
      <x:c r="H107" s="113"/>
      <x:c r="I107" s="113"/>
      <x:c r="J107" s="113"/>
      <x:c r="K107" s="113"/>
      <x:c r="L107" s="113"/>
      <x:c r="M107" s="113"/>
      <x:c r="N107" s="113"/>
      <x:c r="O107" s="113"/>
      <x:c r="P107" s="113"/>
      <x:c r="Q107" s="113"/>
      <x:c r="R107" s="113"/>
      <x:c r="S107" s="113"/>
      <x:c r="T107" s="113"/>
      <x:c r="U107" s="113"/>
      <x:c r="V107" s="113"/>
      <x:c r="W107" s="113"/>
      <x:c r="X107" s="113"/>
      <x:c r="Y107" s="113"/>
      <x:c r="Z107" s="113"/>
      <x:c r="AA107" s="113"/>
      <x:c r="AB107" s="113"/>
      <x:c r="AC107" s="113"/>
      <x:c r="AD107" s="113"/>
      <x:c r="AE107" s="113"/>
    </x:row>
    <x:row r="108">
      <x:c r="A108" s="113"/>
      <x:c r="B108" s="113"/>
      <x:c r="C108" s="113"/>
      <x:c r="D108" s="113"/>
      <x:c r="E108" s="113"/>
      <x:c r="F108" s="113"/>
      <x:c r="G108" s="113"/>
      <x:c r="H108" s="113"/>
      <x:c r="I108" s="113"/>
      <x:c r="J108" s="113"/>
      <x:c r="K108" s="113"/>
      <x:c r="L108" s="113"/>
      <x:c r="M108" s="113"/>
      <x:c r="N108" s="113"/>
      <x:c r="O108" s="113"/>
      <x:c r="P108" s="113"/>
      <x:c r="Q108" s="113"/>
      <x:c r="R108" s="113"/>
      <x:c r="S108" s="113"/>
      <x:c r="T108" s="113"/>
      <x:c r="U108" s="113"/>
      <x:c r="V108" s="113"/>
      <x:c r="W108" s="113"/>
      <x:c r="X108" s="113"/>
      <x:c r="Y108" s="113"/>
      <x:c r="Z108" s="113"/>
      <x:c r="AA108" s="113"/>
      <x:c r="AB108" s="113"/>
      <x:c r="AC108" s="113"/>
      <x:c r="AD108" s="113"/>
      <x:c r="AE108" s="113"/>
    </x:row>
    <x:row r="109">
      <x:c r="A109" s="113"/>
      <x:c r="B109" s="113"/>
      <x:c r="C109" s="113"/>
      <x:c r="D109" s="113"/>
      <x:c r="E109" s="113"/>
      <x:c r="F109" s="113"/>
      <x:c r="G109" s="113"/>
      <x:c r="H109" s="113"/>
      <x:c r="I109" s="113"/>
      <x:c r="J109" s="113"/>
      <x:c r="K109" s="113"/>
      <x:c r="L109" s="113"/>
      <x:c r="M109" s="113"/>
      <x:c r="N109" s="113"/>
      <x:c r="O109" s="113"/>
      <x:c r="P109" s="113"/>
      <x:c r="Q109" s="113"/>
      <x:c r="R109" s="113"/>
      <x:c r="S109" s="113"/>
      <x:c r="T109" s="113"/>
      <x:c r="U109" s="113"/>
      <x:c r="V109" s="113"/>
      <x:c r="W109" s="113"/>
      <x:c r="X109" s="113"/>
      <x:c r="Y109" s="113"/>
      <x:c r="Z109" s="113"/>
      <x:c r="AA109" s="113"/>
      <x:c r="AB109" s="113"/>
      <x:c r="AC109" s="113"/>
      <x:c r="AD109" s="113"/>
      <x:c r="AE109" s="113"/>
    </x:row>
    <x:row r="110">
      <x:c r="A110" s="113"/>
      <x:c r="B110" s="113"/>
      <x:c r="C110" s="113"/>
      <x:c r="D110" s="113"/>
      <x:c r="E110" s="113"/>
      <x:c r="F110" s="113"/>
      <x:c r="G110" s="113"/>
      <x:c r="H110" s="113"/>
      <x:c r="I110" s="113"/>
      <x:c r="J110" s="113"/>
      <x:c r="K110" s="113"/>
      <x:c r="L110" s="113"/>
      <x:c r="M110" s="113"/>
      <x:c r="N110" s="113"/>
      <x:c r="O110" s="113"/>
      <x:c r="P110" s="113"/>
      <x:c r="Q110" s="113"/>
      <x:c r="R110" s="113"/>
      <x:c r="S110" s="113"/>
      <x:c r="T110" s="113"/>
      <x:c r="U110" s="113"/>
      <x:c r="V110" s="113"/>
      <x:c r="W110" s="113"/>
      <x:c r="X110" s="113"/>
      <x:c r="Y110" s="113"/>
      <x:c r="Z110" s="113"/>
      <x:c r="AA110" s="113"/>
      <x:c r="AB110" s="113"/>
      <x:c r="AC110" s="113"/>
      <x:c r="AD110" s="113"/>
      <x:c r="AE110" s="113"/>
    </x:row>
    <x:row r="111">
      <x:c r="A111" s="113"/>
      <x:c r="B111" s="113"/>
      <x:c r="C111" s="113"/>
      <x:c r="D111" s="113"/>
      <x:c r="E111" s="113"/>
      <x:c r="F111" s="113"/>
      <x:c r="G111" s="113"/>
      <x:c r="H111" s="113"/>
      <x:c r="I111" s="113"/>
      <x:c r="J111" s="113"/>
      <x:c r="K111" s="113"/>
      <x:c r="L111" s="113"/>
      <x:c r="M111" s="113"/>
      <x:c r="N111" s="113"/>
      <x:c r="O111" s="113"/>
      <x:c r="P111" s="113"/>
      <x:c r="Q111" s="113"/>
      <x:c r="R111" s="113"/>
      <x:c r="S111" s="113"/>
      <x:c r="T111" s="113"/>
      <x:c r="U111" s="113"/>
      <x:c r="V111" s="113"/>
      <x:c r="W111" s="113"/>
      <x:c r="X111" s="113"/>
      <x:c r="Y111" s="113"/>
      <x:c r="Z111" s="113"/>
      <x:c r="AA111" s="113"/>
      <x:c r="AB111" s="113"/>
      <x:c r="AC111" s="113"/>
      <x:c r="AD111" s="113"/>
      <x:c r="AE111" s="113"/>
    </x:row>
    <x:row r="112">
      <x:c r="A112" s="113"/>
      <x:c r="B112" s="113"/>
      <x:c r="C112" s="113"/>
      <x:c r="D112" s="113"/>
      <x:c r="E112" s="113"/>
      <x:c r="F112" s="113"/>
      <x:c r="G112" s="113"/>
      <x:c r="H112" s="113"/>
      <x:c r="I112" s="113"/>
      <x:c r="J112" s="113"/>
      <x:c r="K112" s="113"/>
      <x:c r="L112" s="113"/>
      <x:c r="M112" s="113"/>
      <x:c r="N112" s="113"/>
      <x:c r="O112" s="113"/>
      <x:c r="P112" s="113"/>
      <x:c r="Q112" s="113"/>
      <x:c r="R112" s="113"/>
      <x:c r="S112" s="113"/>
      <x:c r="T112" s="113"/>
      <x:c r="U112" s="113"/>
      <x:c r="V112" s="113"/>
      <x:c r="W112" s="113"/>
      <x:c r="X112" s="113"/>
      <x:c r="Y112" s="113"/>
      <x:c r="Z112" s="113"/>
      <x:c r="AA112" s="113"/>
      <x:c r="AB112" s="113"/>
      <x:c r="AC112" s="113"/>
      <x:c r="AD112" s="113"/>
      <x:c r="AE112" s="113"/>
    </x:row>
    <x:row r="113">
      <x:c r="A113" s="113"/>
      <x:c r="B113" s="113"/>
      <x:c r="C113" s="113"/>
      <x:c r="D113" s="113"/>
      <x:c r="E113" s="113"/>
      <x:c r="F113" s="113"/>
      <x:c r="G113" s="113"/>
      <x:c r="H113" s="113"/>
      <x:c r="I113" s="113"/>
      <x:c r="J113" s="113"/>
      <x:c r="K113" s="113"/>
      <x:c r="L113" s="113"/>
      <x:c r="M113" s="113"/>
      <x:c r="N113" s="113"/>
      <x:c r="O113" s="113"/>
      <x:c r="P113" s="113"/>
      <x:c r="Q113" s="113"/>
      <x:c r="R113" s="113"/>
      <x:c r="S113" s="113"/>
      <x:c r="T113" s="113"/>
      <x:c r="U113" s="113"/>
      <x:c r="V113" s="113"/>
      <x:c r="W113" s="113"/>
      <x:c r="X113" s="113"/>
      <x:c r="Y113" s="113"/>
      <x:c r="Z113" s="113"/>
      <x:c r="AA113" s="113"/>
      <x:c r="AB113" s="113"/>
      <x:c r="AC113" s="113"/>
      <x:c r="AD113" s="113"/>
      <x:c r="AE113" s="113"/>
    </x:row>
    <x:row r="114">
      <x:c r="A114" s="113"/>
      <x:c r="B114" s="113"/>
      <x:c r="C114" s="113"/>
      <x:c r="D114" s="113"/>
      <x:c r="E114" s="113"/>
      <x:c r="F114" s="113"/>
      <x:c r="G114" s="113"/>
      <x:c r="H114" s="113"/>
      <x:c r="I114" s="113"/>
      <x:c r="J114" s="113"/>
      <x:c r="K114" s="113"/>
      <x:c r="L114" s="113"/>
      <x:c r="M114" s="113"/>
      <x:c r="N114" s="113"/>
      <x:c r="O114" s="113"/>
      <x:c r="P114" s="113"/>
      <x:c r="Q114" s="113"/>
      <x:c r="R114" s="113"/>
      <x:c r="S114" s="113"/>
      <x:c r="T114" s="113"/>
      <x:c r="U114" s="113"/>
      <x:c r="V114" s="113"/>
      <x:c r="W114" s="113"/>
      <x:c r="X114" s="113"/>
      <x:c r="Y114" s="113"/>
      <x:c r="Z114" s="113"/>
      <x:c r="AA114" s="113"/>
      <x:c r="AB114" s="113"/>
      <x:c r="AC114" s="113"/>
      <x:c r="AD114" s="113"/>
      <x:c r="AE114" s="113"/>
    </x:row>
    <x:row r="115">
      <x:c r="A115" s="113"/>
      <x:c r="B115" s="113"/>
      <x:c r="C115" s="113"/>
      <x:c r="D115" s="113"/>
      <x:c r="E115" s="113"/>
      <x:c r="F115" s="113"/>
      <x:c r="G115" s="113"/>
      <x:c r="H115" s="113"/>
      <x:c r="I115" s="113"/>
      <x:c r="J115" s="113"/>
      <x:c r="K115" s="113"/>
      <x:c r="L115" s="113"/>
      <x:c r="M115" s="113"/>
      <x:c r="N115" s="113"/>
      <x:c r="O115" s="113"/>
      <x:c r="P115" s="113"/>
      <x:c r="Q115" s="113"/>
      <x:c r="R115" s="113"/>
      <x:c r="S115" s="113"/>
      <x:c r="T115" s="113"/>
      <x:c r="U115" s="113"/>
      <x:c r="V115" s="113"/>
      <x:c r="W115" s="113"/>
      <x:c r="X115" s="113"/>
      <x:c r="Y115" s="113"/>
      <x:c r="Z115" s="113"/>
      <x:c r="AA115" s="113"/>
      <x:c r="AB115" s="113"/>
      <x:c r="AC115" s="113"/>
      <x:c r="AD115" s="113"/>
      <x:c r="AE115" s="113"/>
    </x:row>
    <x:row r="116">
      <x:c r="A116" s="113"/>
      <x:c r="B116" s="113"/>
      <x:c r="C116" s="113"/>
      <x:c r="D116" s="113"/>
      <x:c r="E116" s="113"/>
      <x:c r="F116" s="113"/>
      <x:c r="G116" s="113"/>
      <x:c r="H116" s="113"/>
      <x:c r="I116" s="113"/>
      <x:c r="J116" s="113"/>
      <x:c r="K116" s="113"/>
      <x:c r="L116" s="113"/>
      <x:c r="M116" s="113"/>
      <x:c r="N116" s="113"/>
      <x:c r="O116" s="113"/>
      <x:c r="P116" s="113"/>
      <x:c r="Q116" s="113"/>
      <x:c r="R116" s="113"/>
      <x:c r="S116" s="113"/>
      <x:c r="T116" s="113"/>
      <x:c r="U116" s="113"/>
      <x:c r="V116" s="113"/>
      <x:c r="W116" s="113"/>
      <x:c r="X116" s="113"/>
      <x:c r="Y116" s="113"/>
      <x:c r="Z116" s="113"/>
      <x:c r="AA116" s="113"/>
      <x:c r="AB116" s="113"/>
      <x:c r="AC116" s="113"/>
      <x:c r="AD116" s="113"/>
      <x:c r="AE116" s="113"/>
    </x:row>
    <x:row r="117">
      <x:c r="A117" s="113"/>
      <x:c r="B117" s="113"/>
      <x:c r="C117" s="113"/>
      <x:c r="D117" s="113"/>
      <x:c r="E117" s="113"/>
      <x:c r="F117" s="113"/>
      <x:c r="G117" s="113"/>
      <x:c r="H117" s="113"/>
      <x:c r="I117" s="113"/>
      <x:c r="J117" s="113"/>
      <x:c r="K117" s="113"/>
      <x:c r="L117" s="113"/>
      <x:c r="M117" s="113"/>
      <x:c r="N117" s="113"/>
      <x:c r="O117" s="113"/>
      <x:c r="P117" s="113"/>
      <x:c r="Q117" s="113"/>
      <x:c r="R117" s="113"/>
      <x:c r="S117" s="113"/>
      <x:c r="T117" s="113"/>
      <x:c r="U117" s="113"/>
      <x:c r="V117" s="113"/>
      <x:c r="W117" s="113"/>
      <x:c r="X117" s="113"/>
      <x:c r="Y117" s="113"/>
      <x:c r="Z117" s="113"/>
      <x:c r="AA117" s="113"/>
      <x:c r="AB117" s="113"/>
      <x:c r="AC117" s="113"/>
      <x:c r="AD117" s="113"/>
      <x:c r="AE117" s="113"/>
    </x:row>
    <x:row r="118">
      <x:c r="A118" s="113"/>
      <x:c r="B118" s="113"/>
      <x:c r="C118" s="113"/>
      <x:c r="D118" s="113"/>
      <x:c r="E118" s="113"/>
      <x:c r="F118" s="113"/>
      <x:c r="G118" s="113"/>
      <x:c r="H118" s="113"/>
      <x:c r="I118" s="113"/>
      <x:c r="J118" s="113"/>
      <x:c r="K118" s="113"/>
      <x:c r="L118" s="113"/>
      <x:c r="M118" s="113"/>
      <x:c r="N118" s="113"/>
      <x:c r="O118" s="113"/>
      <x:c r="P118" s="113"/>
      <x:c r="Q118" s="113"/>
      <x:c r="R118" s="113"/>
      <x:c r="S118" s="113"/>
      <x:c r="T118" s="113"/>
      <x:c r="U118" s="113"/>
      <x:c r="V118" s="113"/>
      <x:c r="W118" s="113"/>
      <x:c r="X118" s="113"/>
      <x:c r="Y118" s="113"/>
      <x:c r="Z118" s="113"/>
      <x:c r="AA118" s="113"/>
      <x:c r="AB118" s="113"/>
      <x:c r="AC118" s="113"/>
      <x:c r="AD118" s="113"/>
      <x:c r="AE118" s="113"/>
    </x:row>
    <x:row r="119">
      <x:c r="A119" s="113"/>
      <x:c r="B119" s="113"/>
      <x:c r="C119" s="113"/>
      <x:c r="D119" s="113"/>
      <x:c r="E119" s="113"/>
      <x:c r="F119" s="113"/>
      <x:c r="G119" s="113"/>
      <x:c r="H119" s="113"/>
      <x:c r="I119" s="113"/>
      <x:c r="J119" s="113"/>
      <x:c r="K119" s="113"/>
      <x:c r="L119" s="113"/>
      <x:c r="M119" s="113"/>
      <x:c r="N119" s="113"/>
      <x:c r="O119" s="113"/>
      <x:c r="P119" s="113"/>
      <x:c r="Q119" s="113"/>
      <x:c r="R119" s="113"/>
      <x:c r="S119" s="113"/>
      <x:c r="T119" s="113"/>
      <x:c r="U119" s="113"/>
      <x:c r="V119" s="113"/>
      <x:c r="W119" s="113"/>
      <x:c r="X119" s="113"/>
      <x:c r="Y119" s="113"/>
      <x:c r="Z119" s="113"/>
      <x:c r="AA119" s="113"/>
      <x:c r="AB119" s="113"/>
      <x:c r="AC119" s="113"/>
      <x:c r="AD119" s="113"/>
      <x:c r="AE119" s="113"/>
    </x:row>
    <x:row r="120">
      <x:c r="A120" s="113"/>
      <x:c r="B120" s="113"/>
      <x:c r="C120" s="113"/>
      <x:c r="D120" s="113"/>
      <x:c r="E120" s="113"/>
      <x:c r="F120" s="113"/>
      <x:c r="G120" s="113"/>
      <x:c r="H120" s="113"/>
      <x:c r="I120" s="113"/>
      <x:c r="J120" s="113"/>
      <x:c r="K120" s="113"/>
      <x:c r="L120" s="113"/>
      <x:c r="M120" s="113"/>
      <x:c r="N120" s="113"/>
      <x:c r="O120" s="113"/>
      <x:c r="P120" s="113"/>
      <x:c r="Q120" s="113"/>
      <x:c r="R120" s="113"/>
      <x:c r="S120" s="113"/>
      <x:c r="T120" s="113"/>
      <x:c r="U120" s="113"/>
      <x:c r="V120" s="113"/>
      <x:c r="W120" s="113"/>
      <x:c r="X120" s="113"/>
      <x:c r="Y120" s="113"/>
      <x:c r="Z120" s="113"/>
      <x:c r="AA120" s="113"/>
      <x:c r="AB120" s="113"/>
      <x:c r="AC120" s="113"/>
      <x:c r="AD120" s="113"/>
      <x:c r="AE120" s="113"/>
    </x:row>
    <x:row r="121">
      <x:c r="A121" s="113"/>
      <x:c r="B121" s="113"/>
      <x:c r="C121" s="113"/>
      <x:c r="D121" s="113"/>
      <x:c r="E121" s="113"/>
      <x:c r="F121" s="113"/>
      <x:c r="G121" s="113"/>
      <x:c r="H121" s="113"/>
      <x:c r="I121" s="113"/>
      <x:c r="J121" s="113"/>
      <x:c r="K121" s="113"/>
      <x:c r="L121" s="113"/>
      <x:c r="M121" s="113"/>
      <x:c r="N121" s="113"/>
      <x:c r="O121" s="113"/>
      <x:c r="P121" s="113"/>
      <x:c r="Q121" s="113"/>
      <x:c r="R121" s="113"/>
      <x:c r="S121" s="113"/>
      <x:c r="T121" s="113"/>
      <x:c r="U121" s="113"/>
      <x:c r="V121" s="113"/>
      <x:c r="W121" s="113"/>
      <x:c r="X121" s="113"/>
      <x:c r="Y121" s="113"/>
      <x:c r="Z121" s="113"/>
      <x:c r="AA121" s="113"/>
      <x:c r="AB121" s="113"/>
      <x:c r="AC121" s="113"/>
      <x:c r="AD121" s="113"/>
      <x:c r="AE121" s="113"/>
    </x:row>
    <x:row r="122">
      <x:c r="A122" s="113"/>
      <x:c r="B122" s="113"/>
      <x:c r="C122" s="113"/>
      <x:c r="D122" s="113"/>
      <x:c r="E122" s="113"/>
      <x:c r="F122" s="113"/>
      <x:c r="G122" s="113"/>
      <x:c r="H122" s="113"/>
      <x:c r="I122" s="113"/>
      <x:c r="J122" s="113"/>
      <x:c r="K122" s="113"/>
      <x:c r="L122" s="113"/>
      <x:c r="M122" s="113"/>
      <x:c r="N122" s="113"/>
      <x:c r="O122" s="113"/>
      <x:c r="P122" s="113"/>
      <x:c r="Q122" s="113"/>
      <x:c r="R122" s="113"/>
      <x:c r="S122" s="113"/>
      <x:c r="T122" s="113"/>
      <x:c r="U122" s="113"/>
      <x:c r="V122" s="113"/>
      <x:c r="W122" s="113"/>
      <x:c r="X122" s="113"/>
      <x:c r="Y122" s="113"/>
      <x:c r="Z122" s="113"/>
      <x:c r="AA122" s="113"/>
      <x:c r="AB122" s="113"/>
      <x:c r="AC122" s="113"/>
      <x:c r="AD122" s="113"/>
      <x:c r="AE122" s="113"/>
    </x:row>
    <x:row r="123">
      <x:c r="A123" s="113"/>
      <x:c r="B123" s="113"/>
      <x:c r="C123" s="113"/>
      <x:c r="D123" s="113"/>
      <x:c r="E123" s="113"/>
      <x:c r="F123" s="113"/>
      <x:c r="G123" s="113"/>
      <x:c r="H123" s="113"/>
      <x:c r="I123" s="113"/>
      <x:c r="J123" s="113"/>
      <x:c r="K123" s="113"/>
      <x:c r="L123" s="113"/>
      <x:c r="M123" s="113"/>
      <x:c r="N123" s="113"/>
      <x:c r="O123" s="113"/>
      <x:c r="P123" s="113"/>
      <x:c r="Q123" s="113"/>
      <x:c r="R123" s="113"/>
      <x:c r="S123" s="113"/>
      <x:c r="T123" s="113"/>
      <x:c r="U123" s="113"/>
      <x:c r="V123" s="113"/>
      <x:c r="W123" s="113"/>
      <x:c r="X123" s="113"/>
      <x:c r="Y123" s="113"/>
      <x:c r="Z123" s="113"/>
      <x:c r="AA123" s="113"/>
      <x:c r="AB123" s="113"/>
      <x:c r="AC123" s="113"/>
      <x:c r="AD123" s="113"/>
      <x:c r="AE123" s="113"/>
    </x:row>
    <x:row r="124">
      <x:c r="A124" s="113"/>
      <x:c r="B124" s="113"/>
      <x:c r="C124" s="113"/>
      <x:c r="D124" s="113"/>
      <x:c r="E124" s="113"/>
      <x:c r="F124" s="113"/>
      <x:c r="G124" s="113"/>
      <x:c r="H124" s="113"/>
      <x:c r="I124" s="113"/>
      <x:c r="J124" s="113"/>
      <x:c r="K124" s="113"/>
      <x:c r="L124" s="113"/>
      <x:c r="M124" s="113"/>
      <x:c r="N124" s="113"/>
      <x:c r="O124" s="113"/>
      <x:c r="P124" s="113"/>
      <x:c r="Q124" s="113"/>
      <x:c r="R124" s="113"/>
      <x:c r="S124" s="113"/>
      <x:c r="T124" s="113"/>
      <x:c r="U124" s="113"/>
      <x:c r="V124" s="113"/>
      <x:c r="W124" s="113"/>
      <x:c r="X124" s="113"/>
      <x:c r="Y124" s="113"/>
      <x:c r="Z124" s="113"/>
      <x:c r="AA124" s="113"/>
      <x:c r="AB124" s="113"/>
      <x:c r="AC124" s="113"/>
      <x:c r="AD124" s="113"/>
      <x:c r="AE124" s="113"/>
    </x:row>
    <x:row r="125">
      <x:c r="A125" s="113"/>
      <x:c r="B125" s="113"/>
      <x:c r="C125" s="113"/>
      <x:c r="D125" s="113"/>
      <x:c r="E125" s="113"/>
      <x:c r="F125" s="113"/>
      <x:c r="G125" s="113"/>
      <x:c r="H125" s="113"/>
      <x:c r="I125" s="113"/>
      <x:c r="J125" s="113"/>
      <x:c r="K125" s="113"/>
      <x:c r="L125" s="113"/>
      <x:c r="M125" s="113"/>
      <x:c r="N125" s="113"/>
      <x:c r="O125" s="113"/>
      <x:c r="P125" s="113"/>
      <x:c r="Q125" s="113"/>
      <x:c r="R125" s="113"/>
      <x:c r="S125" s="113"/>
      <x:c r="T125" s="113"/>
      <x:c r="U125" s="113"/>
      <x:c r="V125" s="113"/>
      <x:c r="W125" s="113"/>
      <x:c r="X125" s="113"/>
      <x:c r="Y125" s="113"/>
      <x:c r="Z125" s="113"/>
      <x:c r="AA125" s="113"/>
      <x:c r="AB125" s="113"/>
      <x:c r="AC125" s="113"/>
      <x:c r="AD125" s="113"/>
      <x:c r="AE125" s="113"/>
    </x:row>
    <x:row r="126">
      <x:c r="A126" s="113"/>
      <x:c r="B126" s="113"/>
      <x:c r="C126" s="113"/>
      <x:c r="D126" s="113"/>
      <x:c r="E126" s="113"/>
      <x:c r="F126" s="113"/>
      <x:c r="G126" s="113"/>
      <x:c r="H126" s="113"/>
      <x:c r="I126" s="113"/>
      <x:c r="J126" s="113"/>
      <x:c r="K126" s="113"/>
      <x:c r="L126" s="113"/>
      <x:c r="M126" s="113"/>
      <x:c r="N126" s="113"/>
      <x:c r="O126" s="113"/>
      <x:c r="P126" s="113"/>
      <x:c r="Q126" s="113"/>
      <x:c r="R126" s="113"/>
      <x:c r="S126" s="113"/>
      <x:c r="T126" s="113"/>
      <x:c r="U126" s="113"/>
      <x:c r="V126" s="113"/>
      <x:c r="W126" s="113"/>
      <x:c r="X126" s="113"/>
      <x:c r="Y126" s="113"/>
      <x:c r="Z126" s="113"/>
      <x:c r="AA126" s="113"/>
      <x:c r="AB126" s="113"/>
      <x:c r="AC126" s="113"/>
      <x:c r="AD126" s="113"/>
      <x:c r="AE126" s="113"/>
    </x:row>
    <x:row r="127">
      <x:c r="A127" s="113"/>
      <x:c r="B127" s="113"/>
      <x:c r="C127" s="113"/>
      <x:c r="D127" s="113"/>
      <x:c r="E127" s="113"/>
      <x:c r="F127" s="113"/>
      <x:c r="G127" s="113"/>
      <x:c r="H127" s="113"/>
      <x:c r="I127" s="113"/>
      <x:c r="J127" s="113"/>
      <x:c r="K127" s="113"/>
      <x:c r="L127" s="113"/>
      <x:c r="M127" s="113"/>
      <x:c r="N127" s="113"/>
      <x:c r="O127" s="113"/>
      <x:c r="P127" s="113"/>
      <x:c r="Q127" s="113"/>
      <x:c r="R127" s="113"/>
      <x:c r="S127" s="113"/>
      <x:c r="T127" s="113"/>
      <x:c r="U127" s="113"/>
      <x:c r="V127" s="113"/>
      <x:c r="W127" s="113"/>
      <x:c r="X127" s="113"/>
      <x:c r="Y127" s="113"/>
      <x:c r="Z127" s="113"/>
      <x:c r="AA127" s="113"/>
      <x:c r="AB127" s="113"/>
      <x:c r="AC127" s="113"/>
      <x:c r="AD127" s="113"/>
      <x:c r="AE127" s="113"/>
    </x:row>
    <x:row r="128">
      <x:c r="A128" s="113"/>
      <x:c r="B128" s="113"/>
      <x:c r="C128" s="113"/>
      <x:c r="D128" s="113"/>
      <x:c r="E128" s="113"/>
      <x:c r="F128" s="113"/>
      <x:c r="G128" s="113"/>
      <x:c r="H128" s="113"/>
      <x:c r="I128" s="113"/>
      <x:c r="J128" s="113"/>
      <x:c r="K128" s="113"/>
      <x:c r="L128" s="113"/>
      <x:c r="M128" s="113"/>
      <x:c r="N128" s="113"/>
      <x:c r="O128" s="113"/>
      <x:c r="P128" s="113"/>
      <x:c r="Q128" s="113"/>
      <x:c r="R128" s="113"/>
      <x:c r="S128" s="113"/>
      <x:c r="T128" s="113"/>
      <x:c r="U128" s="113"/>
      <x:c r="V128" s="113"/>
      <x:c r="W128" s="113"/>
      <x:c r="X128" s="113"/>
      <x:c r="Y128" s="113"/>
      <x:c r="Z128" s="113"/>
      <x:c r="AA128" s="113"/>
      <x:c r="AB128" s="113"/>
      <x:c r="AC128" s="113"/>
      <x:c r="AD128" s="113"/>
      <x:c r="AE128" s="113"/>
    </x:row>
    <x:row r="129">
      <x:c r="A129" s="113"/>
      <x:c r="B129" s="113"/>
      <x:c r="C129" s="113"/>
      <x:c r="D129" s="113"/>
      <x:c r="E129" s="113"/>
      <x:c r="F129" s="113"/>
      <x:c r="G129" s="113"/>
      <x:c r="H129" s="113"/>
      <x:c r="I129" s="113"/>
      <x:c r="J129" s="113"/>
      <x:c r="K129" s="113"/>
      <x:c r="L129" s="113"/>
      <x:c r="M129" s="113"/>
      <x:c r="N129" s="113"/>
      <x:c r="O129" s="113"/>
      <x:c r="P129" s="113"/>
      <x:c r="Q129" s="113"/>
      <x:c r="R129" s="113"/>
      <x:c r="S129" s="113"/>
      <x:c r="T129" s="113"/>
      <x:c r="U129" s="113"/>
      <x:c r="V129" s="113"/>
      <x:c r="W129" s="113"/>
      <x:c r="X129" s="113"/>
      <x:c r="Y129" s="113"/>
      <x:c r="Z129" s="113"/>
      <x:c r="AA129" s="113"/>
      <x:c r="AB129" s="113"/>
      <x:c r="AC129" s="113"/>
      <x:c r="AD129" s="113"/>
      <x:c r="AE129" s="113"/>
    </x:row>
    <x:row r="130">
      <x:c r="A130" s="113"/>
      <x:c r="B130" s="113"/>
      <x:c r="C130" s="113"/>
      <x:c r="D130" s="113"/>
      <x:c r="E130" s="113"/>
      <x:c r="F130" s="113"/>
      <x:c r="G130" s="113"/>
      <x:c r="H130" s="113"/>
      <x:c r="I130" s="113"/>
      <x:c r="J130" s="113"/>
      <x:c r="K130" s="113"/>
      <x:c r="L130" s="113"/>
      <x:c r="M130" s="113"/>
      <x:c r="N130" s="113"/>
      <x:c r="O130" s="113"/>
      <x:c r="P130" s="113"/>
      <x:c r="Q130" s="113"/>
      <x:c r="R130" s="113"/>
      <x:c r="S130" s="113"/>
      <x:c r="T130" s="113"/>
      <x:c r="U130" s="113"/>
      <x:c r="V130" s="113"/>
      <x:c r="W130" s="113"/>
      <x:c r="X130" s="113"/>
      <x:c r="Y130" s="113"/>
      <x:c r="Z130" s="113"/>
      <x:c r="AA130" s="113"/>
      <x:c r="AB130" s="113"/>
      <x:c r="AC130" s="113"/>
      <x:c r="AD130" s="113"/>
      <x:c r="AE130" s="113"/>
    </x:row>
    <x:row r="131">
      <x:c r="A131" s="113"/>
      <x:c r="B131" s="113"/>
      <x:c r="C131" s="113"/>
      <x:c r="D131" s="113"/>
      <x:c r="E131" s="113"/>
      <x:c r="F131" s="113"/>
      <x:c r="G131" s="113"/>
      <x:c r="H131" s="113"/>
      <x:c r="I131" s="113"/>
      <x:c r="J131" s="113"/>
      <x:c r="K131" s="113"/>
      <x:c r="L131" s="113"/>
      <x:c r="M131" s="113"/>
      <x:c r="N131" s="113"/>
      <x:c r="O131" s="113"/>
      <x:c r="P131" s="113"/>
      <x:c r="Q131" s="113"/>
      <x:c r="R131" s="113"/>
      <x:c r="S131" s="113"/>
      <x:c r="T131" s="113"/>
      <x:c r="U131" s="113"/>
      <x:c r="V131" s="113"/>
      <x:c r="W131" s="113"/>
      <x:c r="X131" s="113"/>
      <x:c r="Y131" s="113"/>
      <x:c r="Z131" s="113"/>
      <x:c r="AA131" s="113"/>
      <x:c r="AB131" s="113"/>
      <x:c r="AC131" s="113"/>
      <x:c r="AD131" s="113"/>
      <x:c r="AE131" s="113"/>
    </x:row>
    <x:row r="132">
      <x:c r="A132" s="113"/>
      <x:c r="B132" s="113"/>
      <x:c r="C132" s="113"/>
      <x:c r="D132" s="113"/>
      <x:c r="E132" s="113"/>
      <x:c r="F132" s="113"/>
      <x:c r="G132" s="113"/>
      <x:c r="H132" s="113"/>
      <x:c r="I132" s="113"/>
      <x:c r="J132" s="113"/>
      <x:c r="K132" s="113"/>
      <x:c r="L132" s="113"/>
      <x:c r="M132" s="113"/>
      <x:c r="N132" s="113"/>
      <x:c r="O132" s="113"/>
      <x:c r="P132" s="113"/>
      <x:c r="Q132" s="113"/>
      <x:c r="R132" s="113"/>
      <x:c r="S132" s="113"/>
      <x:c r="T132" s="113"/>
      <x:c r="U132" s="113"/>
      <x:c r="V132" s="113"/>
      <x:c r="W132" s="113"/>
      <x:c r="X132" s="113"/>
      <x:c r="Y132" s="113"/>
      <x:c r="Z132" s="113"/>
      <x:c r="AA132" s="113"/>
      <x:c r="AB132" s="113"/>
      <x:c r="AC132" s="113"/>
      <x:c r="AD132" s="113"/>
      <x:c r="AE132" s="113"/>
    </x:row>
    <x:row r="133">
      <x:c r="A133" s="113"/>
      <x:c r="B133" s="113"/>
      <x:c r="C133" s="113"/>
      <x:c r="D133" s="113"/>
      <x:c r="E133" s="113"/>
      <x:c r="F133" s="113"/>
      <x:c r="G133" s="113"/>
      <x:c r="H133" s="113"/>
      <x:c r="I133" s="113"/>
      <x:c r="J133" s="113"/>
      <x:c r="K133" s="113"/>
      <x:c r="L133" s="113"/>
      <x:c r="M133" s="113"/>
      <x:c r="N133" s="113"/>
      <x:c r="O133" s="113"/>
      <x:c r="P133" s="113"/>
      <x:c r="Q133" s="113"/>
      <x:c r="R133" s="113"/>
      <x:c r="S133" s="113"/>
      <x:c r="T133" s="113"/>
      <x:c r="U133" s="113"/>
      <x:c r="V133" s="113"/>
      <x:c r="W133" s="113"/>
      <x:c r="X133" s="113"/>
      <x:c r="Y133" s="113"/>
      <x:c r="Z133" s="113"/>
      <x:c r="AA133" s="113"/>
      <x:c r="AB133" s="113"/>
      <x:c r="AC133" s="113"/>
      <x:c r="AD133" s="113"/>
      <x:c r="AE133" s="113"/>
    </x:row>
    <x:row r="134">
      <x:c r="A134" s="113"/>
      <x:c r="B134" s="113"/>
      <x:c r="C134" s="113"/>
      <x:c r="D134" s="113"/>
      <x:c r="E134" s="113"/>
      <x:c r="F134" s="113"/>
      <x:c r="G134" s="113"/>
      <x:c r="H134" s="113"/>
      <x:c r="I134" s="113"/>
      <x:c r="J134" s="113"/>
      <x:c r="K134" s="113"/>
      <x:c r="L134" s="113"/>
      <x:c r="M134" s="113"/>
      <x:c r="N134" s="113"/>
      <x:c r="O134" s="113"/>
      <x:c r="P134" s="113"/>
      <x:c r="Q134" s="113"/>
      <x:c r="R134" s="113"/>
      <x:c r="S134" s="113"/>
      <x:c r="T134" s="113"/>
      <x:c r="U134" s="113"/>
      <x:c r="V134" s="113"/>
      <x:c r="W134" s="113"/>
      <x:c r="X134" s="113"/>
      <x:c r="Y134" s="113"/>
      <x:c r="Z134" s="113"/>
      <x:c r="AA134" s="113"/>
      <x:c r="AB134" s="113"/>
      <x:c r="AC134" s="113"/>
      <x:c r="AD134" s="113"/>
      <x:c r="AE134" s="113"/>
    </x:row>
    <x:row r="135">
      <x:c r="A135" s="113"/>
      <x:c r="B135" s="113"/>
      <x:c r="C135" s="113"/>
      <x:c r="D135" s="113"/>
      <x:c r="E135" s="113"/>
      <x:c r="F135" s="113"/>
      <x:c r="G135" s="113"/>
      <x:c r="H135" s="113"/>
      <x:c r="I135" s="113"/>
      <x:c r="J135" s="113"/>
      <x:c r="K135" s="113"/>
      <x:c r="L135" s="113"/>
      <x:c r="M135" s="113"/>
      <x:c r="N135" s="113"/>
      <x:c r="O135" s="113"/>
      <x:c r="P135" s="113"/>
      <x:c r="Q135" s="113"/>
      <x:c r="R135" s="113"/>
      <x:c r="S135" s="113"/>
      <x:c r="T135" s="113"/>
      <x:c r="U135" s="113"/>
      <x:c r="V135" s="113"/>
      <x:c r="W135" s="113"/>
      <x:c r="X135" s="113"/>
      <x:c r="Y135" s="113"/>
      <x:c r="Z135" s="113"/>
      <x:c r="AA135" s="113"/>
      <x:c r="AB135" s="113"/>
      <x:c r="AC135" s="113"/>
      <x:c r="AD135" s="113"/>
      <x:c r="AE135" s="113"/>
    </x:row>
    <x:row r="136">
      <x:c r="A136" s="113"/>
      <x:c r="B136" s="113"/>
      <x:c r="C136" s="113"/>
      <x:c r="D136" s="113"/>
      <x:c r="E136" s="113"/>
      <x:c r="F136" s="113"/>
      <x:c r="G136" s="113"/>
      <x:c r="H136" s="113"/>
      <x:c r="I136" s="113"/>
      <x:c r="J136" s="113"/>
      <x:c r="K136" s="113"/>
      <x:c r="L136" s="113"/>
      <x:c r="M136" s="113"/>
      <x:c r="N136" s="113"/>
      <x:c r="O136" s="113"/>
      <x:c r="P136" s="113"/>
      <x:c r="Q136" s="113"/>
      <x:c r="R136" s="113"/>
      <x:c r="S136" s="113"/>
      <x:c r="T136" s="113"/>
      <x:c r="U136" s="113"/>
      <x:c r="V136" s="113"/>
      <x:c r="W136" s="113"/>
      <x:c r="X136" s="113"/>
      <x:c r="Y136" s="113"/>
      <x:c r="Z136" s="113"/>
      <x:c r="AA136" s="113"/>
      <x:c r="AB136" s="113"/>
      <x:c r="AC136" s="113"/>
      <x:c r="AD136" s="113"/>
      <x:c r="AE136" s="113"/>
    </x:row>
    <x:row r="137">
      <x:c r="A137" s="113"/>
      <x:c r="B137" s="113"/>
      <x:c r="C137" s="113"/>
      <x:c r="D137" s="113"/>
      <x:c r="E137" s="113"/>
      <x:c r="F137" s="113"/>
      <x:c r="G137" s="113"/>
      <x:c r="H137" s="113"/>
      <x:c r="I137" s="113"/>
      <x:c r="J137" s="113"/>
      <x:c r="K137" s="113"/>
      <x:c r="L137" s="113"/>
      <x:c r="M137" s="113"/>
      <x:c r="N137" s="113"/>
      <x:c r="O137" s="113"/>
      <x:c r="P137" s="113"/>
      <x:c r="Q137" s="113"/>
      <x:c r="R137" s="113"/>
      <x:c r="S137" s="113"/>
      <x:c r="T137" s="113"/>
      <x:c r="U137" s="113"/>
      <x:c r="V137" s="113"/>
      <x:c r="W137" s="113"/>
      <x:c r="X137" s="113"/>
      <x:c r="Y137" s="113"/>
      <x:c r="Z137" s="113"/>
      <x:c r="AA137" s="113"/>
      <x:c r="AB137" s="113"/>
      <x:c r="AC137" s="113"/>
      <x:c r="AD137" s="113"/>
      <x:c r="AE137" s="113"/>
    </x:row>
    <x:row r="138">
      <x:c r="A138" s="113"/>
      <x:c r="B138" s="113"/>
      <x:c r="C138" s="113"/>
      <x:c r="D138" s="113"/>
      <x:c r="E138" s="113"/>
      <x:c r="F138" s="113"/>
      <x:c r="G138" s="113"/>
      <x:c r="H138" s="113"/>
      <x:c r="I138" s="113"/>
      <x:c r="J138" s="113"/>
      <x:c r="K138" s="113"/>
      <x:c r="L138" s="113"/>
      <x:c r="M138" s="113"/>
      <x:c r="N138" s="113"/>
      <x:c r="O138" s="113"/>
      <x:c r="P138" s="113"/>
      <x:c r="Q138" s="113"/>
      <x:c r="R138" s="113"/>
      <x:c r="S138" s="113"/>
      <x:c r="T138" s="113"/>
      <x:c r="U138" s="113"/>
      <x:c r="V138" s="113"/>
      <x:c r="W138" s="113"/>
      <x:c r="X138" s="113"/>
      <x:c r="Y138" s="113"/>
      <x:c r="Z138" s="113"/>
      <x:c r="AA138" s="113"/>
      <x:c r="AB138" s="113"/>
      <x:c r="AC138" s="113"/>
      <x:c r="AD138" s="113"/>
      <x:c r="AE138" s="113"/>
    </x:row>
    <x:row r="139">
      <x:c r="A139" s="113"/>
      <x:c r="B139" s="113"/>
      <x:c r="C139" s="113"/>
      <x:c r="D139" s="113"/>
      <x:c r="E139" s="113"/>
      <x:c r="F139" s="113"/>
      <x:c r="G139" s="113"/>
      <x:c r="H139" s="113"/>
      <x:c r="I139" s="113"/>
      <x:c r="J139" s="113"/>
      <x:c r="K139" s="113"/>
      <x:c r="L139" s="113"/>
      <x:c r="M139" s="113"/>
      <x:c r="N139" s="113"/>
      <x:c r="O139" s="113"/>
      <x:c r="P139" s="113"/>
      <x:c r="Q139" s="113"/>
      <x:c r="R139" s="113"/>
      <x:c r="S139" s="113"/>
      <x:c r="T139" s="113"/>
      <x:c r="U139" s="113"/>
      <x:c r="V139" s="113"/>
      <x:c r="W139" s="113"/>
      <x:c r="X139" s="113"/>
      <x:c r="Y139" s="113"/>
      <x:c r="Z139" s="113"/>
      <x:c r="AA139" s="113"/>
      <x:c r="AB139" s="113"/>
      <x:c r="AC139" s="113"/>
      <x:c r="AD139" s="113"/>
      <x:c r="AE139" s="113"/>
    </x:row>
    <x:row r="140">
      <x:c r="A140" s="113"/>
      <x:c r="B140" s="113"/>
      <x:c r="C140" s="113"/>
      <x:c r="D140" s="113"/>
      <x:c r="E140" s="113"/>
      <x:c r="F140" s="113"/>
      <x:c r="G140" s="113"/>
      <x:c r="H140" s="113"/>
      <x:c r="I140" s="113"/>
      <x:c r="J140" s="113"/>
      <x:c r="K140" s="113"/>
      <x:c r="L140" s="113"/>
      <x:c r="M140" s="113"/>
      <x:c r="N140" s="113"/>
      <x:c r="O140" s="113"/>
      <x:c r="P140" s="113"/>
      <x:c r="Q140" s="113"/>
      <x:c r="R140" s="113"/>
      <x:c r="S140" s="113"/>
      <x:c r="T140" s="113"/>
      <x:c r="U140" s="113"/>
      <x:c r="V140" s="113"/>
      <x:c r="W140" s="113"/>
      <x:c r="X140" s="113"/>
      <x:c r="Y140" s="113"/>
      <x:c r="Z140" s="113"/>
      <x:c r="AA140" s="113"/>
      <x:c r="AB140" s="113"/>
      <x:c r="AC140" s="113"/>
      <x:c r="AD140" s="113"/>
      <x:c r="AE140" s="113"/>
    </x:row>
    <x:row r="141">
      <x:c r="A141" s="113"/>
      <x:c r="B141" s="113"/>
      <x:c r="C141" s="113"/>
      <x:c r="D141" s="113"/>
      <x:c r="E141" s="113"/>
      <x:c r="F141" s="113"/>
      <x:c r="G141" s="113"/>
      <x:c r="H141" s="113"/>
      <x:c r="I141" s="113"/>
      <x:c r="J141" s="113"/>
      <x:c r="K141" s="113"/>
      <x:c r="L141" s="113"/>
      <x:c r="M141" s="113"/>
      <x:c r="N141" s="113"/>
      <x:c r="O141" s="113"/>
      <x:c r="P141" s="113"/>
      <x:c r="Q141" s="113"/>
      <x:c r="R141" s="113"/>
      <x:c r="S141" s="113"/>
      <x:c r="T141" s="113"/>
      <x:c r="U141" s="113"/>
      <x:c r="V141" s="113"/>
      <x:c r="W141" s="113"/>
      <x:c r="X141" s="113"/>
      <x:c r="Y141" s="113"/>
      <x:c r="Z141" s="113"/>
      <x:c r="AA141" s="113"/>
      <x:c r="AB141" s="113"/>
      <x:c r="AC141" s="113"/>
      <x:c r="AD141" s="113"/>
      <x:c r="AE141" s="113"/>
    </x:row>
    <x:row r="142">
      <x:c r="A142" s="113"/>
      <x:c r="B142" s="113"/>
      <x:c r="C142" s="113"/>
      <x:c r="D142" s="113"/>
      <x:c r="E142" s="113"/>
      <x:c r="F142" s="113"/>
      <x:c r="G142" s="113"/>
      <x:c r="H142" s="113"/>
      <x:c r="I142" s="113"/>
      <x:c r="J142" s="113"/>
      <x:c r="K142" s="113"/>
      <x:c r="L142" s="113"/>
      <x:c r="M142" s="113"/>
      <x:c r="N142" s="113"/>
      <x:c r="O142" s="113"/>
      <x:c r="P142" s="113"/>
      <x:c r="Q142" s="113"/>
      <x:c r="R142" s="113"/>
      <x:c r="S142" s="113"/>
      <x:c r="T142" s="113"/>
      <x:c r="U142" s="113"/>
      <x:c r="V142" s="113"/>
      <x:c r="W142" s="113"/>
      <x:c r="X142" s="113"/>
      <x:c r="Y142" s="113"/>
      <x:c r="Z142" s="113"/>
      <x:c r="AA142" s="113"/>
      <x:c r="AB142" s="113"/>
      <x:c r="AC142" s="113"/>
      <x:c r="AD142" s="113"/>
      <x:c r="AE142" s="113"/>
    </x:row>
    <x:row r="143">
      <x:c r="A143" s="113"/>
      <x:c r="B143" s="113"/>
      <x:c r="C143" s="113"/>
      <x:c r="D143" s="113"/>
      <x:c r="E143" s="113"/>
      <x:c r="F143" s="113"/>
      <x:c r="G143" s="113"/>
      <x:c r="H143" s="113"/>
      <x:c r="I143" s="113"/>
      <x:c r="J143" s="113"/>
      <x:c r="K143" s="113"/>
      <x:c r="L143" s="113"/>
      <x:c r="M143" s="113"/>
      <x:c r="N143" s="113"/>
      <x:c r="O143" s="113"/>
      <x:c r="P143" s="113"/>
      <x:c r="Q143" s="113"/>
      <x:c r="R143" s="113"/>
      <x:c r="S143" s="113"/>
      <x:c r="T143" s="113"/>
      <x:c r="U143" s="113"/>
      <x:c r="V143" s="113"/>
      <x:c r="W143" s="113"/>
      <x:c r="X143" s="113"/>
      <x:c r="Y143" s="113"/>
      <x:c r="Z143" s="113"/>
      <x:c r="AA143" s="113"/>
      <x:c r="AB143" s="113"/>
      <x:c r="AC143" s="113"/>
      <x:c r="AD143" s="113"/>
      <x:c r="AE143" s="113"/>
    </x:row>
    <x:row r="144">
      <x:c r="A144" s="113"/>
      <x:c r="B144" s="113"/>
      <x:c r="C144" s="113"/>
      <x:c r="D144" s="113"/>
      <x:c r="E144" s="113"/>
      <x:c r="F144" s="113"/>
      <x:c r="G144" s="113"/>
      <x:c r="H144" s="113"/>
      <x:c r="I144" s="113"/>
      <x:c r="J144" s="113"/>
      <x:c r="K144" s="113"/>
      <x:c r="L144" s="113"/>
      <x:c r="M144" s="113"/>
      <x:c r="N144" s="113"/>
      <x:c r="O144" s="113"/>
      <x:c r="P144" s="113"/>
      <x:c r="Q144" s="113"/>
      <x:c r="R144" s="113"/>
      <x:c r="S144" s="113"/>
      <x:c r="T144" s="113"/>
      <x:c r="U144" s="113"/>
      <x:c r="V144" s="113"/>
      <x:c r="W144" s="113"/>
      <x:c r="X144" s="113"/>
      <x:c r="Y144" s="113"/>
      <x:c r="Z144" s="113"/>
      <x:c r="AA144" s="113"/>
      <x:c r="AB144" s="113"/>
      <x:c r="AC144" s="113"/>
      <x:c r="AD144" s="113"/>
      <x:c r="AE144" s="113"/>
    </x:row>
    <x:row r="145">
      <x:c r="A145" s="113"/>
      <x:c r="B145" s="113"/>
      <x:c r="C145" s="113"/>
      <x:c r="D145" s="113"/>
      <x:c r="E145" s="113"/>
      <x:c r="F145" s="113"/>
      <x:c r="G145" s="113"/>
      <x:c r="H145" s="113"/>
      <x:c r="I145" s="113"/>
      <x:c r="J145" s="113"/>
      <x:c r="K145" s="113"/>
      <x:c r="L145" s="113"/>
      <x:c r="M145" s="113"/>
      <x:c r="N145" s="113"/>
      <x:c r="O145" s="113"/>
      <x:c r="P145" s="113"/>
      <x:c r="Q145" s="113"/>
      <x:c r="R145" s="113"/>
      <x:c r="S145" s="113"/>
      <x:c r="T145" s="113"/>
      <x:c r="U145" s="113"/>
      <x:c r="V145" s="113"/>
      <x:c r="W145" s="113"/>
      <x:c r="X145" s="113"/>
      <x:c r="Y145" s="113"/>
      <x:c r="Z145" s="113"/>
      <x:c r="AA145" s="113"/>
      <x:c r="AB145" s="113"/>
      <x:c r="AC145" s="113"/>
      <x:c r="AD145" s="113"/>
      <x:c r="AE145" s="113"/>
    </x:row>
    <x:row r="146">
      <x:c r="A146" s="113"/>
      <x:c r="B146" s="113"/>
      <x:c r="C146" s="113"/>
      <x:c r="D146" s="113"/>
      <x:c r="E146" s="113"/>
      <x:c r="F146" s="113"/>
      <x:c r="G146" s="113"/>
      <x:c r="H146" s="113"/>
      <x:c r="I146" s="113"/>
      <x:c r="J146" s="113"/>
      <x:c r="K146" s="113"/>
      <x:c r="L146" s="113"/>
      <x:c r="M146" s="113"/>
      <x:c r="N146" s="113"/>
      <x:c r="O146" s="113"/>
      <x:c r="P146" s="113"/>
      <x:c r="Q146" s="113"/>
      <x:c r="R146" s="113"/>
      <x:c r="S146" s="113"/>
      <x:c r="T146" s="113"/>
      <x:c r="U146" s="113"/>
      <x:c r="V146" s="113"/>
      <x:c r="W146" s="113"/>
      <x:c r="X146" s="113"/>
      <x:c r="Y146" s="113"/>
      <x:c r="Z146" s="113"/>
      <x:c r="AA146" s="113"/>
      <x:c r="AB146" s="113"/>
      <x:c r="AC146" s="113"/>
      <x:c r="AD146" s="113"/>
      <x:c r="AE146" s="113"/>
    </x:row>
    <x:row r="147">
      <x:c r="A147" s="113"/>
      <x:c r="B147" s="113"/>
      <x:c r="C147" s="113"/>
      <x:c r="D147" s="113"/>
      <x:c r="E147" s="113"/>
      <x:c r="F147" s="113"/>
      <x:c r="G147" s="113"/>
      <x:c r="H147" s="113"/>
      <x:c r="I147" s="113"/>
      <x:c r="J147" s="113"/>
      <x:c r="K147" s="113"/>
      <x:c r="L147" s="113"/>
      <x:c r="M147" s="113"/>
      <x:c r="N147" s="113"/>
      <x:c r="O147" s="113"/>
      <x:c r="P147" s="113"/>
      <x:c r="Q147" s="113"/>
      <x:c r="R147" s="113"/>
      <x:c r="S147" s="113"/>
      <x:c r="T147" s="113"/>
      <x:c r="U147" s="113"/>
      <x:c r="V147" s="113"/>
      <x:c r="W147" s="113"/>
      <x:c r="X147" s="113"/>
      <x:c r="Y147" s="113"/>
      <x:c r="Z147" s="113"/>
      <x:c r="AA147" s="113"/>
      <x:c r="AB147" s="113"/>
      <x:c r="AC147" s="113"/>
      <x:c r="AD147" s="113"/>
      <x:c r="AE147" s="113"/>
    </x:row>
    <x:row r="148">
      <x:c r="A148" s="113"/>
      <x:c r="B148" s="113"/>
      <x:c r="C148" s="113"/>
      <x:c r="D148" s="113"/>
      <x:c r="E148" s="113"/>
      <x:c r="F148" s="113"/>
      <x:c r="G148" s="113"/>
      <x:c r="H148" s="113"/>
      <x:c r="I148" s="113"/>
      <x:c r="J148" s="113"/>
      <x:c r="K148" s="113"/>
      <x:c r="L148" s="113"/>
      <x:c r="M148" s="113"/>
      <x:c r="N148" s="113"/>
      <x:c r="O148" s="113"/>
      <x:c r="P148" s="113"/>
      <x:c r="Q148" s="113"/>
      <x:c r="R148" s="113"/>
      <x:c r="S148" s="113"/>
      <x:c r="T148" s="113"/>
      <x:c r="U148" s="113"/>
      <x:c r="V148" s="113"/>
      <x:c r="W148" s="113"/>
      <x:c r="X148" s="113"/>
      <x:c r="Y148" s="113"/>
      <x:c r="Z148" s="113"/>
      <x:c r="AA148" s="113"/>
      <x:c r="AB148" s="113"/>
      <x:c r="AC148" s="113"/>
      <x:c r="AD148" s="113"/>
      <x:c r="AE148" s="113"/>
    </x:row>
    <x:row r="149">
      <x:c r="A149" s="113"/>
      <x:c r="B149" s="113"/>
      <x:c r="C149" s="113"/>
      <x:c r="D149" s="113"/>
      <x:c r="E149" s="113"/>
      <x:c r="F149" s="113"/>
      <x:c r="G149" s="113"/>
      <x:c r="H149" s="113"/>
      <x:c r="I149" s="113"/>
      <x:c r="J149" s="113"/>
      <x:c r="K149" s="113"/>
      <x:c r="L149" s="113"/>
      <x:c r="M149" s="113"/>
      <x:c r="N149" s="113"/>
      <x:c r="O149" s="113"/>
      <x:c r="P149" s="113"/>
      <x:c r="Q149" s="113"/>
      <x:c r="R149" s="113"/>
      <x:c r="S149" s="113"/>
      <x:c r="T149" s="113"/>
      <x:c r="U149" s="113"/>
      <x:c r="V149" s="113"/>
      <x:c r="W149" s="113"/>
      <x:c r="X149" s="113"/>
      <x:c r="Y149" s="113"/>
      <x:c r="Z149" s="113"/>
      <x:c r="AA149" s="113"/>
      <x:c r="AB149" s="113"/>
      <x:c r="AC149" s="113"/>
      <x:c r="AD149" s="113"/>
      <x:c r="AE149" s="113"/>
    </x:row>
    <x:row r="150">
      <x:c r="A150" s="113"/>
      <x:c r="B150" s="113"/>
      <x:c r="C150" s="113"/>
      <x:c r="D150" s="113"/>
      <x:c r="E150" s="113"/>
      <x:c r="F150" s="113"/>
      <x:c r="G150" s="113"/>
      <x:c r="H150" s="113"/>
      <x:c r="I150" s="113"/>
      <x:c r="J150" s="113"/>
      <x:c r="K150" s="113"/>
      <x:c r="L150" s="113"/>
      <x:c r="M150" s="113"/>
      <x:c r="N150" s="113"/>
      <x:c r="O150" s="113"/>
      <x:c r="P150" s="113"/>
      <x:c r="Q150" s="113"/>
      <x:c r="R150" s="113"/>
      <x:c r="S150" s="113"/>
      <x:c r="T150" s="113"/>
      <x:c r="U150" s="113"/>
      <x:c r="V150" s="113"/>
      <x:c r="W150" s="113"/>
      <x:c r="X150" s="113"/>
      <x:c r="Y150" s="113"/>
      <x:c r="Z150" s="113"/>
      <x:c r="AA150" s="113"/>
      <x:c r="AB150" s="113"/>
      <x:c r="AC150" s="113"/>
      <x:c r="AD150" s="113"/>
      <x:c r="AE150" s="113"/>
    </x:row>
    <x:row r="151">
      <x:c r="A151" s="113"/>
      <x:c r="B151" s="113"/>
      <x:c r="C151" s="113"/>
      <x:c r="D151" s="113"/>
      <x:c r="E151" s="113"/>
      <x:c r="F151" s="113"/>
      <x:c r="G151" s="113"/>
      <x:c r="H151" s="113"/>
      <x:c r="I151" s="113"/>
      <x:c r="J151" s="113"/>
      <x:c r="K151" s="113"/>
      <x:c r="L151" s="113"/>
      <x:c r="M151" s="113"/>
      <x:c r="N151" s="113"/>
      <x:c r="O151" s="113"/>
      <x:c r="P151" s="113"/>
      <x:c r="Q151" s="113"/>
      <x:c r="R151" s="113"/>
      <x:c r="S151" s="113"/>
      <x:c r="T151" s="113"/>
      <x:c r="U151" s="113"/>
      <x:c r="V151" s="113"/>
      <x:c r="W151" s="113"/>
      <x:c r="X151" s="113"/>
      <x:c r="Y151" s="113"/>
      <x:c r="Z151" s="113"/>
      <x:c r="AA151" s="113"/>
      <x:c r="AB151" s="113"/>
      <x:c r="AC151" s="113"/>
      <x:c r="AD151" s="113"/>
      <x:c r="AE151" s="113"/>
    </x:row>
    <x:row r="152">
      <x:c r="A152" s="113"/>
      <x:c r="B152" s="113"/>
      <x:c r="C152" s="113"/>
      <x:c r="D152" s="113"/>
      <x:c r="E152" s="113"/>
      <x:c r="F152" s="113"/>
      <x:c r="G152" s="113"/>
      <x:c r="H152" s="113"/>
      <x:c r="I152" s="113"/>
      <x:c r="J152" s="113"/>
      <x:c r="K152" s="113"/>
      <x:c r="L152" s="113"/>
      <x:c r="M152" s="113"/>
      <x:c r="N152" s="113"/>
      <x:c r="O152" s="113"/>
      <x:c r="P152" s="113"/>
      <x:c r="Q152" s="113"/>
      <x:c r="R152" s="113"/>
      <x:c r="S152" s="113"/>
      <x:c r="T152" s="113"/>
      <x:c r="U152" s="113"/>
      <x:c r="V152" s="113"/>
      <x:c r="W152" s="113"/>
      <x:c r="X152" s="113"/>
      <x:c r="Y152" s="113"/>
      <x:c r="Z152" s="113"/>
      <x:c r="AA152" s="113"/>
      <x:c r="AB152" s="113"/>
      <x:c r="AC152" s="113"/>
      <x:c r="AD152" s="113"/>
      <x:c r="AE152" s="113"/>
    </x:row>
    <x:row r="153">
      <x:c r="A153" s="113"/>
      <x:c r="B153" s="113"/>
      <x:c r="C153" s="113"/>
      <x:c r="D153" s="113"/>
      <x:c r="E153" s="113"/>
      <x:c r="F153" s="113"/>
      <x:c r="G153" s="113"/>
      <x:c r="H153" s="113"/>
      <x:c r="I153" s="113"/>
      <x:c r="J153" s="113"/>
      <x:c r="K153" s="113"/>
      <x:c r="L153" s="113"/>
      <x:c r="M153" s="113"/>
      <x:c r="N153" s="113"/>
      <x:c r="O153" s="113"/>
      <x:c r="P153" s="113"/>
      <x:c r="Q153" s="113"/>
      <x:c r="R153" s="113"/>
      <x:c r="S153" s="113"/>
      <x:c r="T153" s="113"/>
      <x:c r="U153" s="113"/>
      <x:c r="V153" s="113"/>
      <x:c r="W153" s="113"/>
      <x:c r="X153" s="113"/>
      <x:c r="Y153" s="113"/>
      <x:c r="Z153" s="113"/>
      <x:c r="AA153" s="113"/>
      <x:c r="AB153" s="113"/>
      <x:c r="AC153" s="113"/>
      <x:c r="AD153" s="113"/>
      <x:c r="AE153" s="113"/>
    </x:row>
    <x:row r="154">
      <x:c r="A154" s="113"/>
      <x:c r="B154" s="113"/>
      <x:c r="C154" s="113"/>
      <x:c r="D154" s="113"/>
      <x:c r="E154" s="113"/>
      <x:c r="F154" s="113"/>
      <x:c r="G154" s="113"/>
      <x:c r="H154" s="113"/>
      <x:c r="I154" s="113"/>
      <x:c r="J154" s="113"/>
      <x:c r="K154" s="113"/>
      <x:c r="L154" s="113"/>
      <x:c r="M154" s="113"/>
      <x:c r="N154" s="113"/>
      <x:c r="O154" s="113"/>
      <x:c r="P154" s="113"/>
      <x:c r="Q154" s="113"/>
      <x:c r="R154" s="113"/>
      <x:c r="S154" s="113"/>
      <x:c r="T154" s="113"/>
      <x:c r="U154" s="113"/>
      <x:c r="V154" s="113"/>
      <x:c r="W154" s="113"/>
      <x:c r="X154" s="113"/>
      <x:c r="Y154" s="113"/>
      <x:c r="Z154" s="113"/>
      <x:c r="AA154" s="113"/>
      <x:c r="AB154" s="113"/>
      <x:c r="AC154" s="113"/>
      <x:c r="AD154" s="113"/>
      <x:c r="AE154" s="113"/>
    </x:row>
    <x:row r="155">
      <x:c r="A155" s="113"/>
      <x:c r="B155" s="113"/>
      <x:c r="C155" s="113"/>
      <x:c r="D155" s="113"/>
      <x:c r="E155" s="113"/>
      <x:c r="F155" s="113"/>
      <x:c r="G155" s="113"/>
      <x:c r="H155" s="113"/>
      <x:c r="I155" s="113"/>
      <x:c r="J155" s="113"/>
      <x:c r="K155" s="113"/>
      <x:c r="L155" s="113"/>
      <x:c r="M155" s="113"/>
      <x:c r="N155" s="113"/>
      <x:c r="O155" s="113"/>
      <x:c r="P155" s="113"/>
      <x:c r="Q155" s="113"/>
      <x:c r="R155" s="113"/>
      <x:c r="S155" s="113"/>
      <x:c r="T155" s="113"/>
      <x:c r="U155" s="113"/>
      <x:c r="V155" s="113"/>
      <x:c r="W155" s="113"/>
      <x:c r="X155" s="113"/>
      <x:c r="Y155" s="113"/>
      <x:c r="Z155" s="113"/>
      <x:c r="AA155" s="113"/>
      <x:c r="AB155" s="113"/>
      <x:c r="AC155" s="113"/>
      <x:c r="AD155" s="113"/>
      <x:c r="AE155" s="113"/>
    </x:row>
    <x:row r="156">
      <x:c r="A156" s="113"/>
      <x:c r="B156" s="113"/>
      <x:c r="C156" s="113"/>
      <x:c r="D156" s="113"/>
      <x:c r="E156" s="113"/>
      <x:c r="F156" s="113"/>
      <x:c r="G156" s="113"/>
      <x:c r="H156" s="113"/>
      <x:c r="I156" s="113"/>
      <x:c r="J156" s="113"/>
      <x:c r="K156" s="113"/>
      <x:c r="L156" s="113"/>
      <x:c r="M156" s="113"/>
      <x:c r="N156" s="113"/>
      <x:c r="O156" s="113"/>
      <x:c r="P156" s="113"/>
      <x:c r="Q156" s="113"/>
      <x:c r="R156" s="113"/>
      <x:c r="S156" s="113"/>
      <x:c r="T156" s="113"/>
      <x:c r="U156" s="113"/>
      <x:c r="V156" s="113"/>
      <x:c r="W156" s="113"/>
      <x:c r="X156" s="113"/>
      <x:c r="Y156" s="113"/>
      <x:c r="Z156" s="113"/>
      <x:c r="AA156" s="113"/>
      <x:c r="AB156" s="113"/>
      <x:c r="AC156" s="113"/>
      <x:c r="AD156" s="113"/>
      <x:c r="AE156" s="113"/>
    </x:row>
    <x:row r="157">
      <x:c r="A157" s="113"/>
      <x:c r="B157" s="113"/>
      <x:c r="C157" s="113"/>
      <x:c r="D157" s="113"/>
      <x:c r="E157" s="113"/>
      <x:c r="F157" s="113"/>
      <x:c r="G157" s="113"/>
      <x:c r="H157" s="113"/>
      <x:c r="I157" s="113"/>
      <x:c r="J157" s="113"/>
      <x:c r="K157" s="113"/>
      <x:c r="L157" s="113"/>
      <x:c r="M157" s="113"/>
      <x:c r="N157" s="113"/>
      <x:c r="O157" s="113"/>
      <x:c r="P157" s="113"/>
      <x:c r="Q157" s="113"/>
      <x:c r="R157" s="113"/>
      <x:c r="S157" s="113"/>
      <x:c r="T157" s="113"/>
      <x:c r="U157" s="113"/>
      <x:c r="V157" s="113"/>
      <x:c r="W157" s="113"/>
      <x:c r="X157" s="113"/>
      <x:c r="Y157" s="113"/>
      <x:c r="Z157" s="113"/>
      <x:c r="AA157" s="113"/>
      <x:c r="AB157" s="113"/>
      <x:c r="AC157" s="113"/>
      <x:c r="AD157" s="113"/>
      <x:c r="AE157" s="113"/>
    </x:row>
    <x:row r="158">
      <x:c r="A158" s="113"/>
      <x:c r="B158" s="113"/>
      <x:c r="C158" s="113"/>
      <x:c r="D158" s="113"/>
      <x:c r="E158" s="113"/>
      <x:c r="F158" s="113"/>
      <x:c r="G158" s="113"/>
      <x:c r="H158" s="113"/>
      <x:c r="I158" s="113"/>
      <x:c r="J158" s="113"/>
      <x:c r="K158" s="113"/>
      <x:c r="L158" s="113"/>
      <x:c r="M158" s="113"/>
      <x:c r="N158" s="113"/>
      <x:c r="O158" s="113"/>
      <x:c r="P158" s="113"/>
      <x:c r="Q158" s="113"/>
      <x:c r="R158" s="113"/>
      <x:c r="S158" s="113"/>
      <x:c r="T158" s="113"/>
      <x:c r="U158" s="113"/>
      <x:c r="V158" s="113"/>
      <x:c r="W158" s="113"/>
      <x:c r="X158" s="113"/>
      <x:c r="Y158" s="113"/>
      <x:c r="Z158" s="113"/>
      <x:c r="AA158" s="113"/>
      <x:c r="AB158" s="113"/>
      <x:c r="AC158" s="113"/>
      <x:c r="AD158" s="113"/>
      <x:c r="AE158" s="113"/>
    </x:row>
    <x:row r="159">
      <x:c r="A159" s="113"/>
      <x:c r="B159" s="113"/>
      <x:c r="C159" s="113"/>
      <x:c r="D159" s="113"/>
      <x:c r="E159" s="113"/>
      <x:c r="F159" s="113"/>
      <x:c r="G159" s="113"/>
      <x:c r="H159" s="113"/>
      <x:c r="I159" s="113"/>
      <x:c r="J159" s="113"/>
      <x:c r="K159" s="113"/>
      <x:c r="L159" s="113"/>
      <x:c r="M159" s="113"/>
      <x:c r="N159" s="113"/>
      <x:c r="O159" s="113"/>
      <x:c r="P159" s="113"/>
      <x:c r="Q159" s="113"/>
      <x:c r="R159" s="113"/>
      <x:c r="S159" s="113"/>
      <x:c r="T159" s="113"/>
      <x:c r="U159" s="113"/>
      <x:c r="V159" s="113"/>
      <x:c r="W159" s="113"/>
      <x:c r="X159" s="113"/>
      <x:c r="Y159" s="113"/>
      <x:c r="Z159" s="113"/>
      <x:c r="AA159" s="113"/>
      <x:c r="AB159" s="113"/>
      <x:c r="AC159" s="113"/>
      <x:c r="AD159" s="113"/>
      <x:c r="AE159" s="113"/>
    </x:row>
    <x:row r="160">
      <x:c r="A160" s="113"/>
      <x:c r="B160" s="113"/>
      <x:c r="C160" s="113"/>
      <x:c r="D160" s="113"/>
      <x:c r="E160" s="113"/>
      <x:c r="F160" s="113"/>
      <x:c r="G160" s="113"/>
      <x:c r="H160" s="113"/>
      <x:c r="I160" s="113"/>
      <x:c r="J160" s="113"/>
      <x:c r="K160" s="113"/>
      <x:c r="L160" s="113"/>
      <x:c r="M160" s="113"/>
      <x:c r="N160" s="113"/>
      <x:c r="O160" s="113"/>
      <x:c r="P160" s="113"/>
      <x:c r="Q160" s="113"/>
      <x:c r="R160" s="113"/>
      <x:c r="S160" s="113"/>
      <x:c r="T160" s="113"/>
      <x:c r="U160" s="113"/>
      <x:c r="V160" s="113"/>
      <x:c r="W160" s="113"/>
      <x:c r="X160" s="113"/>
      <x:c r="Y160" s="113"/>
      <x:c r="Z160" s="113"/>
      <x:c r="AA160" s="113"/>
      <x:c r="AB160" s="113"/>
      <x:c r="AC160" s="113"/>
      <x:c r="AD160" s="113"/>
      <x:c r="AE160" s="113"/>
    </x:row>
    <x:row r="161">
      <x:c r="A161" s="113"/>
      <x:c r="B161" s="113"/>
      <x:c r="C161" s="113"/>
      <x:c r="D161" s="113"/>
      <x:c r="E161" s="113"/>
      <x:c r="F161" s="113"/>
      <x:c r="G161" s="113"/>
      <x:c r="H161" s="113"/>
      <x:c r="I161" s="113"/>
      <x:c r="J161" s="113"/>
      <x:c r="K161" s="113"/>
      <x:c r="L161" s="113"/>
      <x:c r="M161" s="113"/>
      <x:c r="N161" s="113"/>
      <x:c r="O161" s="113"/>
      <x:c r="P161" s="113"/>
      <x:c r="Q161" s="113"/>
      <x:c r="R161" s="113"/>
      <x:c r="S161" s="113"/>
      <x:c r="T161" s="113"/>
      <x:c r="U161" s="113"/>
      <x:c r="V161" s="113"/>
      <x:c r="W161" s="113"/>
      <x:c r="X161" s="113"/>
      <x:c r="Y161" s="113"/>
      <x:c r="Z161" s="113"/>
      <x:c r="AA161" s="113"/>
      <x:c r="AB161" s="113"/>
      <x:c r="AC161" s="113"/>
      <x:c r="AD161" s="113"/>
      <x:c r="AE161" s="113"/>
    </x:row>
    <x:row r="162">
      <x:c r="A162" s="113"/>
      <x:c r="B162" s="113"/>
      <x:c r="C162" s="113"/>
      <x:c r="D162" s="113"/>
      <x:c r="E162" s="113"/>
      <x:c r="F162" s="113"/>
      <x:c r="G162" s="113"/>
      <x:c r="H162" s="113"/>
      <x:c r="I162" s="113"/>
      <x:c r="J162" s="113"/>
      <x:c r="K162" s="113"/>
      <x:c r="L162" s="113"/>
      <x:c r="M162" s="113"/>
      <x:c r="N162" s="113"/>
      <x:c r="O162" s="113"/>
      <x:c r="P162" s="113"/>
      <x:c r="Q162" s="113"/>
      <x:c r="R162" s="113"/>
      <x:c r="S162" s="113"/>
      <x:c r="T162" s="113"/>
      <x:c r="U162" s="113"/>
      <x:c r="V162" s="113"/>
      <x:c r="W162" s="113"/>
      <x:c r="X162" s="113"/>
      <x:c r="Y162" s="113"/>
      <x:c r="Z162" s="113"/>
      <x:c r="AA162" s="113"/>
      <x:c r="AB162" s="113"/>
      <x:c r="AC162" s="113"/>
      <x:c r="AD162" s="113"/>
      <x:c r="AE162" s="113"/>
    </x:row>
    <x:row r="163">
      <x:c r="A163" s="113"/>
      <x:c r="B163" s="113"/>
      <x:c r="C163" s="113"/>
      <x:c r="D163" s="113"/>
      <x:c r="E163" s="113"/>
      <x:c r="F163" s="113"/>
      <x:c r="G163" s="113"/>
      <x:c r="H163" s="113"/>
      <x:c r="I163" s="113"/>
      <x:c r="J163" s="113"/>
      <x:c r="K163" s="113"/>
      <x:c r="L163" s="113"/>
      <x:c r="M163" s="113"/>
      <x:c r="N163" s="113"/>
      <x:c r="O163" s="113"/>
      <x:c r="P163" s="113"/>
      <x:c r="Q163" s="113"/>
      <x:c r="R163" s="113"/>
      <x:c r="S163" s="113"/>
      <x:c r="T163" s="113"/>
      <x:c r="U163" s="113"/>
      <x:c r="V163" s="113"/>
      <x:c r="W163" s="113"/>
      <x:c r="X163" s="113"/>
      <x:c r="Y163" s="113"/>
      <x:c r="Z163" s="113"/>
      <x:c r="AA163" s="113"/>
      <x:c r="AB163" s="113"/>
      <x:c r="AC163" s="113"/>
      <x:c r="AD163" s="113"/>
      <x:c r="AE163" s="113"/>
    </x:row>
    <x:row r="164">
      <x:c r="A164" s="113"/>
      <x:c r="B164" s="113"/>
      <x:c r="C164" s="113"/>
      <x:c r="D164" s="113"/>
      <x:c r="E164" s="113"/>
      <x:c r="F164" s="113"/>
      <x:c r="G164" s="113"/>
      <x:c r="H164" s="113"/>
      <x:c r="I164" s="113"/>
      <x:c r="J164" s="113"/>
      <x:c r="K164" s="113"/>
      <x:c r="L164" s="113"/>
      <x:c r="M164" s="113"/>
      <x:c r="N164" s="113"/>
      <x:c r="O164" s="113"/>
      <x:c r="P164" s="113"/>
      <x:c r="Q164" s="113"/>
      <x:c r="R164" s="113"/>
      <x:c r="S164" s="113"/>
      <x:c r="T164" s="113"/>
      <x:c r="U164" s="113"/>
      <x:c r="V164" s="113"/>
      <x:c r="W164" s="113"/>
      <x:c r="X164" s="113"/>
      <x:c r="Y164" s="113"/>
      <x:c r="Z164" s="113"/>
      <x:c r="AA164" s="113"/>
      <x:c r="AB164" s="113"/>
      <x:c r="AC164" s="113"/>
      <x:c r="AD164" s="113"/>
      <x:c r="AE164" s="113"/>
    </x:row>
    <x:row r="165">
      <x:c r="A165" s="113"/>
      <x:c r="B165" s="113"/>
      <x:c r="C165" s="113"/>
      <x:c r="D165" s="113"/>
      <x:c r="E165" s="113"/>
      <x:c r="F165" s="113"/>
      <x:c r="G165" s="113"/>
      <x:c r="H165" s="113"/>
      <x:c r="I165" s="113"/>
      <x:c r="J165" s="113"/>
      <x:c r="K165" s="113"/>
      <x:c r="L165" s="113"/>
      <x:c r="M165" s="113"/>
      <x:c r="N165" s="113"/>
      <x:c r="O165" s="113"/>
      <x:c r="P165" s="113"/>
      <x:c r="Q165" s="113"/>
      <x:c r="R165" s="113"/>
      <x:c r="S165" s="113"/>
      <x:c r="T165" s="113"/>
      <x:c r="U165" s="113"/>
      <x:c r="V165" s="113"/>
      <x:c r="W165" s="113"/>
      <x:c r="X165" s="113"/>
      <x:c r="Y165" s="113"/>
      <x:c r="Z165" s="113"/>
      <x:c r="AA165" s="113"/>
      <x:c r="AB165" s="113"/>
      <x:c r="AC165" s="113"/>
      <x:c r="AD165" s="113"/>
      <x:c r="AE165" s="113"/>
    </x:row>
    <x:row r="166">
      <x:c r="A166" s="113"/>
      <x:c r="B166" s="113"/>
      <x:c r="C166" s="113"/>
      <x:c r="D166" s="113"/>
      <x:c r="E166" s="113"/>
      <x:c r="F166" s="113"/>
      <x:c r="G166" s="113"/>
      <x:c r="H166" s="113"/>
      <x:c r="I166" s="113"/>
      <x:c r="J166" s="113"/>
      <x:c r="K166" s="113"/>
      <x:c r="L166" s="113"/>
      <x:c r="M166" s="113"/>
      <x:c r="N166" s="113"/>
      <x:c r="O166" s="113"/>
      <x:c r="P166" s="113"/>
      <x:c r="Q166" s="113"/>
      <x:c r="R166" s="113"/>
      <x:c r="S166" s="113"/>
      <x:c r="T166" s="113"/>
      <x:c r="U166" s="113"/>
      <x:c r="V166" s="113"/>
      <x:c r="W166" s="113"/>
      <x:c r="X166" s="113"/>
      <x:c r="Y166" s="113"/>
      <x:c r="Z166" s="113"/>
      <x:c r="AA166" s="113"/>
      <x:c r="AB166" s="113"/>
      <x:c r="AC166" s="113"/>
      <x:c r="AD166" s="113"/>
      <x:c r="AE166" s="113"/>
    </x:row>
    <x:row r="167">
      <x:c r="A167" s="113"/>
      <x:c r="B167" s="113"/>
      <x:c r="C167" s="113"/>
      <x:c r="D167" s="113"/>
      <x:c r="E167" s="113"/>
      <x:c r="F167" s="113"/>
      <x:c r="G167" s="113"/>
      <x:c r="H167" s="113"/>
      <x:c r="I167" s="113"/>
      <x:c r="J167" s="113"/>
      <x:c r="K167" s="113"/>
      <x:c r="L167" s="113"/>
      <x:c r="M167" s="113"/>
      <x:c r="N167" s="113"/>
      <x:c r="O167" s="113"/>
      <x:c r="P167" s="113"/>
      <x:c r="Q167" s="113"/>
      <x:c r="R167" s="113"/>
      <x:c r="S167" s="113"/>
      <x:c r="T167" s="113"/>
      <x:c r="U167" s="113"/>
      <x:c r="V167" s="113"/>
      <x:c r="W167" s="113"/>
      <x:c r="X167" s="113"/>
      <x:c r="Y167" s="113"/>
      <x:c r="Z167" s="113"/>
      <x:c r="AA167" s="113"/>
      <x:c r="AB167" s="113"/>
      <x:c r="AC167" s="113"/>
      <x:c r="AD167" s="113"/>
      <x:c r="AE167" s="113"/>
    </x:row>
    <x:row r="168">
      <x:c r="A168" s="113"/>
      <x:c r="B168" s="113"/>
      <x:c r="C168" s="113"/>
      <x:c r="D168" s="113"/>
      <x:c r="E168" s="113"/>
      <x:c r="F168" s="113"/>
      <x:c r="G168" s="113"/>
      <x:c r="H168" s="113"/>
      <x:c r="I168" s="113"/>
      <x:c r="J168" s="113"/>
      <x:c r="K168" s="113"/>
      <x:c r="L168" s="113"/>
      <x:c r="M168" s="113"/>
      <x:c r="N168" s="113"/>
      <x:c r="O168" s="113"/>
      <x:c r="P168" s="113"/>
      <x:c r="Q168" s="113"/>
      <x:c r="R168" s="113"/>
      <x:c r="S168" s="113"/>
      <x:c r="T168" s="113"/>
      <x:c r="U168" s="113"/>
      <x:c r="V168" s="113"/>
      <x:c r="W168" s="113"/>
      <x:c r="X168" s="113"/>
      <x:c r="Y168" s="113"/>
      <x:c r="Z168" s="113"/>
      <x:c r="AA168" s="113"/>
      <x:c r="AB168" s="113"/>
      <x:c r="AC168" s="113"/>
      <x:c r="AD168" s="113"/>
      <x:c r="AE168" s="113"/>
    </x:row>
    <x:row r="169">
      <x:c r="A169" s="113"/>
      <x:c r="B169" s="113"/>
      <x:c r="C169" s="113"/>
      <x:c r="D169" s="113"/>
      <x:c r="E169" s="113"/>
      <x:c r="F169" s="113"/>
      <x:c r="G169" s="113"/>
      <x:c r="H169" s="113"/>
      <x:c r="I169" s="113"/>
      <x:c r="J169" s="113"/>
      <x:c r="K169" s="113"/>
      <x:c r="L169" s="113"/>
      <x:c r="M169" s="113"/>
      <x:c r="N169" s="113"/>
      <x:c r="O169" s="113"/>
      <x:c r="P169" s="113"/>
      <x:c r="Q169" s="113"/>
      <x:c r="R169" s="113"/>
      <x:c r="S169" s="113"/>
      <x:c r="T169" s="113"/>
      <x:c r="U169" s="113"/>
      <x:c r="V169" s="113"/>
      <x:c r="W169" s="113"/>
      <x:c r="X169" s="113"/>
      <x:c r="Y169" s="113"/>
      <x:c r="Z169" s="113"/>
      <x:c r="AA169" s="113"/>
      <x:c r="AB169" s="113"/>
      <x:c r="AC169" s="113"/>
      <x:c r="AD169" s="113"/>
      <x:c r="AE169" s="113"/>
    </x:row>
    <x:row r="170">
      <x:c r="A170" s="113"/>
      <x:c r="B170" s="113"/>
      <x:c r="C170" s="113"/>
      <x:c r="D170" s="113"/>
      <x:c r="E170" s="113"/>
      <x:c r="F170" s="113"/>
      <x:c r="G170" s="113"/>
      <x:c r="H170" s="113"/>
      <x:c r="I170" s="113"/>
      <x:c r="J170" s="113"/>
      <x:c r="K170" s="113"/>
      <x:c r="L170" s="113"/>
      <x:c r="M170" s="113"/>
      <x:c r="N170" s="113"/>
      <x:c r="O170" s="113"/>
      <x:c r="P170" s="113"/>
      <x:c r="Q170" s="113"/>
      <x:c r="R170" s="113"/>
      <x:c r="S170" s="113"/>
      <x:c r="T170" s="113"/>
      <x:c r="U170" s="113"/>
      <x:c r="V170" s="113"/>
      <x:c r="W170" s="113"/>
      <x:c r="X170" s="113"/>
      <x:c r="Y170" s="113"/>
      <x:c r="Z170" s="113"/>
      <x:c r="AA170" s="113"/>
      <x:c r="AB170" s="113"/>
      <x:c r="AC170" s="113"/>
      <x:c r="AD170" s="113"/>
      <x:c r="AE170" s="113"/>
    </x:row>
    <x:row r="171">
      <x:c r="A171" s="113"/>
      <x:c r="B171" s="113"/>
      <x:c r="C171" s="113"/>
      <x:c r="D171" s="113"/>
      <x:c r="E171" s="113"/>
      <x:c r="F171" s="113"/>
      <x:c r="G171" s="113"/>
      <x:c r="H171" s="113"/>
      <x:c r="I171" s="113"/>
      <x:c r="J171" s="113"/>
      <x:c r="K171" s="113"/>
      <x:c r="L171" s="113"/>
      <x:c r="M171" s="113"/>
      <x:c r="N171" s="113"/>
      <x:c r="O171" s="113"/>
      <x:c r="P171" s="113"/>
      <x:c r="Q171" s="113"/>
      <x:c r="R171" s="113"/>
      <x:c r="S171" s="113"/>
      <x:c r="T171" s="113"/>
      <x:c r="U171" s="113"/>
      <x:c r="V171" s="113"/>
      <x:c r="W171" s="113"/>
      <x:c r="X171" s="113"/>
      <x:c r="Y171" s="113"/>
      <x:c r="Z171" s="113"/>
      <x:c r="AA171" s="113"/>
      <x:c r="AB171" s="113"/>
      <x:c r="AC171" s="113"/>
      <x:c r="AD171" s="113"/>
      <x:c r="AE171" s="113"/>
    </x:row>
    <x:row r="172">
      <x:c r="A172" s="113"/>
      <x:c r="B172" s="113"/>
      <x:c r="C172" s="113"/>
      <x:c r="D172" s="113"/>
      <x:c r="E172" s="113"/>
      <x:c r="F172" s="113"/>
      <x:c r="G172" s="113"/>
      <x:c r="H172" s="113"/>
      <x:c r="I172" s="113"/>
      <x:c r="J172" s="113"/>
      <x:c r="K172" s="113"/>
      <x:c r="L172" s="113"/>
      <x:c r="M172" s="113"/>
      <x:c r="N172" s="113"/>
      <x:c r="O172" s="113"/>
      <x:c r="P172" s="113"/>
      <x:c r="Q172" s="113"/>
      <x:c r="R172" s="113"/>
      <x:c r="S172" s="113"/>
      <x:c r="T172" s="113"/>
      <x:c r="U172" s="113"/>
      <x:c r="V172" s="113"/>
      <x:c r="W172" s="113"/>
      <x:c r="X172" s="113"/>
      <x:c r="Y172" s="113"/>
      <x:c r="Z172" s="113"/>
      <x:c r="AA172" s="113"/>
      <x:c r="AB172" s="113"/>
      <x:c r="AC172" s="113"/>
      <x:c r="AD172" s="113"/>
      <x:c r="AE172" s="113"/>
    </x:row>
    <x:row r="173">
      <x:c r="A173" s="113"/>
      <x:c r="B173" s="113"/>
      <x:c r="C173" s="113"/>
      <x:c r="D173" s="113"/>
      <x:c r="E173" s="113"/>
      <x:c r="F173" s="113"/>
      <x:c r="G173" s="113"/>
      <x:c r="H173" s="113"/>
      <x:c r="I173" s="113"/>
      <x:c r="J173" s="113"/>
      <x:c r="K173" s="113"/>
      <x:c r="L173" s="113"/>
      <x:c r="M173" s="113"/>
      <x:c r="N173" s="113"/>
      <x:c r="O173" s="113"/>
      <x:c r="P173" s="113"/>
      <x:c r="Q173" s="113"/>
      <x:c r="R173" s="113"/>
      <x:c r="S173" s="113"/>
      <x:c r="T173" s="113"/>
      <x:c r="U173" s="113"/>
      <x:c r="V173" s="113"/>
      <x:c r="W173" s="113"/>
      <x:c r="X173" s="113"/>
      <x:c r="Y173" s="113"/>
      <x:c r="Z173" s="113"/>
      <x:c r="AA173" s="113"/>
      <x:c r="AB173" s="113"/>
      <x:c r="AC173" s="113"/>
      <x:c r="AD173" s="113"/>
      <x:c r="AE173" s="113"/>
    </x:row>
    <x:row r="174">
      <x:c r="A174" s="113"/>
      <x:c r="B174" s="113"/>
      <x:c r="C174" s="113"/>
      <x:c r="D174" s="113"/>
      <x:c r="E174" s="113"/>
      <x:c r="F174" s="113"/>
      <x:c r="G174" s="113"/>
      <x:c r="H174" s="113"/>
      <x:c r="I174" s="113"/>
      <x:c r="J174" s="113"/>
      <x:c r="K174" s="113"/>
      <x:c r="L174" s="113"/>
      <x:c r="M174" s="113"/>
      <x:c r="N174" s="113"/>
      <x:c r="O174" s="113"/>
      <x:c r="P174" s="113"/>
      <x:c r="Q174" s="113"/>
      <x:c r="R174" s="113"/>
      <x:c r="S174" s="113"/>
      <x:c r="T174" s="113"/>
      <x:c r="U174" s="113"/>
      <x:c r="V174" s="113"/>
      <x:c r="W174" s="113"/>
      <x:c r="X174" s="113"/>
      <x:c r="Y174" s="113"/>
      <x:c r="Z174" s="113"/>
      <x:c r="AA174" s="113"/>
      <x:c r="AB174" s="113"/>
      <x:c r="AC174" s="113"/>
      <x:c r="AD174" s="113"/>
      <x:c r="AE174" s="113"/>
    </x:row>
    <x:row r="175">
      <x:c r="A175" s="113"/>
      <x:c r="B175" s="113"/>
      <x:c r="C175" s="113"/>
      <x:c r="D175" s="113"/>
      <x:c r="E175" s="113"/>
      <x:c r="F175" s="113"/>
      <x:c r="G175" s="113"/>
      <x:c r="H175" s="113"/>
      <x:c r="I175" s="113"/>
      <x:c r="J175" s="113"/>
      <x:c r="K175" s="113"/>
      <x:c r="L175" s="113"/>
      <x:c r="M175" s="113"/>
      <x:c r="N175" s="113"/>
      <x:c r="O175" s="113"/>
      <x:c r="P175" s="113"/>
      <x:c r="Q175" s="113"/>
      <x:c r="R175" s="113"/>
      <x:c r="S175" s="113"/>
      <x:c r="T175" s="113"/>
      <x:c r="U175" s="113"/>
      <x:c r="V175" s="113"/>
      <x:c r="W175" s="113"/>
      <x:c r="X175" s="113"/>
      <x:c r="Y175" s="113"/>
      <x:c r="Z175" s="113"/>
      <x:c r="AA175" s="113"/>
      <x:c r="AB175" s="113"/>
      <x:c r="AC175" s="113"/>
      <x:c r="AD175" s="113"/>
      <x:c r="AE175" s="113"/>
    </x:row>
    <x:row r="176">
      <x:c r="A176" s="113"/>
      <x:c r="B176" s="113"/>
      <x:c r="C176" s="113"/>
      <x:c r="D176" s="113"/>
      <x:c r="E176" s="113"/>
      <x:c r="F176" s="113"/>
      <x:c r="G176" s="113"/>
      <x:c r="H176" s="113"/>
      <x:c r="I176" s="113"/>
      <x:c r="J176" s="113"/>
      <x:c r="K176" s="113"/>
      <x:c r="L176" s="113"/>
      <x:c r="M176" s="113"/>
      <x:c r="N176" s="113"/>
      <x:c r="O176" s="113"/>
      <x:c r="P176" s="113"/>
      <x:c r="Q176" s="113"/>
      <x:c r="R176" s="113"/>
      <x:c r="S176" s="113"/>
      <x:c r="T176" s="113"/>
      <x:c r="U176" s="113"/>
      <x:c r="V176" s="113"/>
      <x:c r="W176" s="113"/>
      <x:c r="X176" s="113"/>
      <x:c r="Y176" s="113"/>
      <x:c r="Z176" s="113"/>
      <x:c r="AA176" s="113"/>
      <x:c r="AB176" s="113"/>
      <x:c r="AC176" s="113"/>
      <x:c r="AD176" s="113"/>
      <x:c r="AE176" s="113"/>
    </x:row>
    <x:row r="177">
      <x:c r="A177" s="113"/>
      <x:c r="B177" s="113"/>
      <x:c r="C177" s="113"/>
      <x:c r="D177" s="113"/>
      <x:c r="E177" s="113"/>
      <x:c r="F177" s="113"/>
      <x:c r="G177" s="113"/>
      <x:c r="H177" s="113"/>
      <x:c r="I177" s="113"/>
      <x:c r="J177" s="113"/>
      <x:c r="K177" s="113"/>
      <x:c r="L177" s="113"/>
      <x:c r="M177" s="113"/>
      <x:c r="N177" s="113"/>
      <x:c r="O177" s="113"/>
      <x:c r="P177" s="113"/>
      <x:c r="Q177" s="113"/>
      <x:c r="R177" s="113"/>
      <x:c r="S177" s="113"/>
      <x:c r="T177" s="113"/>
      <x:c r="U177" s="113"/>
      <x:c r="V177" s="113"/>
      <x:c r="W177" s="113"/>
      <x:c r="X177" s="113"/>
      <x:c r="Y177" s="113"/>
      <x:c r="Z177" s="113"/>
      <x:c r="AA177" s="113"/>
      <x:c r="AB177" s="113"/>
      <x:c r="AC177" s="113"/>
      <x:c r="AD177" s="113"/>
      <x:c r="AE177" s="113"/>
    </x:row>
    <x:row r="178">
      <x:c r="A178" s="113"/>
      <x:c r="B178" s="113"/>
      <x:c r="C178" s="113"/>
      <x:c r="D178" s="113"/>
      <x:c r="E178" s="113"/>
      <x:c r="F178" s="113"/>
      <x:c r="G178" s="113"/>
      <x:c r="H178" s="113"/>
      <x:c r="I178" s="113"/>
      <x:c r="J178" s="113"/>
      <x:c r="K178" s="113"/>
      <x:c r="L178" s="113"/>
      <x:c r="M178" s="113"/>
      <x:c r="N178" s="113"/>
      <x:c r="O178" s="113"/>
      <x:c r="P178" s="113"/>
      <x:c r="Q178" s="113"/>
      <x:c r="R178" s="113"/>
      <x:c r="S178" s="113"/>
      <x:c r="T178" s="113"/>
      <x:c r="U178" s="113"/>
      <x:c r="V178" s="113"/>
      <x:c r="W178" s="113"/>
      <x:c r="X178" s="113"/>
      <x:c r="Y178" s="113"/>
      <x:c r="Z178" s="113"/>
      <x:c r="AA178" s="113"/>
      <x:c r="AB178" s="113"/>
      <x:c r="AC178" s="113"/>
      <x:c r="AD178" s="113"/>
      <x:c r="AE178" s="113"/>
    </x:row>
    <x:row r="179">
      <x:c r="A179" s="113"/>
      <x:c r="B179" s="113"/>
      <x:c r="C179" s="113"/>
      <x:c r="D179" s="113"/>
      <x:c r="E179" s="113"/>
      <x:c r="F179" s="113"/>
      <x:c r="G179" s="113"/>
      <x:c r="H179" s="113"/>
      <x:c r="I179" s="113"/>
      <x:c r="J179" s="113"/>
      <x:c r="K179" s="113"/>
      <x:c r="L179" s="113"/>
      <x:c r="M179" s="113"/>
      <x:c r="N179" s="113"/>
      <x:c r="O179" s="113"/>
      <x:c r="P179" s="113"/>
      <x:c r="Q179" s="113"/>
      <x:c r="R179" s="113"/>
      <x:c r="S179" s="113"/>
      <x:c r="T179" s="113"/>
      <x:c r="U179" s="113"/>
      <x:c r="V179" s="113"/>
      <x:c r="W179" s="113"/>
      <x:c r="X179" s="113"/>
      <x:c r="Y179" s="113"/>
      <x:c r="Z179" s="113"/>
      <x:c r="AA179" s="113"/>
      <x:c r="AB179" s="113"/>
      <x:c r="AC179" s="113"/>
      <x:c r="AD179" s="113"/>
      <x:c r="AE179" s="113"/>
    </x:row>
    <x:row r="180">
      <x:c r="A180" s="113"/>
      <x:c r="B180" s="113"/>
      <x:c r="C180" s="113"/>
      <x:c r="D180" s="113"/>
      <x:c r="E180" s="113"/>
      <x:c r="F180" s="113"/>
      <x:c r="G180" s="113"/>
      <x:c r="H180" s="113"/>
      <x:c r="I180" s="113"/>
      <x:c r="J180" s="113"/>
      <x:c r="K180" s="113"/>
      <x:c r="L180" s="113"/>
      <x:c r="M180" s="113"/>
      <x:c r="N180" s="113"/>
      <x:c r="O180" s="113"/>
      <x:c r="P180" s="113"/>
      <x:c r="Q180" s="113"/>
      <x:c r="R180" s="113"/>
      <x:c r="S180" s="113"/>
      <x:c r="T180" s="113"/>
      <x:c r="U180" s="113"/>
      <x:c r="V180" s="113"/>
      <x:c r="W180" s="113"/>
      <x:c r="X180" s="113"/>
      <x:c r="Y180" s="113"/>
      <x:c r="Z180" s="113"/>
      <x:c r="AA180" s="113"/>
      <x:c r="AB180" s="113"/>
      <x:c r="AC180" s="113"/>
      <x:c r="AD180" s="113"/>
      <x:c r="AE180" s="113"/>
    </x:row>
    <x:row r="181">
      <x:c r="A181" s="113"/>
      <x:c r="B181" s="113"/>
      <x:c r="C181" s="113"/>
      <x:c r="D181" s="113"/>
      <x:c r="E181" s="113"/>
      <x:c r="F181" s="113"/>
      <x:c r="G181" s="113"/>
      <x:c r="H181" s="113"/>
      <x:c r="I181" s="113"/>
      <x:c r="J181" s="113"/>
      <x:c r="K181" s="113"/>
      <x:c r="L181" s="113"/>
      <x:c r="M181" s="113"/>
      <x:c r="N181" s="113"/>
      <x:c r="O181" s="113"/>
      <x:c r="P181" s="113"/>
      <x:c r="Q181" s="113"/>
      <x:c r="R181" s="113"/>
      <x:c r="S181" s="113"/>
      <x:c r="T181" s="113"/>
      <x:c r="U181" s="113"/>
      <x:c r="V181" s="113"/>
      <x:c r="W181" s="113"/>
      <x:c r="X181" s="113"/>
      <x:c r="Y181" s="113"/>
      <x:c r="Z181" s="113"/>
      <x:c r="AA181" s="113"/>
      <x:c r="AB181" s="113"/>
      <x:c r="AC181" s="113"/>
      <x:c r="AD181" s="113"/>
      <x:c r="AE181" s="113"/>
    </x:row>
    <x:row r="182">
      <x:c r="A182" s="113"/>
      <x:c r="B182" s="113"/>
      <x:c r="C182" s="113"/>
      <x:c r="D182" s="113"/>
      <x:c r="E182" s="113"/>
      <x:c r="F182" s="113"/>
      <x:c r="G182" s="113"/>
      <x:c r="H182" s="113"/>
      <x:c r="I182" s="113"/>
      <x:c r="J182" s="113"/>
      <x:c r="K182" s="113"/>
      <x:c r="L182" s="113"/>
      <x:c r="M182" s="113"/>
      <x:c r="N182" s="113"/>
      <x:c r="O182" s="113"/>
      <x:c r="P182" s="113"/>
      <x:c r="Q182" s="113"/>
      <x:c r="R182" s="113"/>
      <x:c r="S182" s="113"/>
      <x:c r="T182" s="113"/>
      <x:c r="U182" s="113"/>
      <x:c r="V182" s="113"/>
      <x:c r="W182" s="113"/>
      <x:c r="X182" s="113"/>
      <x:c r="Y182" s="113"/>
      <x:c r="Z182" s="113"/>
      <x:c r="AA182" s="113"/>
      <x:c r="AB182" s="113"/>
      <x:c r="AC182" s="113"/>
      <x:c r="AD182" s="113"/>
      <x:c r="AE182" s="113"/>
    </x:row>
    <x:row r="183">
      <x:c r="A183" s="113"/>
      <x:c r="B183" s="113"/>
      <x:c r="C183" s="113"/>
      <x:c r="D183" s="113"/>
      <x:c r="E183" s="113"/>
      <x:c r="F183" s="113"/>
      <x:c r="G183" s="113"/>
      <x:c r="H183" s="113"/>
      <x:c r="I183" s="113"/>
      <x:c r="J183" s="113"/>
      <x:c r="K183" s="113"/>
      <x:c r="L183" s="113"/>
      <x:c r="M183" s="113"/>
      <x:c r="N183" s="113"/>
      <x:c r="O183" s="113"/>
      <x:c r="P183" s="113"/>
      <x:c r="Q183" s="113"/>
      <x:c r="R183" s="113"/>
      <x:c r="S183" s="113"/>
      <x:c r="T183" s="113"/>
      <x:c r="U183" s="113"/>
      <x:c r="V183" s="113"/>
      <x:c r="W183" s="113"/>
      <x:c r="X183" s="113"/>
      <x:c r="Y183" s="113"/>
      <x:c r="Z183" s="113"/>
      <x:c r="AA183" s="113"/>
      <x:c r="AB183" s="113"/>
      <x:c r="AC183" s="113"/>
      <x:c r="AD183" s="113"/>
      <x:c r="AE183" s="113"/>
    </x:row>
    <x:row r="184">
      <x:c r="A184" s="113"/>
      <x:c r="B184" s="113"/>
      <x:c r="C184" s="113"/>
      <x:c r="D184" s="113"/>
      <x:c r="E184" s="113"/>
      <x:c r="F184" s="113"/>
      <x:c r="G184" s="113"/>
      <x:c r="H184" s="113"/>
      <x:c r="I184" s="113"/>
      <x:c r="J184" s="113"/>
      <x:c r="K184" s="113"/>
      <x:c r="L184" s="113"/>
      <x:c r="M184" s="113"/>
      <x:c r="N184" s="113"/>
      <x:c r="O184" s="113"/>
      <x:c r="P184" s="113"/>
      <x:c r="Q184" s="113"/>
      <x:c r="R184" s="113"/>
      <x:c r="S184" s="113"/>
      <x:c r="T184" s="113"/>
      <x:c r="U184" s="113"/>
      <x:c r="V184" s="113"/>
      <x:c r="W184" s="113"/>
      <x:c r="X184" s="113"/>
      <x:c r="Y184" s="113"/>
      <x:c r="Z184" s="113"/>
      <x:c r="AA184" s="113"/>
      <x:c r="AB184" s="113"/>
      <x:c r="AC184" s="113"/>
      <x:c r="AD184" s="113"/>
      <x:c r="AE184" s="113"/>
    </x:row>
    <x:row r="185">
      <x:c r="A185" s="113"/>
      <x:c r="B185" s="113"/>
      <x:c r="C185" s="113"/>
      <x:c r="D185" s="113"/>
      <x:c r="E185" s="113"/>
      <x:c r="F185" s="113"/>
      <x:c r="G185" s="113"/>
      <x:c r="H185" s="113"/>
      <x:c r="I185" s="113"/>
      <x:c r="J185" s="113"/>
      <x:c r="K185" s="113"/>
      <x:c r="L185" s="113"/>
      <x:c r="M185" s="113"/>
      <x:c r="N185" s="113"/>
      <x:c r="O185" s="113"/>
      <x:c r="P185" s="113"/>
      <x:c r="Q185" s="113"/>
      <x:c r="R185" s="113"/>
      <x:c r="S185" s="113"/>
      <x:c r="T185" s="113"/>
      <x:c r="U185" s="113"/>
      <x:c r="V185" s="113"/>
      <x:c r="W185" s="113"/>
      <x:c r="X185" s="113"/>
      <x:c r="Y185" s="113"/>
      <x:c r="Z185" s="113"/>
      <x:c r="AA185" s="113"/>
      <x:c r="AB185" s="113"/>
      <x:c r="AC185" s="113"/>
      <x:c r="AD185" s="113"/>
      <x:c r="AE185" s="113"/>
    </x:row>
    <x:row r="186">
      <x:c r="A186" s="113"/>
      <x:c r="B186" s="113"/>
      <x:c r="C186" s="113"/>
      <x:c r="D186" s="113"/>
      <x:c r="E186" s="113"/>
      <x:c r="F186" s="113"/>
      <x:c r="G186" s="113"/>
      <x:c r="H186" s="113"/>
      <x:c r="I186" s="113"/>
      <x:c r="J186" s="113"/>
      <x:c r="K186" s="113"/>
      <x:c r="L186" s="113"/>
      <x:c r="M186" s="113"/>
      <x:c r="N186" s="113"/>
      <x:c r="O186" s="113"/>
      <x:c r="P186" s="113"/>
      <x:c r="Q186" s="113"/>
      <x:c r="R186" s="113"/>
      <x:c r="S186" s="113"/>
      <x:c r="T186" s="113"/>
      <x:c r="U186" s="113"/>
      <x:c r="V186" s="113"/>
      <x:c r="W186" s="113"/>
      <x:c r="X186" s="113"/>
      <x:c r="Y186" s="113"/>
      <x:c r="Z186" s="113"/>
      <x:c r="AA186" s="113"/>
      <x:c r="AB186" s="113"/>
      <x:c r="AC186" s="113"/>
      <x:c r="AD186" s="113"/>
      <x:c r="AE186" s="113"/>
    </x:row>
    <x:row r="187">
      <x:c r="A187" s="113"/>
      <x:c r="B187" s="113"/>
      <x:c r="C187" s="113"/>
      <x:c r="D187" s="113"/>
      <x:c r="E187" s="113"/>
      <x:c r="F187" s="113"/>
      <x:c r="G187" s="113"/>
      <x:c r="H187" s="113"/>
      <x:c r="I187" s="113"/>
      <x:c r="J187" s="113"/>
      <x:c r="K187" s="113"/>
      <x:c r="L187" s="113"/>
      <x:c r="M187" s="113"/>
      <x:c r="N187" s="113"/>
      <x:c r="O187" s="113"/>
      <x:c r="P187" s="113"/>
      <x:c r="Q187" s="113"/>
      <x:c r="R187" s="113"/>
      <x:c r="S187" s="113"/>
      <x:c r="T187" s="113"/>
      <x:c r="U187" s="113"/>
      <x:c r="V187" s="113"/>
      <x:c r="W187" s="113"/>
      <x:c r="X187" s="113"/>
      <x:c r="Y187" s="113"/>
      <x:c r="Z187" s="113"/>
      <x:c r="AA187" s="113"/>
      <x:c r="AB187" s="113"/>
      <x:c r="AC187" s="113"/>
      <x:c r="AD187" s="113"/>
      <x:c r="AE187" s="113"/>
    </x:row>
    <x:row r="188">
      <x:c r="A188" s="113"/>
      <x:c r="B188" s="113"/>
      <x:c r="C188" s="113"/>
      <x:c r="D188" s="113"/>
      <x:c r="E188" s="113"/>
      <x:c r="F188" s="113"/>
      <x:c r="G188" s="113"/>
      <x:c r="H188" s="113"/>
      <x:c r="I188" s="113"/>
      <x:c r="J188" s="113"/>
      <x:c r="K188" s="113"/>
      <x:c r="L188" s="113"/>
      <x:c r="M188" s="113"/>
      <x:c r="N188" s="113"/>
      <x:c r="O188" s="113"/>
      <x:c r="P188" s="113"/>
      <x:c r="Q188" s="113"/>
      <x:c r="R188" s="113"/>
      <x:c r="S188" s="113"/>
      <x:c r="T188" s="113"/>
      <x:c r="U188" s="113"/>
      <x:c r="V188" s="113"/>
      <x:c r="W188" s="113"/>
      <x:c r="X188" s="113"/>
      <x:c r="Y188" s="113"/>
      <x:c r="Z188" s="113"/>
      <x:c r="AA188" s="113"/>
      <x:c r="AB188" s="113"/>
      <x:c r="AC188" s="113"/>
      <x:c r="AD188" s="113"/>
      <x:c r="AE188" s="113"/>
    </x:row>
    <x:row r="189">
      <x:c r="A189" s="113"/>
      <x:c r="B189" s="113"/>
      <x:c r="C189" s="113"/>
      <x:c r="D189" s="113"/>
      <x:c r="E189" s="113"/>
      <x:c r="F189" s="113"/>
      <x:c r="G189" s="113"/>
      <x:c r="H189" s="113"/>
      <x:c r="I189" s="113"/>
      <x:c r="J189" s="113"/>
      <x:c r="K189" s="113"/>
      <x:c r="L189" s="113"/>
      <x:c r="M189" s="113"/>
      <x:c r="N189" s="113"/>
      <x:c r="O189" s="113"/>
      <x:c r="P189" s="113"/>
      <x:c r="Q189" s="113"/>
      <x:c r="R189" s="113"/>
      <x:c r="S189" s="113"/>
      <x:c r="T189" s="113"/>
      <x:c r="U189" s="113"/>
      <x:c r="V189" s="113"/>
      <x:c r="W189" s="113"/>
      <x:c r="X189" s="113"/>
      <x:c r="Y189" s="113"/>
      <x:c r="Z189" s="113"/>
      <x:c r="AA189" s="113"/>
      <x:c r="AB189" s="113"/>
      <x:c r="AC189" s="113"/>
      <x:c r="AD189" s="113"/>
      <x:c r="AE189" s="113"/>
    </x:row>
    <x:row r="190">
      <x:c r="A190" s="113"/>
      <x:c r="B190" s="113"/>
      <x:c r="C190" s="113"/>
      <x:c r="D190" s="113"/>
      <x:c r="E190" s="113"/>
      <x:c r="F190" s="113"/>
      <x:c r="G190" s="113"/>
      <x:c r="H190" s="113"/>
      <x:c r="I190" s="113"/>
      <x:c r="J190" s="113"/>
      <x:c r="K190" s="113"/>
      <x:c r="L190" s="113"/>
      <x:c r="M190" s="113"/>
      <x:c r="N190" s="113"/>
      <x:c r="O190" s="113"/>
      <x:c r="P190" s="113"/>
      <x:c r="Q190" s="113"/>
      <x:c r="R190" s="113"/>
      <x:c r="S190" s="113"/>
      <x:c r="T190" s="113"/>
      <x:c r="U190" s="113"/>
      <x:c r="V190" s="113"/>
      <x:c r="W190" s="113"/>
      <x:c r="X190" s="113"/>
      <x:c r="Y190" s="113"/>
      <x:c r="Z190" s="113"/>
      <x:c r="AA190" s="113"/>
      <x:c r="AB190" s="113"/>
      <x:c r="AC190" s="113"/>
      <x:c r="AD190" s="113"/>
      <x:c r="AE190" s="113"/>
    </x:row>
    <x:row r="191">
      <x:c r="A191" s="113"/>
      <x:c r="B191" s="113"/>
      <x:c r="C191" s="113"/>
      <x:c r="D191" s="113"/>
      <x:c r="E191" s="113"/>
      <x:c r="F191" s="113"/>
      <x:c r="G191" s="113"/>
      <x:c r="H191" s="113"/>
      <x:c r="I191" s="113"/>
      <x:c r="J191" s="113"/>
      <x:c r="K191" s="113"/>
      <x:c r="L191" s="113"/>
      <x:c r="M191" s="113"/>
      <x:c r="N191" s="113"/>
      <x:c r="O191" s="113"/>
      <x:c r="P191" s="113"/>
      <x:c r="Q191" s="113"/>
      <x:c r="R191" s="113"/>
      <x:c r="S191" s="113"/>
      <x:c r="T191" s="113"/>
      <x:c r="U191" s="113"/>
      <x:c r="V191" s="113"/>
      <x:c r="W191" s="113"/>
      <x:c r="X191" s="113"/>
      <x:c r="Y191" s="113"/>
      <x:c r="Z191" s="113"/>
      <x:c r="AA191" s="113"/>
      <x:c r="AB191" s="113"/>
      <x:c r="AC191" s="113"/>
      <x:c r="AD191" s="113"/>
      <x:c r="AE191" s="113"/>
    </x:row>
    <x:row r="192">
      <x:c r="A192" s="113"/>
      <x:c r="B192" s="113"/>
      <x:c r="C192" s="113"/>
      <x:c r="D192" s="113"/>
      <x:c r="E192" s="113"/>
      <x:c r="F192" s="113"/>
      <x:c r="G192" s="113"/>
      <x:c r="H192" s="113"/>
      <x:c r="I192" s="113"/>
      <x:c r="J192" s="113"/>
      <x:c r="K192" s="113"/>
      <x:c r="L192" s="113"/>
      <x:c r="M192" s="113"/>
      <x:c r="N192" s="113"/>
      <x:c r="O192" s="113"/>
      <x:c r="P192" s="113"/>
      <x:c r="Q192" s="113"/>
      <x:c r="R192" s="113"/>
      <x:c r="S192" s="113"/>
      <x:c r="T192" s="113"/>
      <x:c r="U192" s="113"/>
      <x:c r="V192" s="113"/>
      <x:c r="W192" s="113"/>
      <x:c r="X192" s="113"/>
      <x:c r="Y192" s="113"/>
      <x:c r="Z192" s="113"/>
      <x:c r="AA192" s="113"/>
      <x:c r="AB192" s="113"/>
      <x:c r="AC192" s="113"/>
      <x:c r="AD192" s="113"/>
      <x:c r="AE192" s="113"/>
    </x:row>
    <x:row r="193">
      <x:c r="A193" s="113"/>
      <x:c r="B193" s="113"/>
      <x:c r="C193" s="113"/>
      <x:c r="D193" s="113"/>
      <x:c r="E193" s="113"/>
      <x:c r="F193" s="113"/>
      <x:c r="G193" s="113"/>
      <x:c r="H193" s="113"/>
      <x:c r="I193" s="113"/>
      <x:c r="J193" s="113"/>
      <x:c r="K193" s="113"/>
      <x:c r="L193" s="113"/>
      <x:c r="M193" s="113"/>
      <x:c r="N193" s="113"/>
      <x:c r="O193" s="113"/>
      <x:c r="P193" s="113"/>
      <x:c r="Q193" s="113"/>
      <x:c r="R193" s="113"/>
      <x:c r="S193" s="113"/>
      <x:c r="T193" s="113"/>
      <x:c r="U193" s="113"/>
      <x:c r="V193" s="113"/>
      <x:c r="W193" s="113"/>
      <x:c r="X193" s="113"/>
      <x:c r="Y193" s="113"/>
      <x:c r="Z193" s="113"/>
      <x:c r="AA193" s="113"/>
      <x:c r="AB193" s="113"/>
      <x:c r="AC193" s="113"/>
      <x:c r="AD193" s="113"/>
      <x:c r="AE193" s="113"/>
    </x:row>
    <x:row r="194">
      <x:c r="A194" s="113"/>
      <x:c r="B194" s="113"/>
      <x:c r="C194" s="113"/>
      <x:c r="D194" s="113"/>
      <x:c r="E194" s="113"/>
      <x:c r="F194" s="113"/>
      <x:c r="G194" s="113"/>
      <x:c r="H194" s="113"/>
      <x:c r="I194" s="113"/>
      <x:c r="J194" s="113"/>
      <x:c r="K194" s="113"/>
      <x:c r="L194" s="113"/>
      <x:c r="M194" s="113"/>
      <x:c r="N194" s="113"/>
      <x:c r="O194" s="113"/>
      <x:c r="P194" s="113"/>
      <x:c r="Q194" s="113"/>
      <x:c r="R194" s="113"/>
      <x:c r="S194" s="113"/>
      <x:c r="T194" s="113"/>
      <x:c r="U194" s="113"/>
      <x:c r="V194" s="113"/>
      <x:c r="W194" s="113"/>
      <x:c r="X194" s="113"/>
      <x:c r="Y194" s="113"/>
      <x:c r="Z194" s="113"/>
      <x:c r="AA194" s="113"/>
      <x:c r="AB194" s="113"/>
      <x:c r="AC194" s="113"/>
      <x:c r="AD194" s="113"/>
      <x:c r="AE194" s="113"/>
    </x:row>
    <x:row r="195">
      <x:c r="A195" s="113"/>
      <x:c r="B195" s="113"/>
      <x:c r="C195" s="113"/>
      <x:c r="D195" s="113"/>
      <x:c r="E195" s="113"/>
      <x:c r="F195" s="113"/>
      <x:c r="G195" s="113"/>
      <x:c r="H195" s="113"/>
      <x:c r="I195" s="113"/>
      <x:c r="J195" s="113"/>
      <x:c r="K195" s="113"/>
      <x:c r="L195" s="113"/>
      <x:c r="M195" s="113"/>
      <x:c r="N195" s="113"/>
      <x:c r="O195" s="113"/>
      <x:c r="P195" s="113"/>
      <x:c r="Q195" s="113"/>
      <x:c r="R195" s="113"/>
      <x:c r="S195" s="113"/>
      <x:c r="T195" s="113"/>
      <x:c r="U195" s="113"/>
      <x:c r="V195" s="113"/>
      <x:c r="W195" s="113"/>
      <x:c r="X195" s="113"/>
      <x:c r="Y195" s="113"/>
      <x:c r="Z195" s="113"/>
      <x:c r="AA195" s="113"/>
      <x:c r="AB195" s="113"/>
      <x:c r="AC195" s="113"/>
      <x:c r="AD195" s="113"/>
      <x:c r="AE195" s="113"/>
    </x:row>
    <x:row r="196">
      <x:c r="A196" s="113"/>
      <x:c r="B196" s="113"/>
      <x:c r="C196" s="113"/>
      <x:c r="D196" s="113"/>
      <x:c r="E196" s="113"/>
      <x:c r="F196" s="113"/>
      <x:c r="G196" s="113"/>
      <x:c r="H196" s="113"/>
      <x:c r="I196" s="113"/>
      <x:c r="J196" s="113"/>
      <x:c r="K196" s="113"/>
      <x:c r="L196" s="113"/>
      <x:c r="M196" s="113"/>
      <x:c r="N196" s="113"/>
      <x:c r="O196" s="113"/>
      <x:c r="P196" s="113"/>
      <x:c r="Q196" s="113"/>
      <x:c r="R196" s="113"/>
      <x:c r="S196" s="113"/>
      <x:c r="T196" s="113"/>
      <x:c r="U196" s="113"/>
      <x:c r="V196" s="113"/>
      <x:c r="W196" s="113"/>
      <x:c r="X196" s="113"/>
      <x:c r="Y196" s="113"/>
      <x:c r="Z196" s="113"/>
      <x:c r="AA196" s="113"/>
      <x:c r="AB196" s="113"/>
      <x:c r="AC196" s="113"/>
      <x:c r="AD196" s="113"/>
      <x:c r="AE196" s="113"/>
    </x:row>
    <x:row r="197">
      <x:c r="A197" s="113"/>
      <x:c r="B197" s="113"/>
      <x:c r="C197" s="113"/>
      <x:c r="D197" s="113"/>
      <x:c r="E197" s="113"/>
      <x:c r="F197" s="113"/>
      <x:c r="G197" s="113"/>
      <x:c r="H197" s="113"/>
      <x:c r="I197" s="113"/>
      <x:c r="J197" s="113"/>
      <x:c r="K197" s="113"/>
      <x:c r="L197" s="113"/>
      <x:c r="M197" s="113"/>
      <x:c r="N197" s="113"/>
      <x:c r="O197" s="113"/>
      <x:c r="P197" s="113"/>
      <x:c r="Q197" s="113"/>
      <x:c r="R197" s="113"/>
      <x:c r="S197" s="113"/>
      <x:c r="T197" s="113"/>
      <x:c r="U197" s="113"/>
      <x:c r="V197" s="113"/>
      <x:c r="W197" s="113"/>
      <x:c r="X197" s="113"/>
      <x:c r="Y197" s="113"/>
      <x:c r="Z197" s="113"/>
      <x:c r="AA197" s="113"/>
      <x:c r="AB197" s="113"/>
      <x:c r="AC197" s="113"/>
      <x:c r="AD197" s="113"/>
      <x:c r="AE197" s="113"/>
    </x:row>
    <x:row r="198">
      <x:c r="A198" s="113"/>
      <x:c r="B198" s="113"/>
      <x:c r="C198" s="113"/>
      <x:c r="D198" s="113"/>
      <x:c r="E198" s="113"/>
      <x:c r="F198" s="113"/>
      <x:c r="G198" s="113"/>
      <x:c r="H198" s="113"/>
      <x:c r="I198" s="113"/>
      <x:c r="J198" s="113"/>
      <x:c r="K198" s="113"/>
      <x:c r="L198" s="113"/>
      <x:c r="M198" s="113"/>
      <x:c r="N198" s="113"/>
      <x:c r="O198" s="113"/>
      <x:c r="P198" s="113"/>
      <x:c r="Q198" s="113"/>
      <x:c r="R198" s="113"/>
      <x:c r="S198" s="113"/>
      <x:c r="T198" s="113"/>
      <x:c r="U198" s="113"/>
      <x:c r="V198" s="113"/>
      <x:c r="W198" s="113"/>
      <x:c r="X198" s="113"/>
      <x:c r="Y198" s="113"/>
      <x:c r="Z198" s="113"/>
      <x:c r="AA198" s="113"/>
      <x:c r="AB198" s="113"/>
      <x:c r="AC198" s="113"/>
      <x:c r="AD198" s="113"/>
      <x:c r="AE198" s="113"/>
    </x:row>
    <x:row r="199">
      <x:c r="A199" s="113"/>
      <x:c r="B199" s="113"/>
      <x:c r="C199" s="113"/>
      <x:c r="D199" s="113"/>
      <x:c r="E199" s="113"/>
      <x:c r="F199" s="113"/>
      <x:c r="G199" s="113"/>
      <x:c r="H199" s="113"/>
      <x:c r="I199" s="113"/>
      <x:c r="J199" s="113"/>
      <x:c r="K199" s="113"/>
      <x:c r="L199" s="113"/>
      <x:c r="M199" s="113"/>
      <x:c r="N199" s="113"/>
      <x:c r="O199" s="113"/>
      <x:c r="P199" s="113"/>
      <x:c r="Q199" s="113"/>
      <x:c r="R199" s="113"/>
      <x:c r="S199" s="113"/>
      <x:c r="T199" s="113"/>
      <x:c r="U199" s="113"/>
      <x:c r="V199" s="113"/>
      <x:c r="W199" s="113"/>
      <x:c r="X199" s="113"/>
      <x:c r="Y199" s="113"/>
      <x:c r="Z199" s="113"/>
      <x:c r="AA199" s="113"/>
      <x:c r="AB199" s="113"/>
      <x:c r="AC199" s="113"/>
      <x:c r="AD199" s="113"/>
      <x:c r="AE199" s="113"/>
    </x:row>
    <x:row r="200">
      <x:c r="A200" s="113"/>
      <x:c r="B200" s="113"/>
      <x:c r="C200" s="113"/>
      <x:c r="D200" s="113"/>
      <x:c r="E200" s="113"/>
      <x:c r="F200" s="113"/>
      <x:c r="G200" s="113"/>
      <x:c r="H200" s="113"/>
      <x:c r="I200" s="113"/>
      <x:c r="J200" s="113"/>
      <x:c r="K200" s="113"/>
      <x:c r="L200" s="113"/>
      <x:c r="M200" s="113"/>
      <x:c r="N200" s="113"/>
      <x:c r="O200" s="113"/>
      <x:c r="P200" s="113"/>
      <x:c r="Q200" s="113"/>
      <x:c r="R200" s="113"/>
      <x:c r="S200" s="113"/>
      <x:c r="T200" s="113"/>
      <x:c r="U200" s="113"/>
      <x:c r="V200" s="113"/>
      <x:c r="W200" s="113"/>
      <x:c r="X200" s="113"/>
      <x:c r="Y200" s="113"/>
      <x:c r="Z200" s="113"/>
      <x:c r="AA200" s="113"/>
      <x:c r="AB200" s="113"/>
      <x:c r="AC200" s="113"/>
      <x:c r="AD200" s="113"/>
      <x:c r="AE200" s="113"/>
    </x:row>
  </x:sheetData>
  <x:mergeCells>
    <x:mergeCell ref="A1:F1"/>
  </x:mergeCells>
  <x:conditionalFormatting sqref="F4:F16">
    <x:cfRule type="expression" dxfId="21" priority="1">
      <x:formula>F4="verbindlich"</x:formula>
    </x:cfRule>
  </x:conditionalFormatting>
  <x:pageMargins left="0.7" right="0.7" top="0.75" bottom="0.75" header="0.3" footer="0.3"/>
  <x:tableParts count="1">
    <x:tablePart xmlns:r="http://schemas.openxmlformats.org/officeDocument/2006/relationships" r:id="R36a1863aae6b42b4"/>
  </x:tableParts>
</x:worksheet>
</file>

<file path=xl/worksheets/sheet30.xml><?xml version="1.0" encoding="utf-8"?>
<x:worksheet xmlns:x="http://schemas.openxmlformats.org/spreadsheetml/2006/main">
  <x:sheetFormatPr defaultRowHeight="15"/>
  <x:cols>
    <x:col min="1" max="1" width="13" hidden="0" customWidth="1"/>
    <x:col min="2" max="2" width="35" hidden="0" customWidth="1"/>
    <x:col min="3" max="3" width="19" hidden="0" customWidth="1"/>
    <x:col min="4" max="4" width="10" hidden="0" customWidth="1"/>
    <x:col min="5" max="5" width="27" hidden="0" customWidth="1"/>
    <x:col min="6" max="6" width="31" hidden="0" customWidth="1"/>
    <x:col min="7" max="7" width="28" hidden="0" customWidth="1"/>
    <x:col min="8" max="8" width="27" hidden="0" customWidth="1"/>
    <x:col min="9" max="9" width="10" hidden="0" customWidth="1"/>
    <x:col min="10" max="10" width="22" hidden="0" customWidth="1"/>
    <x:col min="11" max="11" width="20" hidden="0" customWidth="1"/>
    <x:col min="12" max="12" width="13" hidden="0" customWidth="1"/>
    <x:col min="13" max="13" width="24" hidden="0" customWidth="1"/>
    <x:col min="14" max="14" width="18" hidden="0" customWidth="1"/>
    <x:col min="15" max="15" width="30" hidden="0" customWidth="1"/>
    <x:col min="16" max="16" width="40" hidden="0" customWidth="1"/>
    <x:col min="17" max="17" width="34" hidden="0" customWidth="1"/>
    <x:col min="18" max="18" width="45" hidden="0" customWidth="1"/>
    <x:col min="19" max="19" width="34" hidden="0" customWidth="1"/>
    <x:col min="20" max="20" width="29" hidden="0" customWidth="1"/>
    <x:col min="21" max="21" width="14" hidden="0" customWidth="1"/>
    <x:col min="22" max="22" width="14" hidden="0" customWidth="1"/>
    <x:col min="23" max="23" width="38" hidden="0" customWidth="1"/>
    <x:col min="24" max="24" width="34" hidden="0" customWidth="1"/>
    <x:col min="25" max="25" width="31" hidden="0" customWidth="1"/>
    <x:col min="26" max="26" width="31" hidden="0" customWidth="1"/>
    <x:col min="27" max="27" width="42" hidden="0" customWidth="1"/>
    <x:col min="28" max="28" width="38" hidden="0" customWidth="1"/>
    <x:col min="29" max="29" width="13" hidden="0" customWidth="1"/>
    <x:col min="30" max="30" width="43" hidden="0" customWidth="1"/>
    <x:col min="31" max="31" width="48" hidden="0" customWidth="1"/>
  </x:cols>
  <x:sheetData>
    <x:row r="1" ht="28" customHeight="1">
      <x:c r="A1" s="163" t="str">
        <x:v>BG-RehaManager Südwest – FINALER Kartenimport / Änderungsbestand 4.4.x</x:v>
      </x:c>
      <x:c r="B1" s="163"/>
      <x:c r="C1" s="163"/>
      <x:c r="D1" s="163"/>
      <x:c r="E1" s="163"/>
      <x:c r="F1" s="163"/>
      <x:c r="G1" s="163"/>
      <x:c r="H1" s="163"/>
      <x:c r="I1" s="163"/>
      <x:c r="J1" s="163"/>
      <x:c r="K1" s="163"/>
      <x:c r="L1" s="163"/>
      <x:c r="M1" s="163"/>
      <x:c r="N1" s="163"/>
      <x:c r="O1" s="163"/>
      <x:c r="P1" s="163"/>
      <x:c r="Q1" s="163"/>
      <x:c r="R1" s="163"/>
      <x:c r="S1" s="163"/>
      <x:c r="T1" s="163"/>
      <x:c r="U1" s="163"/>
      <x:c r="V1" s="163"/>
      <x:c r="W1" s="163"/>
      <x:c r="X1" s="163"/>
      <x:c r="Y1" s="163"/>
      <x:c r="Z1" s="163"/>
      <x:c r="AA1" s="163"/>
      <x:c r="AB1" s="163"/>
      <x:c r="AC1" s="163"/>
      <x:c r="AD1" s="163"/>
      <x:c r="AE1" s="163"/>
    </x:row>
    <x:row r="2">
      <x:c r="A2" s="169" t="str">
        <x:v>121 konsolidierte Import-/Änderungszeilen. Ergänzt am 31.08.2026: 10 Datensätze Fahrrad-/Spezialradanpassung und 5 Anbieter Wohnen/Lifttechnik; bisherige Pflege-, Arbeitsvermittlungs-, Neuro-Psych-, Mobilitäts- und Technik-Konsolidierung bleibt unverändert.</x:v>
      </x:c>
      <x:c r="B2" s="169"/>
      <x:c r="C2" s="169"/>
      <x:c r="D2" s="169"/>
      <x:c r="E2" s="169"/>
      <x:c r="F2" s="169"/>
      <x:c r="G2" s="169"/>
      <x:c r="H2" s="169"/>
      <x:c r="I2" s="169"/>
      <x:c r="J2" s="169"/>
      <x:c r="K2" s="169"/>
      <x:c r="L2" s="169"/>
      <x:c r="M2" s="169"/>
      <x:c r="N2" s="169"/>
      <x:c r="O2" s="169"/>
      <x:c r="P2" s="169"/>
      <x:c r="Q2" s="169"/>
      <x:c r="R2" s="169"/>
      <x:c r="S2" s="169"/>
      <x:c r="T2" s="169"/>
      <x:c r="U2" s="169"/>
      <x:c r="V2" s="169"/>
      <x:c r="W2" s="169"/>
      <x:c r="X2" s="169"/>
      <x:c r="Y2" s="169"/>
      <x:c r="Z2" s="169"/>
      <x:c r="AA2" s="169"/>
      <x:c r="AB2" s="169"/>
      <x:c r="AC2" s="169"/>
      <x:c r="AD2" s="169"/>
      <x:c r="AE2" s="169"/>
    </x:row>
    <x:row r="3">
      <x:c r="A3" s="113"/>
      <x:c r="B3" s="113"/>
      <x:c r="C3" s="113"/>
      <x:c r="D3" s="113"/>
      <x:c r="E3" s="113"/>
      <x:c r="F3" s="113"/>
      <x:c r="G3" s="113"/>
      <x:c r="H3" s="113"/>
      <x:c r="I3" s="113"/>
      <x:c r="J3" s="113"/>
      <x:c r="K3" s="113"/>
      <x:c r="L3" s="113"/>
      <x:c r="M3" s="113"/>
      <x:c r="N3" s="113"/>
      <x:c r="O3" s="113"/>
      <x:c r="P3" s="113"/>
      <x:c r="Q3" s="113"/>
      <x:c r="R3" s="113"/>
      <x:c r="S3" s="113"/>
      <x:c r="T3" s="113"/>
      <x:c r="U3" s="113"/>
      <x:c r="V3" s="113"/>
      <x:c r="W3" s="113"/>
      <x:c r="X3" s="113"/>
      <x:c r="Y3" s="113"/>
      <x:c r="Z3" s="113"/>
      <x:c r="AA3" s="113"/>
      <x:c r="AB3" s="113"/>
      <x:c r="AC3" s="113"/>
      <x:c r="AD3" s="113"/>
      <x:c r="AE3" s="113"/>
    </x:row>
    <x:row r="4" ht="30" customHeight="1">
      <x:c r="A4" s="166" t="str">
        <x:v>ID</x:v>
      </x:c>
      <x:c r="B4" s="166" t="str">
        <x:v>Name</x:v>
      </x:c>
      <x:c r="C4" s="166" t="str">
        <x:v>Importentscheidung</x:v>
      </x:c>
      <x:c r="D4" s="166" t="str">
        <x:v>Priorität</x:v>
      </x:c>
      <x:c r="E4" s="166" t="str">
        <x:v>Hauptbereich</x:v>
      </x:c>
      <x:c r="F4" s="166" t="str">
        <x:v>Kategorien</x:v>
      </x:c>
      <x:c r="G4" s="166" t="str">
        <x:v>Rolle / Funktion</x:v>
      </x:c>
      <x:c r="H4" s="166" t="str">
        <x:v>Straße</x:v>
      </x:c>
      <x:c r="I4" s="166" t="str">
        <x:v>PLZ</x:v>
      </x:c>
      <x:c r="J4" s="166" t="str">
        <x:v>Ort</x:v>
      </x:c>
      <x:c r="K4" s="166" t="str">
        <x:v>Bundesland</x:v>
      </x:c>
      <x:c r="L4" s="166" t="str">
        <x:v>Land</x:v>
      </x:c>
      <x:c r="M4" s="166" t="str">
        <x:v>Telefon</x:v>
      </x:c>
      <x:c r="N4" s="166" t="str">
        <x:v>Fax</x:v>
      </x:c>
      <x:c r="O4" s="166" t="str">
        <x:v>E-Mail</x:v>
      </x:c>
      <x:c r="P4" s="166" t="str">
        <x:v>Website</x:v>
      </x:c>
      <x:c r="Q4" s="166" t="str">
        <x:v>Ansprechpartner</x:v>
      </x:c>
      <x:c r="R4" s="166" t="str">
        <x:v>Leistungen / Schwerpunkte</x:v>
      </x:c>
      <x:c r="S4" s="166" t="str">
        <x:v>BG-/Kostenträgerbezug</x:v>
      </x:c>
      <x:c r="T4" s="166" t="str">
        <x:v>Servicegebiet</x:v>
      </x:c>
      <x:c r="U4" s="166" t="str">
        <x:v>Breitengrad</x:v>
      </x:c>
      <x:c r="V4" s="166" t="str">
        <x:v>Längengrad</x:v>
      </x:c>
      <x:c r="W4" s="166" t="str">
        <x:v>Geo-Status</x:v>
      </x:c>
      <x:c r="X4" s="166" t="str">
        <x:v>Kartenstatus</x:v>
      </x:c>
      <x:c r="Y4" s="166" t="str">
        <x:v>Bestandsstatus</x:v>
      </x:c>
      <x:c r="Z4" s="166" t="str">
        <x:v>Verknüpft mit</x:v>
      </x:c>
      <x:c r="AA4" s="166" t="str">
        <x:v>Adress-/Kontaktquelle</x:v>
      </x:c>
      <x:c r="AB4" s="166" t="str">
        <x:v>Geoquelle</x:v>
      </x:c>
      <x:c r="AC4" s="166" t="str">
        <x:v>Prüfdatum</x:v>
      </x:c>
      <x:c r="AD4" s="166" t="str">
        <x:v>Geocode-Query</x:v>
      </x:c>
      <x:c r="AE4" s="166" t="str">
        <x:v>Hinweis</x:v>
      </x:c>
    </x:row>
    <x:row r="5">
      <x:c r="A5" s="116" t="str">
        <x:v>T-001</x:v>
      </x:c>
      <x:c r="B5" s="116" t="str">
        <x:v>MiniTec GmbH</x:v>
      </x:c>
      <x:c r="C5" s="116" t="str">
        <x:v>Aufnehmen</x:v>
      </x:c>
      <x:c r="D5" s="116" t="str">
        <x:v>A+</x:v>
      </x:c>
      <x:c r="E5" s="116" t="str">
        <x:v>Technische Arbeitsplatzanpassung</x:v>
      </x:c>
      <x:c r="F5" s="116" t="str">
        <x:v>Höhenverstellbarer Arbeitsplatz; Materialbereitstellung; Hubsäulen/Lifter; Sondervorrichtung; Assistenzsystem</x:v>
      </x:c>
      <x:c r="G5" s="116" t="str">
        <x:v>Technischer Umsetzer / Sonderlösung</x:v>
      </x:c>
      <x:c r="H5" s="116" t="str">
        <x:v>MiniTec-Allee 1</x:v>
      </x:c>
      <x:c r="I5" s="116" t="str">
        <x:v>66901</x:v>
      </x:c>
      <x:c r="J5" s="116" t="str">
        <x:v>Schönenberg-Kübelberg</x:v>
      </x:c>
      <x:c r="K5" s="116" t="str">
        <x:v>Rheinland-Pfalz</x:v>
      </x:c>
      <x:c r="L5" s="116" t="str">
        <x:v>Deutschland</x:v>
      </x:c>
      <x:c r="M5" s="116" t="str">
        <x:v>+49 6373 8127-0</x:v>
      </x:c>
      <x:c r="N5" s="116"/>
      <x:c r="O5" s="116" t="str">
        <x:v>info@minitec.de</x:v>
      </x:c>
      <x:c r="P5" s="116" t="str">
        <x:v>https://www.minitec.de/produkte/arbeitsplatzsystem/behindertengerechter-arbeitsplatz</x:v>
      </x:c>
      <x:c r="Q5" s="116"/>
      <x:c r="R5" s="116" t="str">
        <x:v>Höhenverstellbarer Arbeitsplatz; Materialbereitstellung; Hubsäulen/Lifter; Sondervorrichtung; Assistenzsystem | Sehr hoher Reha-Nutzen bei individuell anpassbaren Industriearbeitsplätzen; behindertengerechte Arbeitsplätze ausdrücklich ausgewiesen.</x:v>
      </x:c>
      <x:c r="S5" s="116" t="str">
        <x:v>nicht spezifisch belegt</x:v>
      </x:c>
      <x:c r="T5" s="116" t="str">
        <x:v>regional + projektbezogen überregional</x:v>
      </x:c>
      <x:c r="U5" s="135" t="n">
        <x:v>49.40292</x:v>
      </x:c>
      <x:c r="V5" s="135" t="n">
        <x:v>7.35003</x:v>
      </x:c>
      <x:c r="W5" s="116" t="str">
        <x:v>Adresse und numerische Standortkoordinate geprüft</x:v>
      </x:c>
      <x:c r="X5" s="116" t="str">
        <x:v>Kartenpunkt – Koordinate geprüft</x:v>
      </x:c>
      <x:c r="Y5" s="116" t="str">
        <x:v>Technik 4.4.x – Neuaufnahme</x:v>
      </x:c>
      <x:c r="Z5" s="116"/>
      <x:c r="AA5" s="116" t="str">
        <x:v>https://www.minitec.de/unternehmen/standorte-weltweit</x:v>
      </x:c>
      <x:c r="AB5" s="116" t="str">
        <x:v>Mapcarta / Adressabgleich 2026-08-30</x:v>
      </x:c>
      <x:c r="AC5" s="116" t="str">
        <x:v>2026-08-30</x:v>
      </x:c>
      <x:c r="AD5" s="116" t="str">
        <x:v>MiniTec-Allee 1, 66901 Schönenberg-Kübelberg, Deutschland</x:v>
      </x:c>
      <x:c r="AE5" s="116" t="str">
        <x:v>Hauptstandort verifiziert.</x:v>
      </x:c>
    </x:row>
    <x:row r="6">
      <x:c r="A6" s="116" t="str">
        <x:v>T-002</x:v>
      </x:c>
      <x:c r="B6" s="116" t="str">
        <x:v>Ruck GmbH &amp; Co. KG / RUCK AluConnect</x:v>
      </x:c>
      <x:c r="C6" s="116" t="str">
        <x:v>Aufnehmen</x:v>
      </x:c>
      <x:c r="D6" s="116" t="str">
        <x:v>A+</x:v>
      </x:c>
      <x:c r="E6" s="116" t="str">
        <x:v>Technische Arbeitsplatzanpassung</x:v>
      </x:c>
      <x:c r="F6" s="116" t="str">
        <x:v>Höhenverstellbarer Arbeitsplatz; Durchlaufregal; Materialbereitstellung; Bereitstellungswagen; Förder-/Verkettungstechnik</x:v>
      </x:c>
      <x:c r="G6" s="116" t="str">
        <x:v>Technischer Umsetzer / Arbeitsplatzsystem</x:v>
      </x:c>
      <x:c r="H6" s="116" t="str">
        <x:v>Kelterstraße 43</x:v>
      </x:c>
      <x:c r="I6" s="116" t="str">
        <x:v>72669</x:v>
      </x:c>
      <x:c r="J6" s="116" t="str">
        <x:v>Unterensingen</x:v>
      </x:c>
      <x:c r="K6" s="116" t="str">
        <x:v>Baden-Württemberg</x:v>
      </x:c>
      <x:c r="L6" s="116" t="str">
        <x:v>Deutschland</x:v>
      </x:c>
      <x:c r="M6" s="116" t="str">
        <x:v>+49 7022 67618</x:v>
      </x:c>
      <x:c r="N6" s="116"/>
      <x:c r="O6" s="116" t="str">
        <x:v>info@ruck.de</x:v>
      </x:c>
      <x:c r="P6" s="116" t="str">
        <x:v>https://alu-connect.de/index.php/produkte/arbeitsplatzsysteme/montagearbeitsplaetze</x:v>
      </x:c>
      <x:c r="Q6" s="116"/>
      <x:c r="R6" s="116" t="str">
        <x:v>Höhenverstellbarer Arbeitsplatz; Durchlaufregal; Materialbereitstellung; Bereitstellungswagen; Förder-/Verkettungstechnik | Bestehende Konstruktionen können um- und weitergebaut werden; sehr gut für individualisierte Montageplätze.</x:v>
      </x:c>
      <x:c r="S6" s="116" t="str">
        <x:v>nicht spezifisch belegt</x:v>
      </x:c>
      <x:c r="T6" s="116" t="str">
        <x:v>regional + projektbezogen überregional</x:v>
      </x:c>
      <x:c r="U6" s="135"/>
      <x:c r="V6" s="135"/>
      <x:c r="W6" s="116" t="str">
        <x:v>Adresse/Kontakt geprüft; numerische Hauskoordinate noch nicht separat verifiziert</x:v>
      </x:c>
      <x:c r="X6" s="116" t="str">
        <x:v>Kartenpunkt – Adresse geprüft</x:v>
      </x:c>
      <x:c r="Y6" s="116" t="str">
        <x:v>Technik 4.4.x – Neuaufnahme</x:v>
      </x:c>
      <x:c r="Z6" s="116"/>
      <x:c r="AA6" s="116" t="str">
        <x:v>https://alu-connect.de/</x:v>
      </x:c>
      <x:c r="AB6" s="116"/>
      <x:c r="AC6" s="116" t="str">
        <x:v>2026-08-30</x:v>
      </x:c>
      <x:c r="AD6" s="116" t="str">
        <x:v>Kelterstraße 43, 72669 Unterensingen, Deutschland</x:v>
      </x:c>
      <x:c r="AE6" s="116" t="str">
        <x:v>Standort/Kontakt verifiziert.</x:v>
      </x:c>
    </x:row>
    <x:row r="7">
      <x:c r="A7" s="116" t="str">
        <x:v>T-003</x:v>
      </x:c>
      <x:c r="B7" s="116" t="str">
        <x:v>J. Schmalz GmbH</x:v>
      </x:c>
      <x:c r="C7" s="116" t="str">
        <x:v>Aufnehmen</x:v>
      </x:c>
      <x:c r="D7" s="116" t="str">
        <x:v>A+</x:v>
      </x:c>
      <x:c r="E7" s="116" t="str">
        <x:v>Technische Arbeitsplatzanpassung</x:v>
      </x:c>
      <x:c r="F7" s="116" t="str">
        <x:v>Vakuumheber; Kran-/Hebetechnik; Greiftechnik; Maschinenbeschickung; Nachrüstung CNC/Arbeitsplatz</x:v>
      </x:c>
      <x:c r="G7" s="116" t="str">
        <x:v>Technischer Umsetzer / Handhabungstechnik</x:v>
      </x:c>
      <x:c r="H7" s="116" t="str">
        <x:v>Aacher Straße 29</x:v>
      </x:c>
      <x:c r="I7" s="116" t="str">
        <x:v>72293</x:v>
      </x:c>
      <x:c r="J7" s="116" t="str">
        <x:v>Glatten</x:v>
      </x:c>
      <x:c r="K7" s="116" t="str">
        <x:v>Baden-Württemberg</x:v>
      </x:c>
      <x:c r="L7" s="116" t="str">
        <x:v>Deutschland</x:v>
      </x:c>
      <x:c r="M7" s="116" t="str">
        <x:v>+49 7443 2403-0</x:v>
      </x:c>
      <x:c r="N7" s="116"/>
      <x:c r="O7" s="116" t="str">
        <x:v>schmalz@schmalz.de</x:v>
      </x:c>
      <x:c r="P7" s="116" t="str">
        <x:v>https://www.schmalz.com/de-de/loesungen/branchen-und-anwendungen/holz</x:v>
      </x:c>
      <x:c r="Q7" s="116"/>
      <x:c r="R7" s="116" t="str">
        <x:v>Vakuumheber; Kran-/Hebetechnik; Greiftechnik; Maschinenbeschickung; Nachrüstung CNC/Arbeitsplatz | A+ für Holz/Schreinerei und Metall; besonders CNC-/Plattenhandling, Heben und Wenden.</x:v>
      </x:c>
      <x:c r="S7" s="116" t="str">
        <x:v>nicht spezifisch belegt</x:v>
      </x:c>
      <x:c r="T7" s="116" t="str">
        <x:v>regional + projektbezogen überregional</x:v>
      </x:c>
      <x:c r="U7" s="135"/>
      <x:c r="V7" s="135"/>
      <x:c r="W7" s="116" t="str">
        <x:v>Adresse/Kontakt geprüft; numerische Hauskoordinate noch nicht separat verifiziert</x:v>
      </x:c>
      <x:c r="X7" s="116" t="str">
        <x:v>Kartenpunkt – Adresse geprüft</x:v>
      </x:c>
      <x:c r="Y7" s="116" t="str">
        <x:v>Technik 4.4.x – Neuaufnahme</x:v>
      </x:c>
      <x:c r="Z7" s="116"/>
      <x:c r="AA7" s="116" t="str">
        <x:v>https://www.schmalz.com/de-de/unternehmen/kontakt</x:v>
      </x:c>
      <x:c r="AB7" s="116"/>
      <x:c r="AC7" s="116" t="str">
        <x:v>2026-08-30</x:v>
      </x:c>
      <x:c r="AD7" s="116" t="str">
        <x:v>Aacher Straße 29, 72293 Glatten, Deutschland</x:v>
      </x:c>
      <x:c r="AE7" s="116" t="str">
        <x:v>Für Navigation nennt Schmalz Aacher Straße 29; Firmensitz Johannes-Schmalz-Straße 1.</x:v>
      </x:c>
    </x:row>
    <x:row r="8">
      <x:c r="A8" s="116" t="str">
        <x:v>T-004</x:v>
      </x:c>
      <x:c r="B8" s="116" t="str">
        <x:v>Albert Fezer Maschinenfabrik GmbH</x:v>
      </x:c>
      <x:c r="C8" s="116" t="str">
        <x:v>Aufnehmen</x:v>
      </x:c>
      <x:c r="D8" s="116" t="str">
        <x:v>A+</x:v>
      </x:c>
      <x:c r="E8" s="116" t="str">
        <x:v>Technische Arbeitsplatzanpassung</x:v>
      </x:c>
      <x:c r="F8" s="116" t="str">
        <x:v>Vakuumheber; Schlauchheber; Krananlage; individuelle Greifer; Handhabungssystem</x:v>
      </x:c>
      <x:c r="G8" s="116" t="str">
        <x:v>Technischer Umsetzer / Handhabungstechnik</x:v>
      </x:c>
      <x:c r="H8" s="116" t="str">
        <x:v>In den Weiden 26</x:v>
      </x:c>
      <x:c r="I8" s="116" t="str">
        <x:v>73776</x:v>
      </x:c>
      <x:c r="J8" s="116" t="str">
        <x:v>Altbach</x:v>
      </x:c>
      <x:c r="K8" s="116" t="str">
        <x:v>Baden-Württemberg</x:v>
      </x:c>
      <x:c r="L8" s="116" t="str">
        <x:v>Deutschland</x:v>
      </x:c>
      <x:c r="M8" s="116" t="str">
        <x:v>+49 7153 61316-0</x:v>
      </x:c>
      <x:c r="N8" s="116"/>
      <x:c r="O8" s="116" t="str">
        <x:v>kontakt@fezer.com</x:v>
      </x:c>
      <x:c r="P8" s="116" t="str">
        <x:v>https://www.fezer.com/de/home</x:v>
      </x:c>
      <x:c r="Q8" s="116"/>
      <x:c r="R8" s="116" t="str">
        <x:v>Vakuumheber; Schlauchheber; Krananlage; individuelle Greifer; Handhabungssystem | Vor-Ort-Beratung und kundenspezifische Lösungen; gut für Blech, Holz, Rohre, Behälter und CNC-Beschickung.</x:v>
      </x:c>
      <x:c r="S8" s="116" t="str">
        <x:v>nicht spezifisch belegt</x:v>
      </x:c>
      <x:c r="T8" s="116" t="str">
        <x:v>regional + projektbezogen überregional</x:v>
      </x:c>
      <x:c r="U8" s="135" t="n">
        <x:v>48.722629</x:v>
      </x:c>
      <x:c r="V8" s="135" t="n">
        <x:v>9.374738</x:v>
      </x:c>
      <x:c r="W8" s="116" t="str">
        <x:v>Adresse und numerische Standortkoordinate geprüft</x:v>
      </x:c>
      <x:c r="X8" s="116" t="str">
        <x:v>Kartenpunkt – Koordinate geprüft</x:v>
      </x:c>
      <x:c r="Y8" s="116" t="str">
        <x:v>Technik 4.4.x – Neuaufnahme</x:v>
      </x:c>
      <x:c r="Z8" s="116"/>
      <x:c r="AA8" s="116" t="str">
        <x:v>https://www.fezer.com/de/home</x:v>
      </x:c>
      <x:c r="AB8" s="116" t="str">
        <x:v>Adressbezogene Web-Geoprüfung 2026-08-30</x:v>
      </x:c>
      <x:c r="AC8" s="116" t="str">
        <x:v>2026-08-30</x:v>
      </x:c>
      <x:c r="AD8" s="116" t="str">
        <x:v>In den Weiden 26, 73776 Altbach, Deutschland</x:v>
      </x:c>
      <x:c r="AE8" s="116" t="str">
        <x:v>Standort verifiziert.</x:v>
      </x:c>
    </x:row>
    <x:row r="9">
      <x:c r="A9" s="116" t="str">
        <x:v>T-005</x:v>
      </x:c>
      <x:c r="B9" s="116" t="str">
        <x:v>AERO-LIFT Vakuumtechnik GmbH</x:v>
      </x:c>
      <x:c r="C9" s="116" t="str">
        <x:v>Aufnehmen</x:v>
      </x:c>
      <x:c r="D9" s="116" t="str">
        <x:v>A+</x:v>
      </x:c>
      <x:c r="E9" s="116" t="str">
        <x:v>Technische Arbeitsplatzanpassung</x:v>
      </x:c>
      <x:c r="F9" s="116" t="str">
        <x:v>Vakuumheber; Schlauchheber; Greiftechnik; Wenden/Schwenken; Sonderlösung</x:v>
      </x:c>
      <x:c r="G9" s="116" t="str">
        <x:v>Technischer Umsetzer / Vakuumhandling</x:v>
      </x:c>
      <x:c r="H9" s="116" t="str">
        <x:v>Turmstraße 1</x:v>
      </x:c>
      <x:c r="I9" s="116" t="str">
        <x:v>72351</x:v>
      </x:c>
      <x:c r="J9" s="116" t="str">
        <x:v>Geislingen-Binsdorf</x:v>
      </x:c>
      <x:c r="K9" s="116" t="str">
        <x:v>Baden-Württemberg</x:v>
      </x:c>
      <x:c r="L9" s="116" t="str">
        <x:v>Deutschland</x:v>
      </x:c>
      <x:c r="M9" s="116" t="str">
        <x:v>+49 7428 94514-0</x:v>
      </x:c>
      <x:c r="N9" s="116"/>
      <x:c r="O9" s="116" t="str">
        <x:v>info@aero-lift.de</x:v>
      </x:c>
      <x:c r="P9" s="116" t="str">
        <x:v>https://www.aero-lift.de/produkte/</x:v>
      </x:c>
      <x:c r="Q9" s="116"/>
      <x:c r="R9" s="116" t="str">
        <x:v>Vakuumheber; Schlauchheber; Greiftechnik; Wenden/Schwenken; Sonderlösung | Sehr relevant für Schreinerei/Holzverarbeitung und Metallplatten; kundenspezifische Systeme.</x:v>
      </x:c>
      <x:c r="S9" s="116" t="str">
        <x:v>nicht spezifisch belegt</x:v>
      </x:c>
      <x:c r="T9" s="116" t="str">
        <x:v>regional + projektbezogen überregional</x:v>
      </x:c>
      <x:c r="U9" s="135"/>
      <x:c r="V9" s="135"/>
      <x:c r="W9" s="116" t="str">
        <x:v>Adresse/Kontakt geprüft; numerische Hauskoordinate noch nicht separat verifiziert</x:v>
      </x:c>
      <x:c r="X9" s="116" t="str">
        <x:v>Kartenpunkt – Adresse geprüft</x:v>
      </x:c>
      <x:c r="Y9" s="116" t="str">
        <x:v>Technik 4.4.x – Neuaufnahme</x:v>
      </x:c>
      <x:c r="Z9" s="116"/>
      <x:c r="AA9" s="116" t="str">
        <x:v>https://www.aero-lift.de/</x:v>
      </x:c>
      <x:c r="AB9" s="116"/>
      <x:c r="AC9" s="116" t="str">
        <x:v>2026-08-30</x:v>
      </x:c>
      <x:c r="AD9" s="116" t="str">
        <x:v>Turmstraße 1, 72351 Geislingen-Binsdorf, Deutschland</x:v>
      </x:c>
      <x:c r="AE9" s="116" t="str">
        <x:v>Standort und Zentrale verifiziert.</x:v>
      </x:c>
    </x:row>
    <x:row r="10">
      <x:c r="A10" s="116" t="str">
        <x:v>T-006</x:v>
      </x:c>
      <x:c r="B10" s="116" t="str">
        <x:v>ims Handhabungstechnik GmbH</x:v>
      </x:c>
      <x:c r="C10" s="116" t="str">
        <x:v>Aufnehmen</x:v>
      </x:c>
      <x:c r="D10" s="116" t="str">
        <x:v>A+</x:v>
      </x:c>
      <x:c r="E10" s="116" t="str">
        <x:v>Technische Arbeitsplatzanpassung</x:v>
      </x:c>
      <x:c r="F10" s="116" t="str">
        <x:v>Höhenverstellbarer Montagetisch; Scherenhubtisch; Handhabungstechnik; Sonderkonstruktion</x:v>
      </x:c>
      <x:c r="G10" s="116" t="str">
        <x:v>Technischer Umsetzer / Arbeitsplatz- &amp; Hebetechnik</x:v>
      </x:c>
      <x:c r="H10" s="116" t="str">
        <x:v>Langenmorgen 2/1</x:v>
      </x:c>
      <x:c r="I10" s="116" t="str">
        <x:v>75015</x:v>
      </x:c>
      <x:c r="J10" s="116" t="str">
        <x:v>Bretten</x:v>
      </x:c>
      <x:c r="K10" s="116" t="str">
        <x:v>Baden-Württemberg</x:v>
      </x:c>
      <x:c r="L10" s="116" t="str">
        <x:v>Deutschland</x:v>
      </x:c>
      <x:c r="M10" s="116" t="str">
        <x:v>+49 7252 96661-0</x:v>
      </x:c>
      <x:c r="N10" s="116"/>
      <x:c r="O10" s="116" t="str">
        <x:v>info@ims-tec.de</x:v>
      </x:c>
      <x:c r="P10" s="116" t="str">
        <x:v>https://ims-tec.de/</x:v>
      </x:c>
      <x:c r="Q10" s="116"/>
      <x:c r="R10" s="116" t="str">
        <x:v>Höhenverstellbarer Montagetisch; Scherenhubtisch; Handhabungstechnik; Sonderkonstruktion | Regional sehr guter Kandidat für individuelle Arbeits-/Montagetische und Hubtechnik.</x:v>
      </x:c>
      <x:c r="S10" s="116" t="str">
        <x:v>nicht spezifisch belegt</x:v>
      </x:c>
      <x:c r="T10" s="116" t="str">
        <x:v>regional + projektbezogen überregional</x:v>
      </x:c>
      <x:c r="U10" s="135"/>
      <x:c r="V10" s="135"/>
      <x:c r="W10" s="116" t="str">
        <x:v>Adresse/Kontakt geprüft; numerische Hauskoordinate noch nicht separat verifiziert</x:v>
      </x:c>
      <x:c r="X10" s="116" t="str">
        <x:v>Kartenpunkt – Adresse geprüft</x:v>
      </x:c>
      <x:c r="Y10" s="116" t="str">
        <x:v>Technik 4.4.x – Neuaufnahme</x:v>
      </x:c>
      <x:c r="Z10" s="116"/>
      <x:c r="AA10" s="116" t="str">
        <x:v>https://ims-tec.de/</x:v>
      </x:c>
      <x:c r="AB10" s="116"/>
      <x:c r="AC10" s="116" t="str">
        <x:v>2026-08-30</x:v>
      </x:c>
      <x:c r="AD10" s="116" t="str">
        <x:v>Langenmorgen 2/1, 75015 Bretten, Deutschland</x:v>
      </x:c>
      <x:c r="AE10" s="116" t="str">
        <x:v>Aktuelle Firmenadresse. Alte Verzeichnisadresse Pforzheimer Str. 46 ausdrücklich verworfen.</x:v>
      </x:c>
    </x:row>
    <x:row r="11">
      <x:c r="A11" s="116" t="str">
        <x:v>T-007</x:v>
      </x:c>
      <x:c r="B11" s="116" t="str">
        <x:v>sachs products GmbH</x:v>
      </x:c>
      <x:c r="C11" s="116" t="str">
        <x:v>Aufnehmen</x:v>
      </x:c>
      <x:c r="D11" s="116" t="str">
        <x:v>A+</x:v>
      </x:c>
      <x:c r="E11" s="116" t="str">
        <x:v>Technische Arbeitsplatzanpassung</x:v>
      </x:c>
      <x:c r="F11" s="116" t="str">
        <x:v>Manipulator; Balancer; Greifer; Maschinenbeschickung; Positionierhilfe</x:v>
      </x:c>
      <x:c r="G11" s="116" t="str">
        <x:v>Technischer Umsetzer / Manipulatoren</x:v>
      </x:c>
      <x:c r="H11" s="116" t="str">
        <x:v>Robert-Bosch-Straße 1</x:v>
      </x:c>
      <x:c r="I11" s="116" t="str">
        <x:v>78234</x:v>
      </x:c>
      <x:c r="J11" s="116" t="str">
        <x:v>Engen</x:v>
      </x:c>
      <x:c r="K11" s="116" t="str">
        <x:v>Baden-Württemberg</x:v>
      </x:c>
      <x:c r="L11" s="116" t="str">
        <x:v>Deutschland</x:v>
      </x:c>
      <x:c r="M11" s="116" t="str">
        <x:v>+49 7733 50399-10</x:v>
      </x:c>
      <x:c r="N11" s="116"/>
      <x:c r="O11" s="116" t="str">
        <x:v>vertrieb@sachs-handling.de</x:v>
      </x:c>
      <x:c r="P11" s="116" t="str">
        <x:v>https://www.sachs-products.de/</x:v>
      </x:c>
      <x:c r="Q11" s="116"/>
      <x:c r="R11" s="116" t="str">
        <x:v>Manipulator; Balancer; Greifer; Maschinenbeschickung; Positionierhilfe | Handgeführte Manipulatoren für Logistik, Montage und Produktion; sehr geeignet bei Kraft-/Schulter-/Rückenproblemen.</x:v>
      </x:c>
      <x:c r="S11" s="116" t="str">
        <x:v>nicht spezifisch belegt</x:v>
      </x:c>
      <x:c r="T11" s="116" t="str">
        <x:v>regional + projektbezogen überregional</x:v>
      </x:c>
      <x:c r="U11" s="135"/>
      <x:c r="V11" s="135"/>
      <x:c r="W11" s="116" t="str">
        <x:v>Adresse/Kontakt geprüft; numerische Hauskoordinate noch nicht separat verifiziert</x:v>
      </x:c>
      <x:c r="X11" s="116" t="str">
        <x:v>Kartenpunkt – Adresse geprüft</x:v>
      </x:c>
      <x:c r="Y11" s="116" t="str">
        <x:v>Technik 4.4.x – Neuaufnahme</x:v>
      </x:c>
      <x:c r="Z11" s="116"/>
      <x:c r="AA11" s="116" t="str">
        <x:v>https://www.sachs-products.de/</x:v>
      </x:c>
      <x:c r="AB11" s="116"/>
      <x:c r="AC11" s="116" t="str">
        <x:v>2026-08-30</x:v>
      </x:c>
      <x:c r="AD11" s="116" t="str">
        <x:v>Robert-Bosch-Straße 1, 78234 Engen, Deutschland</x:v>
      </x:c>
      <x:c r="AE11" s="116" t="str">
        <x:v>Standort verifiziert; Handling-Vertrieb als Fachkontakt.</x:v>
      </x:c>
    </x:row>
    <x:row r="12">
      <x:c r="A12" s="116" t="str">
        <x:v>T-008</x:v>
      </x:c>
      <x:c r="B12" s="116" t="str">
        <x:v>Scaglia INDEVA GmbH</x:v>
      </x:c>
      <x:c r="C12" s="116" t="str">
        <x:v>Aufnehmen</x:v>
      </x:c>
      <x:c r="D12" s="116" t="str">
        <x:v>A+</x:v>
      </x:c>
      <x:c r="E12" s="116" t="str">
        <x:v>Technische Arbeitsplatzanpassung</x:v>
      </x:c>
      <x:c r="F12" s="116" t="str">
        <x:v>Manipulator; Greifer; Balancer; Positionierhilfe; Holzplattenhandling</x:v>
      </x:c>
      <x:c r="G12" s="116" t="str">
        <x:v>Technischer Umsetzer / Manipulatoren</x:v>
      </x:c>
      <x:c r="H12" s="116" t="str">
        <x:v>Esslinger Straße 26</x:v>
      </x:c>
      <x:c r="I12" s="116" t="str">
        <x:v>73249</x:v>
      </x:c>
      <x:c r="J12" s="116" t="str">
        <x:v>Wernau (Neckar)</x:v>
      </x:c>
      <x:c r="K12" s="116" t="str">
        <x:v>Baden-Württemberg</x:v>
      </x:c>
      <x:c r="L12" s="116" t="str">
        <x:v>Deutschland</x:v>
      </x:c>
      <x:c r="M12" s="116" t="str">
        <x:v>+49 7153 55049-0</x:v>
      </x:c>
      <x:c r="N12" s="116"/>
      <x:c r="O12" s="116" t="str">
        <x:v>info@de.indevagroup.com</x:v>
      </x:c>
      <x:c r="P12" s="116" t="str">
        <x:v>https://www.indevagroup.de/indeva-in-deutschland/</x:v>
      </x:c>
      <x:c r="Q12" s="116"/>
      <x:c r="R12" s="116" t="str">
        <x:v>Manipulator; Greifer; Balancer; Positionierhilfe; Holzplattenhandling | Deutscher Standort mit Beratung, Installation, Wartung und Showroom; sehr passend für Automotive und Montage.</x:v>
      </x:c>
      <x:c r="S12" s="116" t="str">
        <x:v>nicht spezifisch belegt</x:v>
      </x:c>
      <x:c r="T12" s="116" t="str">
        <x:v>regional + projektbezogen überregional</x:v>
      </x:c>
      <x:c r="U12" s="135" t="n">
        <x:v>48.70036</x:v>
      </x:c>
      <x:c r="V12" s="135" t="n">
        <x:v>9.41589</x:v>
      </x:c>
      <x:c r="W12" s="116" t="str">
        <x:v>Adresse und numerische Standortkoordinate geprüft</x:v>
      </x:c>
      <x:c r="X12" s="116" t="str">
        <x:v>Kartenpunkt – Koordinate geprüft</x:v>
      </x:c>
      <x:c r="Y12" s="116" t="str">
        <x:v>Technik 4.4.x – Neuaufnahme</x:v>
      </x:c>
      <x:c r="Z12" s="116"/>
      <x:c r="AA12" s="116" t="str">
        <x:v>https://www.indevagroup.de/indeva-in-deutschland/</x:v>
      </x:c>
      <x:c r="AB12" s="116" t="str">
        <x:v>Mapcarta / Adressabgleich 2026-08-30</x:v>
      </x:c>
      <x:c r="AC12" s="116" t="str">
        <x:v>2026-08-30</x:v>
      </x:c>
      <x:c r="AD12" s="116" t="str">
        <x:v>Esslinger Straße 26, 73249 Wernau (Neckar), Deutschland</x:v>
      </x:c>
      <x:c r="AE12" s="116" t="str">
        <x:v>Standort verifiziert.</x:v>
      </x:c>
    </x:row>
    <x:row r="13">
      <x:c r="A13" s="116" t="str">
        <x:v>T-009</x:v>
      </x:c>
      <x:c r="B13" s="116" t="str">
        <x:v>ZASCHE handling GmbH</x:v>
      </x:c>
      <x:c r="C13" s="116" t="str">
        <x:v>Aufnehmen</x:v>
      </x:c>
      <x:c r="D13" s="116" t="str">
        <x:v>A+</x:v>
      </x:c>
      <x:c r="E13" s="116" t="str">
        <x:v>Technische Arbeitsplatzanpassung</x:v>
      </x:c>
      <x:c r="F13" s="116" t="str">
        <x:v>Manipulator; Seilbalancer; Parallelogrammgerät; E-Balancer; Sondergreifer</x:v>
      </x:c>
      <x:c r="G13" s="116" t="str">
        <x:v>Technischer Umsetzer / Manipulatoren</x:v>
      </x:c>
      <x:c r="H13" s="116" t="str">
        <x:v>Markham Straße 13</x:v>
      </x:c>
      <x:c r="I13" s="116" t="str">
        <x:v>86720</x:v>
      </x:c>
      <x:c r="J13" s="116" t="str">
        <x:v>Nördlingen</x:v>
      </x:c>
      <x:c r="K13" s="116" t="str">
        <x:v>Bayern</x:v>
      </x:c>
      <x:c r="L13" s="116" t="str">
        <x:v>Deutschland</x:v>
      </x:c>
      <x:c r="M13" s="116" t="str">
        <x:v>+49 9081 8017-0</x:v>
      </x:c>
      <x:c r="N13" s="116"/>
      <x:c r="O13" s="116" t="str">
        <x:v>info@zasche.de</x:v>
      </x:c>
      <x:c r="P13" s="116" t="str">
        <x:v>https://www.zasche.de/smart-handling</x:v>
      </x:c>
      <x:c r="Q13" s="116"/>
      <x:c r="R13" s="116" t="str">
        <x:v>Manipulator; Seilbalancer; Parallelogrammgerät; E-Balancer; Sondergreifer | Ergonomische Unterstützung für Industrie ausdrücklich ausgewiesen; sehr breites Branchenspektrum.</x:v>
      </x:c>
      <x:c r="S13" s="116" t="str">
        <x:v>nicht spezifisch belegt</x:v>
      </x:c>
      <x:c r="T13" s="116" t="str">
        <x:v>regional + projektbezogen überregional</x:v>
      </x:c>
      <x:c r="U13" s="135"/>
      <x:c r="V13" s="135"/>
      <x:c r="W13" s="116" t="str">
        <x:v>Adresse/Kontakt geprüft; numerische Hauskoordinate noch nicht separat verifiziert</x:v>
      </x:c>
      <x:c r="X13" s="116" t="str">
        <x:v>Kartenpunkt – Adresse geprüft</x:v>
      </x:c>
      <x:c r="Y13" s="116" t="str">
        <x:v>Technik 4.4.x – Neuaufnahme</x:v>
      </x:c>
      <x:c r="Z13" s="116"/>
      <x:c r="AA13" s="116" t="str">
        <x:v>https://www.zasche.de/</x:v>
      </x:c>
      <x:c r="AB13" s="116"/>
      <x:c r="AC13" s="116" t="str">
        <x:v>2026-08-30</x:v>
      </x:c>
      <x:c r="AD13" s="116" t="str">
        <x:v>Markham Straße 13, 86720 Nördlingen, Deutschland</x:v>
      </x:c>
      <x:c r="AE13" s="116" t="str">
        <x:v>Aktuelle Adresse verifiziert; frühere Gewerbestraße nicht verwenden.</x:v>
      </x:c>
    </x:row>
    <x:row r="14">
      <x:c r="A14" s="116" t="str">
        <x:v>T-010</x:v>
      </x:c>
      <x:c r="B14" s="116" t="str">
        <x:v>EXPRESSO Deutschland GmbH &amp; Co. KG</x:v>
      </x:c>
      <x:c r="C14" s="116" t="str">
        <x:v>Aufnehmen</x:v>
      </x:c>
      <x:c r="D14" s="116" t="str">
        <x:v>A+</x:v>
      </x:c>
      <x:c r="E14" s="116" t="str">
        <x:v>Technische Arbeitsplatzanpassung</x:v>
      </x:c>
      <x:c r="F14" s="116" t="str">
        <x:v>Balancer; Hebehilfe; mechanischer/vakuum/pneumatischer Greifer; Sonderlösung</x:v>
      </x:c>
      <x:c r="G14" s="116" t="str">
        <x:v>Technischer Umsetzer / Balancer &amp; Greifer</x:v>
      </x:c>
      <x:c r="H14" s="116" t="str">
        <x:v>Antonius-Raab-Straße 19</x:v>
      </x:c>
      <x:c r="I14" s="116" t="str">
        <x:v>34123</x:v>
      </x:c>
      <x:c r="J14" s="116" t="str">
        <x:v>Kassel</x:v>
      </x:c>
      <x:c r="K14" s="116" t="str">
        <x:v>Hessen</x:v>
      </x:c>
      <x:c r="L14" s="116" t="str">
        <x:v>Deutschland</x:v>
      </x:c>
      <x:c r="M14" s="116" t="str">
        <x:v>+49 561 9591-0</x:v>
      </x:c>
      <x:c r="N14" s="116"/>
      <x:c r="O14" s="116" t="str">
        <x:v>info@expresso.de</x:v>
      </x:c>
      <x:c r="P14" s="116" t="str">
        <x:v>https://www.expresso.de/</x:v>
      </x:c>
      <x:c r="Q14" s="116"/>
      <x:c r="R14" s="116" t="str">
        <x:v>Balancer; Hebehilfe; mechanischer/vakuum/pneumatischer Greifer; Sonderlösung | Vor-Ort-Hantierungsanalyse und kundenspezifische Greifer/Balancer; überregional relevant.</x:v>
      </x:c>
      <x:c r="S14" s="116" t="str">
        <x:v>nicht spezifisch belegt</x:v>
      </x:c>
      <x:c r="T14" s="116" t="str">
        <x:v>regional + projektbezogen überregional</x:v>
      </x:c>
      <x:c r="U14" s="135"/>
      <x:c r="V14" s="135"/>
      <x:c r="W14" s="116" t="str">
        <x:v>Adresse/Kontakt geprüft; numerische Hauskoordinate noch nicht separat verifiziert</x:v>
      </x:c>
      <x:c r="X14" s="116" t="str">
        <x:v>Kartenpunkt – Adresse geprüft</x:v>
      </x:c>
      <x:c r="Y14" s="116" t="str">
        <x:v>Technik 4.4.x – Neuaufnahme</x:v>
      </x:c>
      <x:c r="Z14" s="116"/>
      <x:c r="AA14" s="116" t="str">
        <x:v>https://www.expresso.de/</x:v>
      </x:c>
      <x:c r="AB14" s="116"/>
      <x:c r="AC14" s="116" t="str">
        <x:v>2026-08-30</x:v>
      </x:c>
      <x:c r="AD14" s="116" t="str">
        <x:v>Antonius-Raab-Straße 19, 34123 Kassel, Deutschland</x:v>
      </x:c>
      <x:c r="AE14" s="116" t="str">
        <x:v>Standort verifiziert.</x:v>
      </x:c>
    </x:row>
    <x:row r="15">
      <x:c r="A15" s="116" t="str">
        <x:v>T-011</x:v>
      </x:c>
      <x:c r="B15" s="116" t="str">
        <x:v>PRONOMIC GmbH</x:v>
      </x:c>
      <x:c r="C15" s="116" t="str">
        <x:v>Aufnehmen</x:v>
      </x:c>
      <x:c r="D15" s="116" t="str">
        <x:v>A+</x:v>
      </x:c>
      <x:c r="E15" s="116" t="str">
        <x:v>Technische Arbeitsplatzanpassung</x:v>
      </x:c>
      <x:c r="F15" s="116" t="str">
        <x:v>Hebelifter; Manipulator/Kran; Sonderaufnahme; Greifer; Positionierhilfe</x:v>
      </x:c>
      <x:c r="G15" s="116" t="str">
        <x:v>Technischer Umsetzer / Hebe- &amp; Sonderlösungen</x:v>
      </x:c>
      <x:c r="H15" s="116" t="str">
        <x:v>Dennhäuser Straße 62</x:v>
      </x:c>
      <x:c r="I15" s="116" t="str">
        <x:v>34134</x:v>
      </x:c>
      <x:c r="J15" s="116" t="str">
        <x:v>Kassel</x:v>
      </x:c>
      <x:c r="K15" s="116" t="str">
        <x:v>Hessen</x:v>
      </x:c>
      <x:c r="L15" s="116" t="str">
        <x:v>Deutschland</x:v>
      </x:c>
      <x:c r="M15" s="116" t="str">
        <x:v>+49 561 5004000</x:v>
      </x:c>
      <x:c r="N15" s="116"/>
      <x:c r="O15" s="116" t="str">
        <x:v>deutschland@pronomic.com</x:v>
      </x:c>
      <x:c r="P15" s="116" t="str">
        <x:v>https://www.pronomic.com/de/</x:v>
      </x:c>
      <x:c r="Q15" s="116"/>
      <x:c r="R15" s="116" t="str">
        <x:v>Hebelifter; Manipulator/Kran; Sonderaufnahme; Greifer; Positionierhilfe | Bewertet Bedienperson, Bewegungsablauf und Arbeitsplatz; vollständige Kette Beratung bis Test.</x:v>
      </x:c>
      <x:c r="S15" s="116" t="str">
        <x:v>nicht spezifisch belegt</x:v>
      </x:c>
      <x:c r="T15" s="116" t="str">
        <x:v>regional + projektbezogen überregional</x:v>
      </x:c>
      <x:c r="U15" s="135"/>
      <x:c r="V15" s="135"/>
      <x:c r="W15" s="116" t="str">
        <x:v>Adresse/Kontakt geprüft; numerische Hauskoordinate noch nicht separat verifiziert</x:v>
      </x:c>
      <x:c r="X15" s="116" t="str">
        <x:v>Kartenpunkt – Adresse geprüft</x:v>
      </x:c>
      <x:c r="Y15" s="116" t="str">
        <x:v>Technik 4.4.x – Neuaufnahme</x:v>
      </x:c>
      <x:c r="Z15" s="116"/>
      <x:c r="AA15" s="116" t="str">
        <x:v>https://www.pronomic.com/de/</x:v>
      </x:c>
      <x:c r="AB15" s="116"/>
      <x:c r="AC15" s="116" t="str">
        <x:v>2026-08-30</x:v>
      </x:c>
      <x:c r="AD15" s="116" t="str">
        <x:v>Dennhäuser Straße 62, 34134 Kassel, Deutschland</x:v>
      </x:c>
      <x:c r="AE15" s="116" t="str">
        <x:v>Neuer Hauptsitz/aktuelle Adresse verifiziert.</x:v>
      </x:c>
    </x:row>
    <x:row r="16">
      <x:c r="A16" s="116" t="str">
        <x:v>T-012</x:v>
      </x:c>
      <x:c r="B16" s="116" t="str">
        <x:v>Reinhold Beck Maschinenbau GmbH</x:v>
      </x:c>
      <x:c r="C16" s="116" t="str">
        <x:v>Aufnehmen</x:v>
      </x:c>
      <x:c r="D16" s="116" t="str">
        <x:v>A+</x:v>
      </x:c>
      <x:c r="E16" s="116" t="str">
        <x:v>Technische Arbeitsplatzanpassung</x:v>
      </x:c>
      <x:c r="F16" s="116" t="str">
        <x:v>Höhenverstellbarer Arbeits-/Montagetisch; Hubtisch; Dreh-/Kipphilfe; Sonderbau</x:v>
      </x:c>
      <x:c r="G16" s="116" t="str">
        <x:v>Technischer Umsetzer / Holz &amp; Montage</x:v>
      </x:c>
      <x:c r="H16" s="116" t="str">
        <x:v>Im Grund 23</x:v>
      </x:c>
      <x:c r="I16" s="116" t="str">
        <x:v>72505</x:v>
      </x:c>
      <x:c r="J16" s="116" t="str">
        <x:v>Krauchenwies-Bittelschieß</x:v>
      </x:c>
      <x:c r="K16" s="116" t="str">
        <x:v>Baden-Württemberg</x:v>
      </x:c>
      <x:c r="L16" s="116" t="str">
        <x:v>Deutschland</x:v>
      </x:c>
      <x:c r="M16" s="116" t="str">
        <x:v>+49 7576 962978-0</x:v>
      </x:c>
      <x:c r="N16" s="116"/>
      <x:c r="O16" s="116" t="str">
        <x:v>info@beck-maschinenbau.de</x:v>
      </x:c>
      <x:c r="P16" s="116" t="str">
        <x:v>https://beck-maschinenbau.com/produkte/arbeitstische/</x:v>
      </x:c>
      <x:c r="Q16" s="116"/>
      <x:c r="R16" s="116" t="str">
        <x:v>Höhenverstellbarer Arbeits-/Montagetisch; Hubtisch; Dreh-/Kipphilfe; Sonderbau | A+ für Holz/Schreinerei; eigene Konstruktion/Produktion und ergonomische Hub-/Arbeitstische.</x:v>
      </x:c>
      <x:c r="S16" s="116" t="str">
        <x:v>nicht spezifisch belegt</x:v>
      </x:c>
      <x:c r="T16" s="116" t="str">
        <x:v>regional + projektbezogen überregional</x:v>
      </x:c>
      <x:c r="U16" s="135"/>
      <x:c r="V16" s="135"/>
      <x:c r="W16" s="116" t="str">
        <x:v>Adresse/Kontakt geprüft; numerische Hauskoordinate noch nicht separat verifiziert</x:v>
      </x:c>
      <x:c r="X16" s="116" t="str">
        <x:v>Kartenpunkt – Adresse geprüft</x:v>
      </x:c>
      <x:c r="Y16" s="116" t="str">
        <x:v>Technik 4.4.x – Neuaufnahme</x:v>
      </x:c>
      <x:c r="Z16" s="116"/>
      <x:c r="AA16" s="116" t="str">
        <x:v>https://beck-maschinenbau.com/</x:v>
      </x:c>
      <x:c r="AB16" s="116"/>
      <x:c r="AC16" s="116" t="str">
        <x:v>2026-08-30</x:v>
      </x:c>
      <x:c r="AD16" s="116" t="str">
        <x:v>Im Grund 23, 72505 Krauchenwies-Bittelschieß, Deutschland</x:v>
      </x:c>
      <x:c r="AE16" s="116" t="str">
        <x:v>Standort verifiziert.</x:v>
      </x:c>
    </x:row>
    <x:row r="17">
      <x:c r="A17" s="116" t="str">
        <x:v>T-013</x:v>
      </x:c>
      <x:c r="B17" s="116" t="str">
        <x:v>BARTH GmbH</x:v>
      </x:c>
      <x:c r="C17" s="116" t="str">
        <x:v>Aufnehmen</x:v>
      </x:c>
      <x:c r="D17" s="116" t="str">
        <x:v>A+</x:v>
      </x:c>
      <x:c r="E17" s="116" t="str">
        <x:v>Technische Arbeitsplatzanpassung</x:v>
      </x:c>
      <x:c r="F17" s="116" t="str">
        <x:v>Hubtisch; Kipp-/Wendetisch; Montagetisch; Sonderlösung</x:v>
      </x:c>
      <x:c r="G17" s="116" t="str">
        <x:v>Technischer Umsetzer / Holz-Handwerk</x:v>
      </x:c>
      <x:c r="H17" s="116" t="str">
        <x:v>Gerhard-Meister-Straße 5</x:v>
      </x:c>
      <x:c r="I17" s="116" t="str">
        <x:v>83342</x:v>
      </x:c>
      <x:c r="J17" s="116" t="str">
        <x:v>Tacherting</x:v>
      </x:c>
      <x:c r="K17" s="116" t="str">
        <x:v>Bayern</x:v>
      </x:c>
      <x:c r="L17" s="116" t="str">
        <x:v>Deutschland</x:v>
      </x:c>
      <x:c r="M17" s="116" t="str">
        <x:v>+49 8621 5050-600</x:v>
      </x:c>
      <x:c r="N17" s="116"/>
      <x:c r="O17" s="116" t="str">
        <x:v>info@barth-maschinenbau.de</x:v>
      </x:c>
      <x:c r="P17" s="116" t="str">
        <x:v>https://www.barth-maschinenbau.de/</x:v>
      </x:c>
      <x:c r="Q17" s="116"/>
      <x:c r="R17" s="116" t="str">
        <x:v>Hubtisch; Kipp-/Wendetisch; Montagetisch; Sonderlösung | Sehr konkrete Lösungen für Korpusse, Fenster-/Türrahmen, Schleif- und Montagearbeiten.</x:v>
      </x:c>
      <x:c r="S17" s="116" t="str">
        <x:v>nicht spezifisch belegt</x:v>
      </x:c>
      <x:c r="T17" s="116" t="str">
        <x:v>regional + projektbezogen überregional</x:v>
      </x:c>
      <x:c r="U17" s="135"/>
      <x:c r="V17" s="135"/>
      <x:c r="W17" s="116" t="str">
        <x:v>Adresse/Kontakt geprüft; numerische Hauskoordinate noch nicht separat verifiziert</x:v>
      </x:c>
      <x:c r="X17" s="116" t="str">
        <x:v>Kartenpunkt – Adresse geprüft</x:v>
      </x:c>
      <x:c r="Y17" s="116" t="str">
        <x:v>Technik 4.4.x – Neuaufnahme</x:v>
      </x:c>
      <x:c r="Z17" s="116"/>
      <x:c r="AA17" s="116" t="str">
        <x:v>https://www.barth-maschinenbau.de/</x:v>
      </x:c>
      <x:c r="AB17" s="116"/>
      <x:c r="AC17" s="116" t="str">
        <x:v>2026-08-30</x:v>
      </x:c>
      <x:c r="AD17" s="116" t="str">
        <x:v>Gerhard-Meister-Straße 5, 83342 Tacherting, Deutschland</x:v>
      </x:c>
      <x:c r="AE17" s="116" t="str">
        <x:v>Standort verifiziert.</x:v>
      </x:c>
    </x:row>
    <x:row r="18">
      <x:c r="A18" s="116" t="str">
        <x:v>T-014</x:v>
      </x:c>
      <x:c r="B18" s="116" t="str">
        <x:v>BeeWaTec AG</x:v>
      </x:c>
      <x:c r="C18" s="116" t="str">
        <x:v>Aufnehmen</x:v>
      </x:c>
      <x:c r="D18" s="116" t="str">
        <x:v>A</x:v>
      </x:c>
      <x:c r="E18" s="116" t="str">
        <x:v>Technische Arbeitsplatzanpassung</x:v>
      </x:c>
      <x:c r="F18" s="116" t="str">
        <x:v>Montagearbeitsplatz; Hubsystem; Materialbereitstellung; Durchlaufregal; ESD; Schwenkarm</x:v>
      </x:c>
      <x:c r="G18" s="116" t="str">
        <x:v>Technischer Umsetzer / Arbeitsplatzsysteme</x:v>
      </x:c>
      <x:c r="H18" s="116" t="str">
        <x:v>Kunstmühlestraße 16</x:v>
      </x:c>
      <x:c r="I18" s="116" t="str">
        <x:v>72793</x:v>
      </x:c>
      <x:c r="J18" s="116" t="str">
        <x:v>Pfullingen</x:v>
      </x:c>
      <x:c r="K18" s="116" t="str">
        <x:v>Baden-Württemberg</x:v>
      </x:c>
      <x:c r="L18" s="116" t="str">
        <x:v>Deutschland</x:v>
      </x:c>
      <x:c r="M18" s="116" t="str">
        <x:v>+49 7121 628716-0</x:v>
      </x:c>
      <x:c r="N18" s="116"/>
      <x:c r="O18" s="116" t="str">
        <x:v>info@beewatec.de</x:v>
      </x:c>
      <x:c r="P18" s="116" t="str">
        <x:v>https://www.beewatec.com/de/lean-loesungen/arbeitsplatzsysteme/</x:v>
      </x:c>
      <x:c r="Q18" s="116"/>
      <x:c r="R18" s="116" t="str">
        <x:v>Montagearbeitsplatz; Hubsystem; Materialbereitstellung; Durchlaufregal; ESD; Schwenkarm | Individuelle ergonomische Montage-, Pack- und Kontrollarbeitsplätze mit modularer Materialbereitstellung.</x:v>
      </x:c>
      <x:c r="S18" s="116" t="str">
        <x:v>nicht spezifisch belegt</x:v>
      </x:c>
      <x:c r="T18" s="116" t="str">
        <x:v>regional + projektbezogen überregional</x:v>
      </x:c>
      <x:c r="U18" s="135"/>
      <x:c r="V18" s="135"/>
      <x:c r="W18" s="116" t="str">
        <x:v>Adresse/Kontakt geprüft; numerische Hauskoordinate noch nicht separat verifiziert</x:v>
      </x:c>
      <x:c r="X18" s="116" t="str">
        <x:v>Kartenpunkt – Adresse geprüft</x:v>
      </x:c>
      <x:c r="Y18" s="116" t="str">
        <x:v>Technik 4.4.x – Neuaufnahme</x:v>
      </x:c>
      <x:c r="Z18" s="116"/>
      <x:c r="AA18" s="116" t="str">
        <x:v>https://www.beewatec.com/de/</x:v>
      </x:c>
      <x:c r="AB18" s="116"/>
      <x:c r="AC18" s="116" t="str">
        <x:v>2026-08-30</x:v>
      </x:c>
      <x:c r="AD18" s="116" t="str">
        <x:v>Kunstmühlestraße 16, 72793 Pfullingen, Deutschland</x:v>
      </x:c>
      <x:c r="AE18" s="116" t="str">
        <x:v>Standort verifiziert.</x:v>
      </x:c>
    </x:row>
    <x:row r="19">
      <x:c r="A19" s="116" t="str">
        <x:v>T-015</x:v>
      </x:c>
      <x:c r="B19" s="116" t="str">
        <x:v>bott GmbH &amp; Co. KG</x:v>
      </x:c>
      <x:c r="C19" s="116" t="str">
        <x:v>Aufnehmen</x:v>
      </x:c>
      <x:c r="D19" s="116" t="str">
        <x:v>A</x:v>
      </x:c>
      <x:c r="E19" s="116" t="str">
        <x:v>Technische Arbeitsplatzanpassung</x:v>
      </x:c>
      <x:c r="F19" s="116" t="str">
        <x:v>Montage-/Prüfarbeitsplatz; Werkstatteinrichtung; Material-/Werkzeugbereitstellung</x:v>
      </x:c>
      <x:c r="G19" s="116" t="str">
        <x:v>Technischer Umsetzer / Arbeitsplatzsysteme</x:v>
      </x:c>
      <x:c r="H19" s="116" t="str">
        <x:v>Bahnstraße 17</x:v>
      </x:c>
      <x:c r="I19" s="116" t="str">
        <x:v>74405</x:v>
      </x:c>
      <x:c r="J19" s="116" t="str">
        <x:v>Gaildorf</x:v>
      </x:c>
      <x:c r="K19" s="116" t="str">
        <x:v>Baden-Württemberg</x:v>
      </x:c>
      <x:c r="L19" s="116" t="str">
        <x:v>Deutschland</x:v>
      </x:c>
      <x:c r="M19" s="116" t="str">
        <x:v>+49 7971 251-0</x:v>
      </x:c>
      <x:c r="N19" s="116"/>
      <x:c r="O19" s="116" t="str">
        <x:v>info@bott.de</x:v>
      </x:c>
      <x:c r="P19" s="116" t="str">
        <x:v>https://www.bott.de/</x:v>
      </x:c>
      <x:c r="Q19" s="116"/>
      <x:c r="R19" s="116" t="str">
        <x:v>Montage-/Prüfarbeitsplatz; Werkstatteinrichtung; Material-/Werkzeugbereitstellung | Als industrieller Umsetzer führen, nicht als unabhängigen Reha-Gutachter.</x:v>
      </x:c>
      <x:c r="S19" s="116" t="str">
        <x:v>nicht spezifisch belegt</x:v>
      </x:c>
      <x:c r="T19" s="116" t="str">
        <x:v>regional + projektbezogen überregional</x:v>
      </x:c>
      <x:c r="U19" s="135"/>
      <x:c r="V19" s="135"/>
      <x:c r="W19" s="116" t="str">
        <x:v>Adresse/Kontakt geprüft; numerische Hauskoordinate noch nicht separat verifiziert</x:v>
      </x:c>
      <x:c r="X19" s="116" t="str">
        <x:v>Kartenpunkt – Adresse geprüft</x:v>
      </x:c>
      <x:c r="Y19" s="116" t="str">
        <x:v>Technik 4.4.x – Neuaufnahme</x:v>
      </x:c>
      <x:c r="Z19" s="116"/>
      <x:c r="AA19" s="116" t="str">
        <x:v>https://www.bott.de/</x:v>
      </x:c>
      <x:c r="AB19" s="116"/>
      <x:c r="AC19" s="116" t="str">
        <x:v>2026-08-30</x:v>
      </x:c>
      <x:c r="AD19" s="116" t="str">
        <x:v>Bahnstraße 17, 74405 Gaildorf, Deutschland</x:v>
      </x:c>
      <x:c r="AE19" s="116" t="str">
        <x:v>Standort verifiziert.</x:v>
      </x:c>
    </x:row>
    <x:row r="20">
      <x:c r="A20" s="116" t="str">
        <x:v>T-016</x:v>
      </x:c>
      <x:c r="B20" s="116" t="str">
        <x:v>Blickle Räder+Rollen GmbH u. Co. KG / ErgoMove</x:v>
      </x:c>
      <x:c r="C20" s="116" t="str">
        <x:v>Aufnehmen</x:v>
      </x:c>
      <x:c r="D20" s="116" t="str">
        <x:v>A</x:v>
      </x:c>
      <x:c r="E20" s="116" t="str">
        <x:v>Technische Arbeitsplatzanpassung</x:v>
      </x:c>
      <x:c r="F20" s="116" t="str">
        <x:v>Elektrische Transporthilfe; Nachrüstung Transportwagen; Fahr-/Lenkhilfe</x:v>
      </x:c>
      <x:c r="G20" s="116" t="str">
        <x:v>Technischer Umsetzer / Materialtransport</x:v>
      </x:c>
      <x:c r="H20" s="116" t="str">
        <x:v>Heinrich-Blickle-Straße 1</x:v>
      </x:c>
      <x:c r="I20" s="116" t="str">
        <x:v>72348</x:v>
      </x:c>
      <x:c r="J20" s="116" t="str">
        <x:v>Rosenfeld</x:v>
      </x:c>
      <x:c r="K20" s="116" t="str">
        <x:v>Baden-Württemberg</x:v>
      </x:c>
      <x:c r="L20" s="116" t="str">
        <x:v>Deutschland</x:v>
      </x:c>
      <x:c r="M20" s="116" t="str">
        <x:v>+49 7428 932-8000</x:v>
      </x:c>
      <x:c r="N20" s="116"/>
      <x:c r="O20" s="116" t="str">
        <x:v>ergomove@blickle.com</x:v>
      </x:c>
      <x:c r="P20" s="116" t="str">
        <x:v>https://www.blickle.com/ergomove</x:v>
      </x:c>
      <x:c r="Q20" s="116"/>
      <x:c r="R20" s="116" t="str">
        <x:v>Elektrische Transporthilfe; Nachrüstung Transportwagen; Fahr-/Lenkhilfe | Sehr interessant bei reduzierter Schiebe-/Zugkraft; vorhandene Wagen können elektrisch unterstützt werden.</x:v>
      </x:c>
      <x:c r="S20" s="116" t="str">
        <x:v>nicht spezifisch belegt</x:v>
      </x:c>
      <x:c r="T20" s="116" t="str">
        <x:v>regional + projektbezogen überregional</x:v>
      </x:c>
      <x:c r="U20" s="135"/>
      <x:c r="V20" s="135"/>
      <x:c r="W20" s="116" t="str">
        <x:v>Adresse/Kontakt geprüft; numerische Hauskoordinate noch nicht separat verifiziert</x:v>
      </x:c>
      <x:c r="X20" s="116" t="str">
        <x:v>Kartenpunkt – Adresse geprüft</x:v>
      </x:c>
      <x:c r="Y20" s="116" t="str">
        <x:v>Technik 4.4.x – Neuaufnahme</x:v>
      </x:c>
      <x:c r="Z20" s="116"/>
      <x:c r="AA20" s="116" t="str">
        <x:v>https://www.blickle.com/ergomove</x:v>
      </x:c>
      <x:c r="AB20" s="116"/>
      <x:c r="AC20" s="116" t="str">
        <x:v>2026-08-30</x:v>
      </x:c>
      <x:c r="AD20" s="116" t="str">
        <x:v>Heinrich-Blickle-Straße 1, 72348 Rosenfeld, Deutschland</x:v>
      </x:c>
      <x:c r="AE20" s="116" t="str">
        <x:v>ErgoMove-Fachkontakt verifiziert.</x:v>
      </x:c>
    </x:row>
    <x:row r="21">
      <x:c r="A21" s="116" t="str">
        <x:v>T-017</x:v>
      </x:c>
      <x:c r="B21" s="116" t="str">
        <x:v>Carl Stahl / Kromer</x:v>
      </x:c>
      <x:c r="C21" s="116" t="str">
        <x:v>Aufnehmen</x:v>
      </x:c>
      <x:c r="D21" s="116" t="str">
        <x:v>A</x:v>
      </x:c>
      <x:c r="E21" s="116" t="str">
        <x:v>Technische Arbeitsplatzanpassung</x:v>
      </x:c>
      <x:c r="F21" s="116" t="str">
        <x:v>Werkzeugbalancer; Federzug; Gewichtsausgleicher; Arbeitsplatzanalyse</x:v>
      </x:c>
      <x:c r="G21" s="116" t="str">
        <x:v>Technischer Umsetzer / Werkzeugentlastung</x:v>
      </x:c>
      <x:c r="H21" s="116" t="str">
        <x:v>Tobelstraße 2</x:v>
      </x:c>
      <x:c r="I21" s="116" t="str">
        <x:v>73079</x:v>
      </x:c>
      <x:c r="J21" s="116" t="str">
        <x:v>Süßen</x:v>
      </x:c>
      <x:c r="K21" s="116" t="str">
        <x:v>Baden-Württemberg</x:v>
      </x:c>
      <x:c r="L21" s="116" t="str">
        <x:v>Deutschland</x:v>
      </x:c>
      <x:c r="M21" s="116" t="str">
        <x:v>+49 7162 4007-1000</x:v>
      </x:c>
      <x:c r="N21" s="116"/>
      <x:c r="O21" s="116" t="str">
        <x:v>carlstahl@carlstahl.com</x:v>
      </x:c>
      <x:c r="P21" s="116" t="str">
        <x:v>https://www.carlstahl.com/de/de/loesungen/federzuege-und-balancer-fuer-ergonomische-werkzeugfuehrung</x:v>
      </x:c>
      <x:c r="Q21" s="116"/>
      <x:c r="R21" s="116" t="str">
        <x:v>Werkzeugbalancer; Federzug; Gewichtsausgleicher; Arbeitsplatzanalyse | Besonders relevant für Winkelschleifer, Schrauber und andere schwere Handwerkzeuge.</x:v>
      </x:c>
      <x:c r="S21" s="116" t="str">
        <x:v>nicht spezifisch belegt</x:v>
      </x:c>
      <x:c r="T21" s="116" t="str">
        <x:v>überregional / bundesweit projektbezogen</x:v>
      </x:c>
      <x:c r="U21" s="135"/>
      <x:c r="V21" s="135"/>
      <x:c r="W21" s="116" t="str">
        <x:v>Adresse/Kontakt geprüft; numerische Hauskoordinate noch nicht separat verifiziert</x:v>
      </x:c>
      <x:c r="X21" s="116" t="str">
        <x:v>Kartenpunkt – Adresse geprüft</x:v>
      </x:c>
      <x:c r="Y21" s="116" t="str">
        <x:v>Technik 4.4.x – Neuaufnahme</x:v>
      </x:c>
      <x:c r="Z21" s="116"/>
      <x:c r="AA21" s="116" t="str">
        <x:v>https://www.carlstahl.com/</x:v>
      </x:c>
      <x:c r="AB21" s="116"/>
      <x:c r="AC21" s="116" t="str">
        <x:v>2026-08-30</x:v>
      </x:c>
      <x:c r="AD21" s="116" t="str">
        <x:v>Tobelstraße 2, 73079 Süßen, Deutschland</x:v>
      </x:c>
      <x:c r="AE21" s="116" t="str">
        <x:v>Standort verifiziert; überregional einsetzbar.</x:v>
      </x:c>
    </x:row>
    <x:row r="22">
      <x:c r="A22" s="116" t="str">
        <x:v>T-018</x:v>
      </x:c>
      <x:c r="B22" s="116" t="str">
        <x:v>German Tools GmbH</x:v>
      </x:c>
      <x:c r="C22" s="116" t="str">
        <x:v>Aufnehmen</x:v>
      </x:c>
      <x:c r="D22" s="116" t="str">
        <x:v>A</x:v>
      </x:c>
      <x:c r="E22" s="116" t="str">
        <x:v>Technische Arbeitsplatzanpassung</x:v>
      </x:c>
      <x:c r="F22" s="116" t="str">
        <x:v>Drehmomentarm; Balancer; Positionsüberwachung; ergonomischer Schraubplatz</x:v>
      </x:c>
      <x:c r="G22" s="116" t="str">
        <x:v>Technischer Umsetzer / Schraubarbeitsplätze</x:v>
      </x:c>
      <x:c r="H22" s="116" t="str">
        <x:v>Boschstraße 3</x:v>
      </x:c>
      <x:c r="I22" s="116" t="str">
        <x:v>59609</x:v>
      </x:c>
      <x:c r="J22" s="116" t="str">
        <x:v>Anröchte</x:v>
      </x:c>
      <x:c r="K22" s="116" t="str">
        <x:v>Nordrhein-Westfalen</x:v>
      </x:c>
      <x:c r="L22" s="116" t="str">
        <x:v>Deutschland</x:v>
      </x:c>
      <x:c r="M22" s="116" t="str">
        <x:v>+49 2947 6569960</x:v>
      </x:c>
      <x:c r="N22" s="116"/>
      <x:c r="O22" s="116" t="str">
        <x:v>info@germantools-gmbh.de</x:v>
      </x:c>
      <x:c r="P22" s="116" t="str">
        <x:v>https://www.germantools-gmbh.de/</x:v>
      </x:c>
      <x:c r="Q22" s="116"/>
      <x:c r="R22" s="116" t="str">
        <x:v>Drehmomentarm; Balancer; Positionsüberwachung; ergonomischer Schraubplatz | Spezialist für ergonomische Schraub- und Montageplätze; bundesweit einsetzbar.</x:v>
      </x:c>
      <x:c r="S22" s="116" t="str">
        <x:v>nicht spezifisch belegt</x:v>
      </x:c>
      <x:c r="T22" s="116" t="str">
        <x:v>überregional / bundesweit projektbezogen</x:v>
      </x:c>
      <x:c r="U22" s="135"/>
      <x:c r="V22" s="135"/>
      <x:c r="W22" s="116" t="str">
        <x:v>Adresse/Kontakt geprüft; numerische Hauskoordinate noch nicht separat verifiziert</x:v>
      </x:c>
      <x:c r="X22" s="116" t="str">
        <x:v>Kartenpunkt – Adresse geprüft</x:v>
      </x:c>
      <x:c r="Y22" s="116" t="str">
        <x:v>Technik 4.4.x – Neuaufnahme</x:v>
      </x:c>
      <x:c r="Z22" s="116"/>
      <x:c r="AA22" s="116" t="str">
        <x:v>https://www.germantools-gmbh.de/</x:v>
      </x:c>
      <x:c r="AB22" s="116"/>
      <x:c r="AC22" s="116" t="str">
        <x:v>2026-08-30</x:v>
      </x:c>
      <x:c r="AD22" s="116" t="str">
        <x:v>Boschstraße 3, 59609 Anröchte, Deutschland</x:v>
      </x:c>
      <x:c r="AE22" s="116" t="str">
        <x:v>Aktuelle Adresse; Umzug seit 2025 berücksichtigt.</x:v>
      </x:c>
    </x:row>
    <x:row r="23">
      <x:c r="A23" s="116" t="str">
        <x:v>T-019</x:v>
      </x:c>
      <x:c r="B23" s="116" t="str">
        <x:v>Atlas Copco Industrial Technique</x:v>
      </x:c>
      <x:c r="C23" s="116" t="str">
        <x:v>Aufnehmen</x:v>
      </x:c>
      <x:c r="D23" s="116" t="str">
        <x:v>A</x:v>
      </x:c>
      <x:c r="E23" s="116" t="str">
        <x:v>Technische Arbeitsplatzanpassung</x:v>
      </x:c>
      <x:c r="F23" s="116" t="str">
        <x:v>Drehmomentarm; Werkzeugführung; Schraubtechnik; Montageassistenz</x:v>
      </x:c>
      <x:c r="G23" s="116" t="str">
        <x:v>Technischer Umsetzer / Montagewerkzeuge</x:v>
      </x:c>
      <x:c r="H23" s="116" t="str">
        <x:v>Wetterschacht 9</x:v>
      </x:c>
      <x:c r="I23" s="116" t="str">
        <x:v>45139</x:v>
      </x:c>
      <x:c r="J23" s="116" t="str">
        <x:v>Essen</x:v>
      </x:c>
      <x:c r="K23" s="116" t="str">
        <x:v>Nordrhein-Westfalen</x:v>
      </x:c>
      <x:c r="L23" s="116" t="str">
        <x:v>Deutschland</x:v>
      </x:c>
      <x:c r="M23" s="116" t="str">
        <x:v>+49 201 2177-0</x:v>
      </x:c>
      <x:c r="N23" s="116"/>
      <x:c r="O23" s="116" t="str">
        <x:v>tools.de@atlascopco.com</x:v>
      </x:c>
      <x:c r="P23" s="116" t="str">
        <x:v>https://www.atlascopco.com/de-de/itba</x:v>
      </x:c>
      <x:c r="Q23" s="116"/>
      <x:c r="R23" s="116" t="str">
        <x:v>Drehmomentarm; Werkzeugführung; Schraubtechnik; Montageassistenz | Ergonomische Lösung für Reaktionskräfte von Schraubern; Standortbezogene Beratung bei Bedarf ergänzen.</x:v>
      </x:c>
      <x:c r="S23" s="116" t="str">
        <x:v>nicht spezifisch belegt</x:v>
      </x:c>
      <x:c r="T23" s="116" t="str">
        <x:v>überregional / bundesweit projektbezogen</x:v>
      </x:c>
      <x:c r="U23" s="135"/>
      <x:c r="V23" s="135"/>
      <x:c r="W23" s="116" t="str">
        <x:v>Adresse/Kontakt geprüft; numerische Hauskoordinate noch nicht separat verifiziert</x:v>
      </x:c>
      <x:c r="X23" s="116" t="str">
        <x:v>Kartenpunkt – Adresse geprüft</x:v>
      </x:c>
      <x:c r="Y23" s="116" t="str">
        <x:v>Technik 4.4.x – Neuaufnahme</x:v>
      </x:c>
      <x:c r="Z23" s="116"/>
      <x:c r="AA23" s="116" t="str">
        <x:v>https://www.atlascopco.com/de-de/itba</x:v>
      </x:c>
      <x:c r="AB23" s="116"/>
      <x:c r="AC23" s="116" t="str">
        <x:v>2026-08-30</x:v>
      </x:c>
      <x:c r="AD23" s="116" t="str">
        <x:v>Wetterschacht 9, 45139 Essen, Deutschland</x:v>
      </x:c>
      <x:c r="AE23" s="116" t="str">
        <x:v>Deutscher Industrial-Technique-Standort; Leistungsgebiet überregional.</x:v>
      </x:c>
    </x:row>
    <x:row r="24">
      <x:c r="A24" s="116" t="str">
        <x:v>T-020</x:v>
      </x:c>
      <x:c r="B24" s="116" t="str">
        <x:v>Bimos / Interstuhl Group</x:v>
      </x:c>
      <x:c r="C24" s="116" t="str">
        <x:v>Aufnehmen</x:v>
      </x:c>
      <x:c r="D24" s="116" t="str">
        <x:v>A</x:v>
      </x:c>
      <x:c r="E24" s="116" t="str">
        <x:v>Technische Arbeitsplatzanpassung</x:v>
      </x:c>
      <x:c r="F24" s="116" t="str">
        <x:v>Industriesitz; Stehhilfe; Sitz-Steh-Lösung; ESD-Sitzlösung</x:v>
      </x:c>
      <x:c r="G24" s="116" t="str">
        <x:v>Technischer Umsetzer / Industrie-Sitzlösungen</x:v>
      </x:c>
      <x:c r="H24" s="116" t="str">
        <x:v>Brühlstraße 21</x:v>
      </x:c>
      <x:c r="I24" s="116" t="str">
        <x:v>72469</x:v>
      </x:c>
      <x:c r="J24" s="116" t="str">
        <x:v>Meßstetten-Tieringen</x:v>
      </x:c>
      <x:c r="K24" s="116" t="str">
        <x:v>Baden-Württemberg</x:v>
      </x:c>
      <x:c r="L24" s="116" t="str">
        <x:v>Deutschland</x:v>
      </x:c>
      <x:c r="M24" s="116" t="str">
        <x:v>+49 7436 871-0</x:v>
      </x:c>
      <x:c r="N24" s="116"/>
      <x:c r="O24" s="116" t="str">
        <x:v>info@bimos.de</x:v>
      </x:c>
      <x:c r="P24" s="116" t="str">
        <x:v>https://www.bimos.com/de-de/produkte/industriestuehle</x:v>
      </x:c>
      <x:c r="Q24" s="116"/>
      <x:c r="R24" s="116" t="str">
        <x:v>Industriesitz; Stehhilfe; Sitz-Steh-Lösung; ESD-Sitzlösung | Spezialisiert auf Produktion, Werkstatt und Montage; sinnvoll bei Rücken-/Bein-/Stehproblemen.</x:v>
      </x:c>
      <x:c r="S24" s="116" t="str">
        <x:v>nicht spezifisch belegt</x:v>
      </x:c>
      <x:c r="T24" s="116" t="str">
        <x:v>überregional / bundesweit projektbezogen</x:v>
      </x:c>
      <x:c r="U24" s="135"/>
      <x:c r="V24" s="135"/>
      <x:c r="W24" s="116" t="str">
        <x:v>Adresse/Kontakt geprüft; numerische Hauskoordinate noch nicht separat verifiziert</x:v>
      </x:c>
      <x:c r="X24" s="116" t="str">
        <x:v>Kartenpunkt – Adresse geprüft</x:v>
      </x:c>
      <x:c r="Y24" s="116" t="str">
        <x:v>Technik 4.4.x – Neuaufnahme</x:v>
      </x:c>
      <x:c r="Z24" s="116"/>
      <x:c r="AA24" s="116" t="str">
        <x:v>https://www.bimos.com/de-de/</x:v>
      </x:c>
      <x:c r="AB24" s="116"/>
      <x:c r="AC24" s="116" t="str">
        <x:v>2026-08-30</x:v>
      </x:c>
      <x:c r="AD24" s="116" t="str">
        <x:v>Brühlstraße 21, 72469 Meßstetten-Tieringen, Deutschland</x:v>
      </x:c>
      <x:c r="AE24" s="116" t="str">
        <x:v>Bimos/Interstuhl-Standort verifiziert.</x:v>
      </x:c>
    </x:row>
    <x:row r="25">
      <x:c r="A25" s="116" t="str">
        <x:v>T-021</x:v>
      </x:c>
      <x:c r="B25" s="116" t="str">
        <x:v>HUNIC GmbH</x:v>
      </x:c>
      <x:c r="C25" s="116" t="str">
        <x:v>Aufnehmen</x:v>
      </x:c>
      <x:c r="D25" s="116" t="str">
        <x:v>A</x:v>
      </x:c>
      <x:c r="E25" s="116" t="str">
        <x:v>Technische Arbeitsplatzanpassung</x:v>
      </x:c>
      <x:c r="F25" s="116" t="str">
        <x:v>Exoskelett; körpergetragene Assistenz; Vor-Ort-Demo</x:v>
      </x:c>
      <x:c r="G25" s="116" t="str">
        <x:v>Technischer Umsetzer / Exoskelett</x:v>
      </x:c>
      <x:c r="H25" s="116" t="str">
        <x:v>Bergerweg 51</x:v>
      </x:c>
      <x:c r="I25" s="116" t="str">
        <x:v>72270</x:v>
      </x:c>
      <x:c r="J25" s="116" t="str">
        <x:v>Baiersbronn</x:v>
      </x:c>
      <x:c r="K25" s="116" t="str">
        <x:v>Baden-Württemberg</x:v>
      </x:c>
      <x:c r="L25" s="116" t="str">
        <x:v>Deutschland</x:v>
      </x:c>
      <x:c r="M25" s="116" t="str">
        <x:v>+49 7442 608231</x:v>
      </x:c>
      <x:c r="N25" s="116"/>
      <x:c r="O25" s="116" t="str">
        <x:v>info@hunic.de</x:v>
      </x:c>
      <x:c r="P25" s="116" t="str">
        <x:v>https://www.hunic.com/</x:v>
      </x:c>
      <x:c r="Q25" s="116"/>
      <x:c r="R25" s="116" t="str">
        <x:v>Exoskelett; körpergetragene Assistenz; Vor-Ort-Demo | Nur als individuell zu prüfende Sonderlösung führen; nicht pauschal als Reha-Hilfsmittel empfehlen.</x:v>
      </x:c>
      <x:c r="S25" s="116" t="str">
        <x:v>nicht spezifisch belegt</x:v>
      </x:c>
      <x:c r="T25" s="116" t="str">
        <x:v>regional + projektbezogen überregional</x:v>
      </x:c>
      <x:c r="U25" s="135"/>
      <x:c r="V25" s="135"/>
      <x:c r="W25" s="116" t="str">
        <x:v>Adresse/Kontakt geprüft; numerische Hauskoordinate noch nicht separat verifiziert</x:v>
      </x:c>
      <x:c r="X25" s="116" t="str">
        <x:v>Kartenpunkt – Adresse geprüft</x:v>
      </x:c>
      <x:c r="Y25" s="116" t="str">
        <x:v>Technik 4.4.x – Neuaufnahme</x:v>
      </x:c>
      <x:c r="Z25" s="116"/>
      <x:c r="AA25" s="116" t="str">
        <x:v>https://www.hunic.com/</x:v>
      </x:c>
      <x:c r="AB25" s="116"/>
      <x:c r="AC25" s="116" t="str">
        <x:v>2026-08-30</x:v>
      </x:c>
      <x:c r="AD25" s="116" t="str">
        <x:v>Bergerweg 51, 72270 Baiersbronn, Deutschland</x:v>
      </x:c>
      <x:c r="AE25" s="116" t="str">
        <x:v>Standort verifiziert.</x:v>
      </x:c>
    </x:row>
    <x:row r="26">
      <x:c r="A26" s="116" t="str">
        <x:v>T-022</x:v>
      </x:c>
      <x:c r="B26" s="116" t="str">
        <x:v>hTRIUS GmbH</x:v>
      </x:c>
      <x:c r="C26" s="116" t="str">
        <x:v>Aufnehmen</x:v>
      </x:c>
      <x:c r="D26" s="116" t="str">
        <x:v>A</x:v>
      </x:c>
      <x:c r="E26" s="116" t="str">
        <x:v>Technische Arbeitsplatzanpassung</x:v>
      </x:c>
      <x:c r="F26" s="116" t="str">
        <x:v>Exoskelett; Rückenassistenz; Demo/Rollout</x:v>
      </x:c>
      <x:c r="G26" s="116" t="str">
        <x:v>Technischer Umsetzer / Exoskelett</x:v>
      </x:c>
      <x:c r="H26" s="116" t="str">
        <x:v>Junghansstraße 16</x:v>
      </x:c>
      <x:c r="I26" s="116" t="str">
        <x:v>72160</x:v>
      </x:c>
      <x:c r="J26" s="116" t="str">
        <x:v>Horb am Neckar</x:v>
      </x:c>
      <x:c r="K26" s="116" t="str">
        <x:v>Baden-Württemberg</x:v>
      </x:c>
      <x:c r="L26" s="116" t="str">
        <x:v>Deutschland</x:v>
      </x:c>
      <x:c r="M26" s="116" t="str">
        <x:v>+49 7451 5391551</x:v>
      </x:c>
      <x:c r="N26" s="116"/>
      <x:c r="O26" s="116" t="str">
        <x:v>info@htrius.com</x:v>
      </x:c>
      <x:c r="P26" s="116" t="str">
        <x:v>https://www.htrius.com/</x:v>
      </x:c>
      <x:c r="Q26" s="116"/>
      <x:c r="R26" s="116" t="str">
        <x:v>Exoskelett; Rückenassistenz; Demo/Rollout | Eignung im Einzelfall prüfen; sinnvoll als Option bei belastenden Hebe-/Beugebewegungen.</x:v>
      </x:c>
      <x:c r="S26" s="116" t="str">
        <x:v>nicht spezifisch belegt</x:v>
      </x:c>
      <x:c r="T26" s="116" t="str">
        <x:v>regional + projektbezogen überregional</x:v>
      </x:c>
      <x:c r="U26" s="135"/>
      <x:c r="V26" s="135"/>
      <x:c r="W26" s="116" t="str">
        <x:v>Adresse/Kontakt geprüft; numerische Hauskoordinate noch nicht separat verifiziert</x:v>
      </x:c>
      <x:c r="X26" s="116" t="str">
        <x:v>Kartenpunkt – Adresse geprüft</x:v>
      </x:c>
      <x:c r="Y26" s="116" t="str">
        <x:v>Technik 4.4.x – Neuaufnahme</x:v>
      </x:c>
      <x:c r="Z26" s="116"/>
      <x:c r="AA26" s="116" t="str">
        <x:v>https://www.htrius.com/</x:v>
      </x:c>
      <x:c r="AB26" s="116"/>
      <x:c r="AC26" s="116" t="str">
        <x:v>2026-08-30</x:v>
      </x:c>
      <x:c r="AD26" s="116" t="str">
        <x:v>Junghansstraße 16, 72160 Horb am Neckar, Deutschland</x:v>
      </x:c>
      <x:c r="AE26" s="116" t="str">
        <x:v>Aktuelle Adresse nach Adressänderung 2025 verifiziert.</x:v>
      </x:c>
    </x:row>
    <x:row r="27">
      <x:c r="A27" s="116" t="str">
        <x:v>T-023</x:v>
      </x:c>
      <x:c r="B27" s="116" t="str">
        <x:v>HDC Huttelmaier Retrofit</x:v>
      </x:c>
      <x:c r="C27" s="116" t="str">
        <x:v>Aufnehmen</x:v>
      </x:c>
      <x:c r="D27" s="116" t="str">
        <x:v>A</x:v>
      </x:c>
      <x:c r="E27" s="116" t="str">
        <x:v>Technische Arbeitsplatzanpassung</x:v>
      </x:c>
      <x:c r="F27" s="116" t="str">
        <x:v>Maschinenretrofit; Steuerungsumbau; Bedienpult; Elektrik/Schaltschrank; Schutzeinrichtung</x:v>
      </x:c>
      <x:c r="G27" s="116" t="str">
        <x:v>Technischer Umsetzer / Maschinenretrofit</x:v>
      </x:c>
      <x:c r="H27" s="116" t="str">
        <x:v>Winterbacher Straße 66</x:v>
      </x:c>
      <x:c r="I27" s="116" t="str">
        <x:v>73614</x:v>
      </x:c>
      <x:c r="J27" s="116" t="str">
        <x:v>Schorndorf</x:v>
      </x:c>
      <x:c r="K27" s="116" t="str">
        <x:v>Baden-Württemberg</x:v>
      </x:c>
      <x:c r="L27" s="116" t="str">
        <x:v>Deutschland</x:v>
      </x:c>
      <x:c r="M27" s="116" t="str">
        <x:v>+49 7181 97868-0</x:v>
      </x:c>
      <x:c r="N27" s="116"/>
      <x:c r="O27" s="116" t="str">
        <x:v>vertrieb@huttelmaier.de</x:v>
      </x:c>
      <x:c r="P27" s="116" t="str">
        <x:v>https://retrofit.de/</x:v>
      </x:c>
      <x:c r="Q27" s="116"/>
      <x:c r="R27" s="116" t="str">
        <x:v>Maschinenretrofit; Steuerungsumbau; Bedienpult; Elektrik/Schaltschrank; Schutzeinrichtung | Als Umsetzer für projektbezogene Bedienungsänderung führen; Reha-Spezialisierung vor Auftrag prüfen.</x:v>
      </x:c>
      <x:c r="S27" s="116" t="str">
        <x:v>nicht spezifisch belegt</x:v>
      </x:c>
      <x:c r="T27" s="116" t="str">
        <x:v>regional + projektbezogen überregional</x:v>
      </x:c>
      <x:c r="U27" s="135"/>
      <x:c r="V27" s="135"/>
      <x:c r="W27" s="116" t="str">
        <x:v>Adresse/Kontakt geprüft; numerische Hauskoordinate noch nicht separat verifiziert</x:v>
      </x:c>
      <x:c r="X27" s="116" t="str">
        <x:v>Kartenpunkt – Adresse geprüft</x:v>
      </x:c>
      <x:c r="Y27" s="116" t="str">
        <x:v>Technik 4.4.x – Neuaufnahme</x:v>
      </x:c>
      <x:c r="Z27" s="116"/>
      <x:c r="AA27" s="116" t="str">
        <x:v>https://retrofit.de/</x:v>
      </x:c>
      <x:c r="AB27" s="116"/>
      <x:c r="AC27" s="116" t="str">
        <x:v>2026-08-30</x:v>
      </x:c>
      <x:c r="AD27" s="116" t="str">
        <x:v>Winterbacher Straße 66, 73614 Schorndorf, Deutschland</x:v>
      </x:c>
      <x:c r="AE27" s="116" t="str">
        <x:v>Standort verifiziert.</x:v>
      </x:c>
    </x:row>
    <x:row r="28">
      <x:c r="A28" s="116" t="str">
        <x:v>T-024</x:v>
      </x:c>
      <x:c r="B28" s="116" t="str">
        <x:v>SPS Automation GmbH</x:v>
      </x:c>
      <x:c r="C28" s="116" t="str">
        <x:v>Aufnehmen</x:v>
      </x:c>
      <x:c r="D28" s="116" t="str">
        <x:v>A</x:v>
      </x:c>
      <x:c r="E28" s="116" t="str">
        <x:v>Technische Arbeitsplatzanpassung</x:v>
      </x:c>
      <x:c r="F28" s="116" t="str">
        <x:v>SPS-/Steuerungsumbau; Schaltschrank; Bedienung; Retrofit; Inbetriebnahme</x:v>
      </x:c>
      <x:c r="G28" s="116" t="str">
        <x:v>Technischer Umsetzer / Maschinenretrofit</x:v>
      </x:c>
      <x:c r="H28" s="116" t="str">
        <x:v>Langen-Morgenstraße 17</x:v>
      </x:c>
      <x:c r="I28" s="116" t="str">
        <x:v>69488</x:v>
      </x:c>
      <x:c r="J28" s="116" t="str">
        <x:v>Birkenau</x:v>
      </x:c>
      <x:c r="K28" s="116" t="str">
        <x:v>Hessen</x:v>
      </x:c>
      <x:c r="L28" s="116" t="str">
        <x:v>Deutschland</x:v>
      </x:c>
      <x:c r="M28" s="116" t="str">
        <x:v>+49 6209 725749</x:v>
      </x:c>
      <x:c r="N28" s="116"/>
      <x:c r="O28" s="116" t="str">
        <x:v>info@sps-automation.de</x:v>
      </x:c>
      <x:c r="P28" s="116" t="str">
        <x:v>https://sps-automation.de/dienstleistungen/retrofit.html</x:v>
      </x:c>
      <x:c r="Q28" s="116"/>
      <x:c r="R28" s="116" t="str">
        <x:v>SPS-/Steuerungsumbau; Schaltschrank; Bedienung; Retrofit; Inbetriebnahme | Regional sehr interessant: Ist-Analyse, Umbau, Montage vor Ort, Inbetriebnahme und Schulung.</x:v>
      </x:c>
      <x:c r="S28" s="116" t="str">
        <x:v>nicht spezifisch belegt</x:v>
      </x:c>
      <x:c r="T28" s="116" t="str">
        <x:v>regional + projektbezogen überregional</x:v>
      </x:c>
      <x:c r="U28" s="135"/>
      <x:c r="V28" s="135"/>
      <x:c r="W28" s="116" t="str">
        <x:v>Adresse aktuell widersprüchlich; vor finaler Geocodierung manuell bestätigen</x:v>
      </x:c>
      <x:c r="X28" s="116" t="str">
        <x:v>Kartenpunkt – Geo-Warnung</x:v>
      </x:c>
      <x:c r="Y28" s="116" t="str">
        <x:v>Technik 4.4.x – Neuaufnahme</x:v>
      </x:c>
      <x:c r="Z28" s="116"/>
      <x:c r="AA28" s="116" t="str">
        <x:v>https://sps-automation.de/</x:v>
      </x:c>
      <x:c r="AB28" s="116"/>
      <x:c r="AC28" s="116" t="str">
        <x:v>2026-08-30</x:v>
      </x:c>
      <x:c r="AD28" s="116" t="str">
        <x:v>Langen-Morgenstraße 17, 69488 Birkenau, Deutschland</x:v>
      </x:c>
      <x:c r="AE28" s="116" t="str">
        <x:v>Website nennt operativ Nr. 17; Impressum enthält zugleich Nr. 19. Vor produktivem Geocode einmal manuell gegenprüfen.</x:v>
      </x:c>
    </x:row>
    <x:row r="29">
      <x:c r="A29" s="116" t="str">
        <x:v>T-025</x:v>
      </x:c>
      <x:c r="B29" s="116" t="str">
        <x:v>NEFF-Pressen / Röcher GmbH &amp; Co. KG</x:v>
      </x:c>
      <x:c r="C29" s="116" t="str">
        <x:v>Aufnehmen</x:v>
      </x:c>
      <x:c r="D29" s="116" t="str">
        <x:v>A</x:v>
      </x:c>
      <x:c r="E29" s="116" t="str">
        <x:v>Technische Arbeitsplatzanpassung</x:v>
      </x:c>
      <x:c r="F29" s="116" t="str">
        <x:v>Retrofit; Touch-/Bedienpult; Taster/Schalter; I/O; Sicherheit; Zuführ-/Robotiklösung</x:v>
      </x:c>
      <x:c r="G29" s="116" t="str">
        <x:v>Technischer Umsetzer / Pressenretrofit</x:v>
      </x:c>
      <x:c r="H29" s="116" t="str">
        <x:v>In den Kuhwiesen 4</x:v>
      </x:c>
      <x:c r="I29" s="116" t="str">
        <x:v>76149</x:v>
      </x:c>
      <x:c r="J29" s="116" t="str">
        <x:v>Karlsruhe</x:v>
      </x:c>
      <x:c r="K29" s="116" t="str">
        <x:v>Baden-Württemberg</x:v>
      </x:c>
      <x:c r="L29" s="116" t="str">
        <x:v>Deutschland</x:v>
      </x:c>
      <x:c r="M29" s="116" t="str">
        <x:v>+49 721 97828-0</x:v>
      </x:c>
      <x:c r="N29" s="116"/>
      <x:c r="O29" s="116"/>
      <x:c r="P29" s="116" t="str">
        <x:v>https://beflex.neff-pressen.de/retrofit.html</x:v>
      </x:c>
      <x:c r="Q29" s="116"/>
      <x:c r="R29" s="116" t="str">
        <x:v>Retrofit; Touch-/Bedienpult; Taster/Schalter; I/O; Sicherheit; Zuführ-/Robotiklösung | Besonders für konkrete Pressen-/Metallfälle interessant.</x:v>
      </x:c>
      <x:c r="S29" s="116" t="str">
        <x:v>nicht spezifisch belegt</x:v>
      </x:c>
      <x:c r="T29" s="116" t="str">
        <x:v>regional + projektbezogen überregional</x:v>
      </x:c>
      <x:c r="U29" s="135"/>
      <x:c r="V29" s="135"/>
      <x:c r="W29" s="116" t="str">
        <x:v>Adresse/Kontakt geprüft; numerische Hauskoordinate noch nicht separat verifiziert</x:v>
      </x:c>
      <x:c r="X29" s="116" t="str">
        <x:v>Kartenpunkt – Adresse geprüft</x:v>
      </x:c>
      <x:c r="Y29" s="116" t="str">
        <x:v>Technik 4.4.x – Neuaufnahme</x:v>
      </x:c>
      <x:c r="Z29" s="116"/>
      <x:c r="AA29" s="116" t="str">
        <x:v>https://neff-pressen.de/</x:v>
      </x:c>
      <x:c r="AB29" s="116"/>
      <x:c r="AC29" s="116" t="str">
        <x:v>2026-08-30</x:v>
      </x:c>
      <x:c r="AD29" s="116" t="str">
        <x:v>In den Kuhwiesen 4, 76149 Karlsruhe, Deutschland</x:v>
      </x:c>
      <x:c r="AE29" s="116" t="str">
        <x:v>Standort Werk 2/NEFF verifiziert. Kein allgemeines Funktionspostfach belastbar verifiziert; Websitekontakt verwenden.</x:v>
      </x:c>
    </x:row>
    <x:row r="30">
      <x:c r="A30" s="116" t="str">
        <x:v>T-026</x:v>
      </x:c>
      <x:c r="B30" s="116" t="str">
        <x:v>ANKO GmbH &amp; Co. KG</x:v>
      </x:c>
      <x:c r="C30" s="116" t="str">
        <x:v>Aufnehmen</x:v>
      </x:c>
      <x:c r="D30" s="116" t="str">
        <x:v>A</x:v>
      </x:c>
      <x:c r="E30" s="116" t="str">
        <x:v>Technische Arbeitsplatzanpassung</x:v>
      </x:c>
      <x:c r="F30" s="116" t="str">
        <x:v>Sondervorrichtung; Handling; Positionier-/Zentriertechnik; Schraubapplikation</x:v>
      </x:c>
      <x:c r="G30" s="116" t="str">
        <x:v>Technischer Umsetzer / Sondermaschinen &amp; Vorrichtungen</x:v>
      </x:c>
      <x:c r="H30" s="116" t="str">
        <x:v>Litzenhardtstraße 26</x:v>
      </x:c>
      <x:c r="I30" s="116" t="str">
        <x:v>76135</x:v>
      </x:c>
      <x:c r="J30" s="116" t="str">
        <x:v>Karlsruhe</x:v>
      </x:c>
      <x:c r="K30" s="116" t="str">
        <x:v>Baden-Württemberg</x:v>
      </x:c>
      <x:c r="L30" s="116" t="str">
        <x:v>Deutschland</x:v>
      </x:c>
      <x:c r="M30" s="116" t="str">
        <x:v>+49 721 26306-54</x:v>
      </x:c>
      <x:c r="N30" s="116"/>
      <x:c r="O30" s="116" t="str">
        <x:v>info@anko-karlsruhe.de</x:v>
      </x:c>
      <x:c r="P30" s="116" t="str">
        <x:v>https://anko-karlsruhe.de/</x:v>
      </x:c>
      <x:c r="Q30" s="116"/>
      <x:c r="R30" s="116" t="str">
        <x:v>Sondervorrichtung; Handling; Positionier-/Zentriertechnik; Schraubapplikation | Als technischer Umsetzer führen, nicht als unabhängigen Reha-Berater.</x:v>
      </x:c>
      <x:c r="S30" s="116" t="str">
        <x:v>nicht spezifisch belegt</x:v>
      </x:c>
      <x:c r="T30" s="116" t="str">
        <x:v>regional + projektbezogen überregional</x:v>
      </x:c>
      <x:c r="U30" s="135"/>
      <x:c r="V30" s="135"/>
      <x:c r="W30" s="116" t="str">
        <x:v>Adresse/Kontakt geprüft; numerische Hauskoordinate noch nicht separat verifiziert</x:v>
      </x:c>
      <x:c r="X30" s="116" t="str">
        <x:v>Kartenpunkt – Adresse geprüft</x:v>
      </x:c>
      <x:c r="Y30" s="116" t="str">
        <x:v>Technik 4.4.x – Neuaufnahme</x:v>
      </x:c>
      <x:c r="Z30" s="116"/>
      <x:c r="AA30" s="116" t="str">
        <x:v>https://anko-karlsruhe.de/kontakt/</x:v>
      </x:c>
      <x:c r="AB30" s="116"/>
      <x:c r="AC30" s="116" t="str">
        <x:v>2026-08-30</x:v>
      </x:c>
      <x:c r="AD30" s="116" t="str">
        <x:v>Litzenhardtstraße 26, 76135 Karlsruhe, Deutschland</x:v>
      </x:c>
      <x:c r="AE30" s="116" t="str">
        <x:v>Standort und aktuelle Kontaktdaten verifiziert.</x:v>
      </x:c>
    </x:row>
    <x:row r="31">
      <x:c r="A31" s="116" t="str">
        <x:v>T-027</x:v>
      </x:c>
      <x:c r="B31" s="116" t="str">
        <x:v>TINKA Handelsgesellschaft mbH</x:v>
      </x:c>
      <x:c r="C31" s="116" t="str">
        <x:v>Aufnehmen</x:v>
      </x:c>
      <x:c r="D31" s="116" t="str">
        <x:v>A</x:v>
      </x:c>
      <x:c r="E31" s="116" t="str">
        <x:v>Technische Arbeitsplatzanpassung</x:v>
      </x:c>
      <x:c r="F31" s="116" t="str">
        <x:v>Hebetechnik; Handhabungstechnik; Sonderkonstruktion; Montage</x:v>
      </x:c>
      <x:c r="G31" s="116" t="str">
        <x:v>Technischer Umsetzer / Hebe- &amp; Sondertechnik</x:v>
      </x:c>
      <x:c r="H31" s="116" t="str">
        <x:v>August-Mogler-Straße 1/3</x:v>
      </x:c>
      <x:c r="I31" s="116" t="str">
        <x:v>74080</x:v>
      </x:c>
      <x:c r="J31" s="116" t="str">
        <x:v>Heilbronn</x:v>
      </x:c>
      <x:c r="K31" s="116" t="str">
        <x:v>Baden-Württemberg</x:v>
      </x:c>
      <x:c r="L31" s="116" t="str">
        <x:v>Deutschland</x:v>
      </x:c>
      <x:c r="M31" s="116" t="str">
        <x:v>+49 7131 63530-50</x:v>
      </x:c>
      <x:c r="N31" s="116"/>
      <x:c r="O31" s="116" t="str">
        <x:v>info@tinka-gmbh.de</x:v>
      </x:c>
      <x:c r="P31" s="116" t="str">
        <x:v>https://www.tinka-gmbh.de/</x:v>
      </x:c>
      <x:c r="Q31" s="116"/>
      <x:c r="R31" s="116" t="str">
        <x:v>Hebetechnik; Handhabungstechnik; Sonderkonstruktion; Montage | Regionaler Umsetzungspartner; BG-/Reha-Spezialisierung projektbezogen prüfen.</x:v>
      </x:c>
      <x:c r="S31" s="116" t="str">
        <x:v>nicht spezifisch belegt</x:v>
      </x:c>
      <x:c r="T31" s="116" t="str">
        <x:v>regional + projektbezogen überregional</x:v>
      </x:c>
      <x:c r="U31" s="135"/>
      <x:c r="V31" s="135"/>
      <x:c r="W31" s="116" t="str">
        <x:v>Adresse/Kontakt geprüft; numerische Hauskoordinate noch nicht separat verifiziert</x:v>
      </x:c>
      <x:c r="X31" s="116" t="str">
        <x:v>Kartenpunkt – Adresse geprüft</x:v>
      </x:c>
      <x:c r="Y31" s="116" t="str">
        <x:v>Technik 4.4.x – Neuaufnahme</x:v>
      </x:c>
      <x:c r="Z31" s="116"/>
      <x:c r="AA31" s="116" t="str">
        <x:v>https://www.tinka-gmbh.de/</x:v>
      </x:c>
      <x:c r="AB31" s="116"/>
      <x:c r="AC31" s="116" t="str">
        <x:v>2026-08-30</x:v>
      </x:c>
      <x:c r="AD31" s="116" t="str">
        <x:v>August-Mogler-Straße 1/3, 74080 Heilbronn, Deutschland</x:v>
      </x:c>
      <x:c r="AE31" s="116" t="str">
        <x:v>Standort verifiziert.</x:v>
      </x:c>
    </x:row>
    <x:row r="32">
      <x:c r="A32" s="116" t="str">
        <x:v>T-028</x:v>
      </x:c>
      <x:c r="B32" s="116" t="str">
        <x:v>Rauscher &amp; Reyhing GmbH</x:v>
      </x:c>
      <x:c r="C32" s="116" t="str">
        <x:v>Aufnehmen</x:v>
      </x:c>
      <x:c r="D32" s="116" t="str">
        <x:v>A</x:v>
      </x:c>
      <x:c r="E32" s="116" t="str">
        <x:v>Technische Arbeitsplatzanpassung</x:v>
      </x:c>
      <x:c r="F32" s="116" t="str">
        <x:v>Holzbearbeitungsmaschine; Vakuumheber; Plattenhandling; Service/Vor-Ort-Beratung</x:v>
      </x:c>
      <x:c r="G32" s="116" t="str">
        <x:v>Technischer Umsetzer / Holzmaschinen</x:v>
      </x:c>
      <x:c r="H32" s="116" t="str">
        <x:v>Meidelstetter Straße 13</x:v>
      </x:c>
      <x:c r="I32" s="116" t="str">
        <x:v>72531</x:v>
      </x:c>
      <x:c r="J32" s="116" t="str">
        <x:v>Hohenstein-Bernloch</x:v>
      </x:c>
      <x:c r="K32" s="116" t="str">
        <x:v>Baden-Württemberg</x:v>
      </x:c>
      <x:c r="L32" s="116" t="str">
        <x:v>Deutschland</x:v>
      </x:c>
      <x:c r="M32" s="116" t="str">
        <x:v>+49 7387 9884-0</x:v>
      </x:c>
      <x:c r="N32" s="116"/>
      <x:c r="O32" s="116" t="str">
        <x:v>mail@rauscher-reyhing.de</x:v>
      </x:c>
      <x:c r="P32" s="116" t="str">
        <x:v>https://www.rauscher-reyhing.de/</x:v>
      </x:c>
      <x:c r="Q32" s="116"/>
      <x:c r="R32" s="116" t="str">
        <x:v>Holzbearbeitungsmaschine; Vakuumheber; Plattenhandling; Service/Vor-Ort-Beratung | Branchenspezifischer Partner für Schreinerei; als technischer Branchenumsetzer kennzeichnen.</x:v>
      </x:c>
      <x:c r="S32" s="116" t="str">
        <x:v>nicht spezifisch belegt</x:v>
      </x:c>
      <x:c r="T32" s="116" t="str">
        <x:v>regional + projektbezogen überregional</x:v>
      </x:c>
      <x:c r="U32" s="135"/>
      <x:c r="V32" s="135"/>
      <x:c r="W32" s="116" t="str">
        <x:v>Adresse/Kontakt geprüft; numerische Hauskoordinate noch nicht separat verifiziert</x:v>
      </x:c>
      <x:c r="X32" s="116" t="str">
        <x:v>Kartenpunkt – Adresse geprüft</x:v>
      </x:c>
      <x:c r="Y32" s="116" t="str">
        <x:v>Technik 4.4.x – Neuaufnahme</x:v>
      </x:c>
      <x:c r="Z32" s="116"/>
      <x:c r="AA32" s="116" t="str">
        <x:v>https://www.rauscher-reyhing.de/</x:v>
      </x:c>
      <x:c r="AB32" s="116"/>
      <x:c r="AC32" s="116" t="str">
        <x:v>2026-08-30</x:v>
      </x:c>
      <x:c r="AD32" s="116" t="str">
        <x:v>Meidelstetter Straße 13, 72531 Hohenstein-Bernloch, Deutschland</x:v>
      </x:c>
      <x:c r="AE32" s="116" t="str">
        <x:v>Standort verifiziert.</x:v>
      </x:c>
    </x:row>
    <x:row r="33">
      <x:c r="A33" s="116" t="str">
        <x:v>T-029</x:v>
      </x:c>
      <x:c r="B33" s="116" t="str">
        <x:v>Schmersal / tec.nicum</x:v>
      </x:c>
      <x:c r="C33" s="116" t="str">
        <x:v>Aufnehmen</x:v>
      </x:c>
      <x:c r="D33" s="116" t="str">
        <x:v>A+</x:v>
      </x:c>
      <x:c r="E33" s="116" t="str">
        <x:v>Technische Arbeitsplatzanpassung</x:v>
      </x:c>
      <x:c r="F33" s="116" t="str">
        <x:v>Fußschalter; Knieschalter; leichtgängige Bedienelemente; Bedienfeld; Handheld; Safety/Arbeitsplatzoptimierung</x:v>
      </x:c>
      <x:c r="G33" s="116" t="str">
        <x:v>Technischer Berater &amp; Umsetzer / Bedienung &amp; Safety</x:v>
      </x:c>
      <x:c r="H33" s="116" t="str">
        <x:v>Möddinghofe 30</x:v>
      </x:c>
      <x:c r="I33" s="116" t="str">
        <x:v>42279</x:v>
      </x:c>
      <x:c r="J33" s="116" t="str">
        <x:v>Wuppertal</x:v>
      </x:c>
      <x:c r="K33" s="116" t="str">
        <x:v>Nordrhein-Westfalen</x:v>
      </x:c>
      <x:c r="L33" s="116" t="str">
        <x:v>Deutschland</x:v>
      </x:c>
      <x:c r="M33" s="116" t="str">
        <x:v>+49 202 6474-932</x:v>
      </x:c>
      <x:c r="N33" s="116"/>
      <x:c r="O33" s="116" t="str">
        <x:v>info-de@tecnicum.com</x:v>
      </x:c>
      <x:c r="P33" s="116" t="str">
        <x:v>https://www.schmersal.com/</x:v>
      </x:c>
      <x:c r="Q33" s="116"/>
      <x:c r="R33" s="116" t="str">
        <x:v>Fußschalter; Knieschalter; leichtgängige Bedienelemente; Bedienfeld; Handheld; Safety/Arbeitsplatzoptimierung | Sehr wertvoll bei Hand-/Finger-/Armdefiziten und alternativer Betätigung; Safety-Kompetenz verknüpfen.</x:v>
      </x:c>
      <x:c r="S33" s="116" t="str">
        <x:v>nicht spezifisch belegt</x:v>
      </x:c>
      <x:c r="T33" s="116" t="str">
        <x:v>überregional / bundesweit projektbezogen</x:v>
      </x:c>
      <x:c r="U33" s="135"/>
      <x:c r="V33" s="135"/>
      <x:c r="W33" s="116" t="str">
        <x:v>Adresse/Kontakt geprüft; numerische Hauskoordinate noch nicht separat verifiziert</x:v>
      </x:c>
      <x:c r="X33" s="116" t="str">
        <x:v>Kartenpunkt – Adresse geprüft</x:v>
      </x:c>
      <x:c r="Y33" s="116" t="str">
        <x:v>Technik 4.4.x – Neuaufnahme</x:v>
      </x:c>
      <x:c r="Z33" s="116"/>
      <x:c r="AA33" s="116" t="str">
        <x:v>https://www.schmersal.com/</x:v>
      </x:c>
      <x:c r="AB33" s="116"/>
      <x:c r="AC33" s="116" t="str">
        <x:v>2026-08-30</x:v>
      </x:c>
      <x:c r="AD33" s="116" t="str">
        <x:v>Möddinghofe 30, 42279 Wuppertal, Deutschland</x:v>
      </x:c>
      <x:c r="AE33" s="116" t="str">
        <x:v>Schmersal/tec.nicum Wuppertal als Kartenstandort; Einsatz überregional.</x:v>
      </x:c>
    </x:row>
    <x:row r="34">
      <x:c r="A34" s="116" t="str">
        <x:v>T-030</x:v>
      </x:c>
      <x:c r="B34" s="116" t="str">
        <x:v>Faude Tec GmbH</x:v>
      </x:c>
      <x:c r="C34" s="116" t="str">
        <x:v>Aufnehmen</x:v>
      </x:c>
      <x:c r="D34" s="116" t="str">
        <x:v>A+</x:v>
      </x:c>
      <x:c r="E34" s="116" t="str">
        <x:v>Technische Arbeitsplatzanpassung</x:v>
      </x:c>
      <x:c r="F34" s="116" t="str">
        <x:v>Cobot; Robotik; SPS; Sonderautomation; Teilprozess-Automatisierung</x:v>
      </x:c>
      <x:c r="G34" s="116" t="str">
        <x:v>Systemintegrator / Cobot &amp; Automation</x:v>
      </x:c>
      <x:c r="H34" s="116" t="str">
        <x:v>Robert-Mayer-Straße 3</x:v>
      </x:c>
      <x:c r="I34" s="116" t="str">
        <x:v>73660</x:v>
      </x:c>
      <x:c r="J34" s="116" t="str">
        <x:v>Urbach</x:v>
      </x:c>
      <x:c r="K34" s="116" t="str">
        <x:v>Baden-Württemberg</x:v>
      </x:c>
      <x:c r="L34" s="116" t="str">
        <x:v>Deutschland</x:v>
      </x:c>
      <x:c r="M34" s="116" t="str">
        <x:v>+49 7161 9459839</x:v>
      </x:c>
      <x:c r="N34" s="116"/>
      <x:c r="O34" s="116" t="str">
        <x:v>info@faudetec.de</x:v>
      </x:c>
      <x:c r="P34" s="116" t="str">
        <x:v>https://www.faudetec.de/</x:v>
      </x:c>
      <x:c r="Q34" s="116"/>
      <x:c r="R34" s="116" t="str">
        <x:v>Cobot; Robotik; SPS; Sonderautomation; Teilprozess-Automatisierung | Cobot nur als individuell zu prüfende Sonderlösung; starke Safety-/CE-Kette.</x:v>
      </x:c>
      <x:c r="S34" s="116" t="str">
        <x:v>nicht spezifisch belegt</x:v>
      </x:c>
      <x:c r="T34" s="116" t="str">
        <x:v>regional + projektbezogen überregional</x:v>
      </x:c>
      <x:c r="U34" s="135"/>
      <x:c r="V34" s="135"/>
      <x:c r="W34" s="116" t="str">
        <x:v>Adresse/Kontakt geprüft; numerische Hauskoordinate noch nicht separat verifiziert</x:v>
      </x:c>
      <x:c r="X34" s="116" t="str">
        <x:v>Kartenpunkt – Adresse geprüft</x:v>
      </x:c>
      <x:c r="Y34" s="116" t="str">
        <x:v>Technik 4.4.x – Neuaufnahme</x:v>
      </x:c>
      <x:c r="Z34" s="116"/>
      <x:c r="AA34" s="116" t="str">
        <x:v>https://www.faudetec.de/</x:v>
      </x:c>
      <x:c r="AB34" s="116"/>
      <x:c r="AC34" s="116" t="str">
        <x:v>2026-08-30</x:v>
      </x:c>
      <x:c r="AD34" s="116" t="str">
        <x:v>Robert-Mayer-Straße 3, 73660 Urbach, Deutschland</x:v>
      </x:c>
      <x:c r="AE34" s="116" t="str">
        <x:v>Für Karte Besucheradresse Urbach verwenden; Börtlingen (Ödweilerhof 3) ist Rechnungsadresse.</x:v>
      </x:c>
    </x:row>
    <x:row r="35">
      <x:c r="A35" s="116" t="str">
        <x:v>T-031</x:v>
      </x:c>
      <x:c r="B35" s="116" t="str">
        <x:v>HOLZ automation GmbH</x:v>
      </x:c>
      <x:c r="C35" s="116" t="str">
        <x:v>Aufnehmen</x:v>
      </x:c>
      <x:c r="D35" s="116" t="str">
        <x:v>A</x:v>
      </x:c>
      <x:c r="E35" s="116" t="str">
        <x:v>Technische Arbeitsplatzanpassung</x:v>
      </x:c>
      <x:c r="F35" s="116" t="str">
        <x:v>Robotik/Cobot; Montageautomation; Sondermaschinenbau; SPS; Retrofit</x:v>
      </x:c>
      <x:c r="G35" s="116" t="str">
        <x:v>Systemintegrator / Robotik &amp; Retrofit</x:v>
      </x:c>
      <x:c r="H35" s="116" t="str">
        <x:v>Donaustraße 23</x:v>
      </x:c>
      <x:c r="I35" s="116" t="str">
        <x:v>71522</x:v>
      </x:c>
      <x:c r="J35" s="116" t="str">
        <x:v>Backnang</x:v>
      </x:c>
      <x:c r="K35" s="116" t="str">
        <x:v>Baden-Württemberg</x:v>
      </x:c>
      <x:c r="L35" s="116" t="str">
        <x:v>Deutschland</x:v>
      </x:c>
      <x:c r="M35" s="116" t="str">
        <x:v>+49 7191 3432-0</x:v>
      </x:c>
      <x:c r="N35" s="116"/>
      <x:c r="O35" s="116" t="str">
        <x:v>info@holz-automation.de</x:v>
      </x:c>
      <x:c r="P35" s="116" t="str">
        <x:v>https://www.holz-automation.de/de/</x:v>
      </x:c>
      <x:c r="Q35" s="116"/>
      <x:c r="R35" s="116" t="str">
        <x:v>Robotik/Cobot; Montageautomation; Sondermaschinenbau; SPS; Retrofit | Für komplexe industrielle Teilprozesse; Reha-Einsatz projektbezogen bewerten.</x:v>
      </x:c>
      <x:c r="S35" s="116" t="str">
        <x:v>nicht spezifisch belegt</x:v>
      </x:c>
      <x:c r="T35" s="116" t="str">
        <x:v>regional + projektbezogen überregional</x:v>
      </x:c>
      <x:c r="U35" s="135"/>
      <x:c r="V35" s="135"/>
      <x:c r="W35" s="116" t="str">
        <x:v>Adresse/Kontakt geprüft; numerische Hauskoordinate noch nicht separat verifiziert</x:v>
      </x:c>
      <x:c r="X35" s="116" t="str">
        <x:v>Kartenpunkt – Adresse geprüft</x:v>
      </x:c>
      <x:c r="Y35" s="116" t="str">
        <x:v>Technik 4.4.x – Neuaufnahme</x:v>
      </x:c>
      <x:c r="Z35" s="116"/>
      <x:c r="AA35" s="116" t="str">
        <x:v>https://www.holz-automation.de/de/</x:v>
      </x:c>
      <x:c r="AB35" s="116"/>
      <x:c r="AC35" s="116" t="str">
        <x:v>2026-08-30</x:v>
      </x:c>
      <x:c r="AD35" s="116" t="str">
        <x:v>Donaustraße 23, 71522 Backnang, Deutschland</x:v>
      </x:c>
      <x:c r="AE35" s="116" t="str">
        <x:v>Standort Backnang-Waldrems verifiziert.</x:v>
      </x:c>
    </x:row>
    <x:row r="36">
      <x:c r="A36" s="116" t="str">
        <x:v>T-032</x:v>
      </x:c>
      <x:c r="B36" s="116" t="str">
        <x:v>WERMA Signaltechnik GmbH + Co. KG</x:v>
      </x:c>
      <x:c r="C36" s="116" t="str">
        <x:v>Aufnehmen</x:v>
      </x:c>
      <x:c r="D36" s="116" t="str">
        <x:v>A</x:v>
      </x:c>
      <x:c r="E36" s="116" t="str">
        <x:v>Technische Arbeitsplatzanpassung</x:v>
      </x:c>
      <x:c r="F36" s="116" t="str">
        <x:v>Optische Signale; akustische Signale; optisch-akustische Kombination; Zwei-Sinne-Signalisierung</x:v>
      </x:c>
      <x:c r="G36" s="116" t="str">
        <x:v>Technischer Umsetzer / Signaltechnik</x:v>
      </x:c>
      <x:c r="H36" s="116" t="str">
        <x:v>Erich-Marquardt-Straße 1</x:v>
      </x:c>
      <x:c r="I36" s="116" t="str">
        <x:v>78604</x:v>
      </x:c>
      <x:c r="J36" s="116" t="str">
        <x:v>Rietheim-Weilheim</x:v>
      </x:c>
      <x:c r="K36" s="116" t="str">
        <x:v>Baden-Württemberg</x:v>
      </x:c>
      <x:c r="L36" s="116" t="str">
        <x:v>Deutschland</x:v>
      </x:c>
      <x:c r="M36" s="116" t="str">
        <x:v>+49 7424 9557-0</x:v>
      </x:c>
      <x:c r="N36" s="116"/>
      <x:c r="O36" s="116" t="str">
        <x:v>info@werma.com</x:v>
      </x:c>
      <x:c r="P36" s="116" t="str">
        <x:v>https://www.werma.com/</x:v>
      </x:c>
      <x:c r="Q36" s="116"/>
      <x:c r="R36" s="116" t="str">
        <x:v>Optische Signale; akustische Signale; optisch-akustische Kombination; Zwei-Sinne-Signalisierung | Für sensorische Arbeitsplatzanpassung; individuelle Kombination mit IFD/Hörfachberatung sinnvoll.</x:v>
      </x:c>
      <x:c r="S36" s="116" t="str">
        <x:v>nicht spezifisch belegt</x:v>
      </x:c>
      <x:c r="T36" s="116" t="str">
        <x:v>regional + projektbezogen überregional</x:v>
      </x:c>
      <x:c r="U36" s="135"/>
      <x:c r="V36" s="135"/>
      <x:c r="W36" s="116" t="str">
        <x:v>Adresse/Kontakt geprüft; numerische Hauskoordinate noch nicht separat verifiziert</x:v>
      </x:c>
      <x:c r="X36" s="116" t="str">
        <x:v>Kartenpunkt – Adresse geprüft</x:v>
      </x:c>
      <x:c r="Y36" s="116" t="str">
        <x:v>Technik 4.4.x – Neuaufnahme</x:v>
      </x:c>
      <x:c r="Z36" s="116"/>
      <x:c r="AA36" s="116" t="str">
        <x:v>https://www.werma.com/</x:v>
      </x:c>
      <x:c r="AB36" s="116"/>
      <x:c r="AC36" s="116" t="str">
        <x:v>2026-08-30</x:v>
      </x:c>
      <x:c r="AD36" s="116" t="str">
        <x:v>Erich-Marquardt-Straße 1, 78604 Rietheim-Weilheim, Deutschland</x:v>
      </x:c>
      <x:c r="AE36" s="116" t="str">
        <x:v>Aktuelle öffentliche HQ-Adresse. Alte/abweichende Dürbheimer Str. 15 nicht als Kartenpunkt verwenden.</x:v>
      </x:c>
    </x:row>
    <x:row r="37">
      <x:c r="A37" s="116" t="str">
        <x:v>T-033</x:v>
      </x:c>
      <x:c r="B37" s="116" t="str">
        <x:v>Pilz GmbH &amp; Co. KG</x:v>
      </x:c>
      <x:c r="C37" s="116" t="str">
        <x:v>Aufnehmen</x:v>
      </x:c>
      <x:c r="D37" s="116" t="str">
        <x:v>A+</x:v>
      </x:c>
      <x:c r="E37" s="116" t="str">
        <x:v>Technische Arbeitsplatzanpassung</x:v>
      </x:c>
      <x:c r="F37" s="116" t="str">
        <x:v>Risikobeurteilung; Safety-Design; Systemintegration; Validierung; Retrofit; CE/Konformität</x:v>
      </x:c>
      <x:c r="G37" s="116" t="str">
        <x:v>Maschinensicherheit / Engineering</x:v>
      </x:c>
      <x:c r="H37" s="116" t="str">
        <x:v>Felix-Wankel-Straße 2</x:v>
      </x:c>
      <x:c r="I37" s="116" t="str">
        <x:v>73760</x:v>
      </x:c>
      <x:c r="J37" s="116" t="str">
        <x:v>Ostfildern</x:v>
      </x:c>
      <x:c r="K37" s="116" t="str">
        <x:v>Baden-Württemberg</x:v>
      </x:c>
      <x:c r="L37" s="116" t="str">
        <x:v>Deutschland</x:v>
      </x:c>
      <x:c r="M37" s="116" t="str">
        <x:v>+49 711 3409-0</x:v>
      </x:c>
      <x:c r="N37" s="116"/>
      <x:c r="O37" s="116" t="str">
        <x:v>info@pilz.de</x:v>
      </x:c>
      <x:c r="P37" s="116" t="str">
        <x:v>https://www.pilz.com/de-DE/services/workplace-safety</x:v>
      </x:c>
      <x:c r="Q37" s="116"/>
      <x:c r="R37" s="116" t="str">
        <x:v>Risikobeurteilung; Safety-Design; Systemintegration; Validierung; Retrofit; CE/Konformität | Nicht als Reha-Berater, sondern als Safety-/Abnahmebaustein bei komplexen Maschinenumbauten.</x:v>
      </x:c>
      <x:c r="S37" s="116" t="str">
        <x:v>nicht spezifisch belegt</x:v>
      </x:c>
      <x:c r="T37" s="116" t="str">
        <x:v>regional + projektbezogen überregional</x:v>
      </x:c>
      <x:c r="U37" s="135"/>
      <x:c r="V37" s="135"/>
      <x:c r="W37" s="116" t="str">
        <x:v>Adresse/Kontakt geprüft; numerische Hauskoordinate noch nicht separat verifiziert</x:v>
      </x:c>
      <x:c r="X37" s="116" t="str">
        <x:v>Kartenpunkt – Adresse geprüft</x:v>
      </x:c>
      <x:c r="Y37" s="116" t="str">
        <x:v>Technik 4.4.x – Neuaufnahme</x:v>
      </x:c>
      <x:c r="Z37" s="116"/>
      <x:c r="AA37" s="116" t="str">
        <x:v>https://www.pilz.com/de-DE/</x:v>
      </x:c>
      <x:c r="AB37" s="116"/>
      <x:c r="AC37" s="116" t="str">
        <x:v>2026-08-30</x:v>
      </x:c>
      <x:c r="AD37" s="116" t="str">
        <x:v>Felix-Wankel-Straße 2, 73760 Ostfildern, Deutschland</x:v>
      </x:c>
      <x:c r="AE37" s="116" t="str">
        <x:v>Standort verifiziert.</x:v>
      </x:c>
    </x:row>
    <x:row r="38">
      <x:c r="A38" s="116" t="str">
        <x:v>T-034</x:v>
      </x:c>
      <x:c r="B38" s="116" t="str">
        <x:v>ALLMATIC-Jakob Spannsysteme GmbH</x:v>
      </x:c>
      <x:c r="C38" s="116" t="str">
        <x:v>Aufnehmen</x:v>
      </x:c>
      <x:c r="D38" s="116" t="str">
        <x:v>A</x:v>
      </x:c>
      <x:c r="E38" s="116" t="str">
        <x:v>Technische Arbeitsplatzanpassung</x:v>
      </x:c>
      <x:c r="F38" s="116" t="str">
        <x:v>WorkBuddy Spannhilfe; Bedienhilfe; individuelle Maschinen-/Rüstplatzmontage</x:v>
      </x:c>
      <x:c r="G38" s="116" t="str">
        <x:v>Technischer Umsetzer / Spann- &amp; Rüsthilfe</x:v>
      </x:c>
      <x:c r="H38" s="116" t="str">
        <x:v>Jägermühle 10</x:v>
      </x:c>
      <x:c r="I38" s="116" t="str">
        <x:v>87647</x:v>
      </x:c>
      <x:c r="J38" s="116" t="str">
        <x:v>Unterthingau</x:v>
      </x:c>
      <x:c r="K38" s="116" t="str">
        <x:v>Bayern</x:v>
      </x:c>
      <x:c r="L38" s="116" t="str">
        <x:v>Deutschland</x:v>
      </x:c>
      <x:c r="M38" s="116" t="str">
        <x:v>+49 8377 929-0</x:v>
      </x:c>
      <x:c r="N38" s="116"/>
      <x:c r="O38" s="116" t="str">
        <x:v>info@allmatic.de</x:v>
      </x:c>
      <x:c r="P38" s="116" t="str">
        <x:v>https://www.allmatic.de/workbuddy/</x:v>
      </x:c>
      <x:c r="Q38" s="116"/>
      <x:c r="R38" s="116" t="str">
        <x:v>WorkBuddy Spannhilfe; Bedienhilfe; individuelle Maschinen-/Rüstplatzmontage | Sehr konkreter Baustein für Rüstplätze und Spanntürme; individuell an Maschine montierbar.</x:v>
      </x:c>
      <x:c r="S38" s="116" t="str">
        <x:v>nicht spezifisch belegt</x:v>
      </x:c>
      <x:c r="T38" s="116" t="str">
        <x:v>regional + projektbezogen überregional</x:v>
      </x:c>
      <x:c r="U38" s="135"/>
      <x:c r="V38" s="135"/>
      <x:c r="W38" s="116" t="str">
        <x:v>Adresse/Kontakt geprüft; numerische Hauskoordinate noch nicht separat verifiziert</x:v>
      </x:c>
      <x:c r="X38" s="116" t="str">
        <x:v>Kartenpunkt – Adresse geprüft</x:v>
      </x:c>
      <x:c r="Y38" s="116" t="str">
        <x:v>Technik 4.4.x – Neuaufnahme</x:v>
      </x:c>
      <x:c r="Z38" s="116"/>
      <x:c r="AA38" s="116" t="str">
        <x:v>https://www.allmatic.de/</x:v>
      </x:c>
      <x:c r="AB38" s="116"/>
      <x:c r="AC38" s="116" t="str">
        <x:v>2026-08-30</x:v>
      </x:c>
      <x:c r="AD38" s="116" t="str">
        <x:v>Jägermühle 10, 87647 Unterthingau, Deutschland</x:v>
      </x:c>
      <x:c r="AE38" s="116" t="str">
        <x:v>Standort verifiziert.</x:v>
      </x:c>
    </x:row>
    <x:row r="39">
      <x:c r="A39" s="116" t="str">
        <x:v>T-035</x:v>
      </x:c>
      <x:c r="B39" s="116" t="str">
        <x:v>Humanelektronik GmbH</x:v>
      </x:c>
      <x:c r="C39" s="116" t="str">
        <x:v>Aufnehmen</x:v>
      </x:c>
      <x:c r="D39" s="116" t="str">
        <x:v>A+</x:v>
      </x:c>
      <x:c r="E39" s="116" t="str">
        <x:v>Technische Arbeitsplatzanpassung</x:v>
      </x:c>
      <x:c r="F39" s="116" t="str">
        <x:v>Alternative Eingabegeräte; Augensteuerung; Kopf-/Joysticksteuerung; Umfeld-/Rollstuhlsteuerung; Kommunikation</x:v>
      </x:c>
      <x:c r="G39" s="116" t="str">
        <x:v>Technischer Umsetzer / alternative Steuerung &amp; Kommunikation</x:v>
      </x:c>
      <x:c r="H39" s="116" t="str">
        <x:v>Weinsheimer Straße 57a</x:v>
      </x:c>
      <x:c r="I39" s="116" t="str">
        <x:v>67547</x:v>
      </x:c>
      <x:c r="J39" s="116" t="str">
        <x:v>Worms</x:v>
      </x:c>
      <x:c r="K39" s="116" t="str">
        <x:v>Rheinland-Pfalz</x:v>
      </x:c>
      <x:c r="L39" s="116" t="str">
        <x:v>Deutschland</x:v>
      </x:c>
      <x:c r="M39" s="116" t="str">
        <x:v>+49 6241 49691-0</x:v>
      </x:c>
      <x:c r="N39" s="116"/>
      <x:c r="O39" s="116" t="str">
        <x:v>info@humanelektronik.gmbh</x:v>
      </x:c>
      <x:c r="P39" s="116" t="str">
        <x:v>https://humanelektronik.de/</x:v>
      </x:c>
      <x:c r="Q39" s="116"/>
      <x:c r="R39" s="116" t="str">
        <x:v>Alternative Eingabegeräte; Augensteuerung; Kopf-/Joysticksteuerung; Umfeld-/Rollstuhlsteuerung; Kommunikation | A+ für motorische Einschränkungen und komplexe alternative Ansteuerung; mit Meier &amp; Schütte verknüpfen.</x:v>
      </x:c>
      <x:c r="S39" s="116" t="str">
        <x:v>Kostenträgerbezug naheliegend; im Einzelfall prüfen</x:v>
      </x:c>
      <x:c r="T39" s="116" t="str">
        <x:v>regional + projektbezogen überregional</x:v>
      </x:c>
      <x:c r="U39" s="135"/>
      <x:c r="V39" s="135"/>
      <x:c r="W39" s="116" t="str">
        <x:v>Adresse/Kontakt geprüft; numerische Hauskoordinate noch nicht separat verifiziert</x:v>
      </x:c>
      <x:c r="X39" s="116" t="str">
        <x:v>Kartenpunkt – Adresse geprüft</x:v>
      </x:c>
      <x:c r="Y39" s="116" t="str">
        <x:v>Technik 4.4.x – Neuaufnahme</x:v>
      </x:c>
      <x:c r="Z39" s="116"/>
      <x:c r="AA39" s="116" t="str">
        <x:v>https://humanelektronik.de/</x:v>
      </x:c>
      <x:c r="AB39" s="116"/>
      <x:c r="AC39" s="116" t="str">
        <x:v>2026-08-30</x:v>
      </x:c>
      <x:c r="AD39" s="116" t="str">
        <x:v>Weinsheimer Straße 57a, 67547 Worms, Deutschland</x:v>
      </x:c>
      <x:c r="AE39" s="116" t="str">
        <x:v>Standort verifiziert.</x:v>
      </x:c>
    </x:row>
    <x:row r="40">
      <x:c r="A40" s="116" t="str">
        <x:v>T-036</x:v>
      </x:c>
      <x:c r="B40" s="116" t="str">
        <x:v>Meier &amp; Schütte GmbH &amp; Co. KG</x:v>
      </x:c>
      <x:c r="C40" s="116" t="str">
        <x:v>Aufnehmen</x:v>
      </x:c>
      <x:c r="D40" s="116" t="str">
        <x:v>A+</x:v>
      </x:c>
      <x:c r="E40" s="116" t="str">
        <x:v>Technische Arbeitsplatzanpassung</x:v>
      </x:c>
      <x:c r="F40" s="116" t="str">
        <x:v>Behindertengerechter Arbeitsplatz; Einhand-/Sondertastatur; alternative Maus; Spracherkennung; Sonderlösung</x:v>
      </x:c>
      <x:c r="G40" s="116" t="str">
        <x:v>Technischer Umsetzer / Arbeitsplatztechnologie</x:v>
      </x:c>
      <x:c r="H40" s="116" t="str">
        <x:v>Weinsheimer Straße 57a</x:v>
      </x:c>
      <x:c r="I40" s="116" t="str">
        <x:v>67547</x:v>
      </x:c>
      <x:c r="J40" s="116" t="str">
        <x:v>Worms</x:v>
      </x:c>
      <x:c r="K40" s="116" t="str">
        <x:v>Rheinland-Pfalz</x:v>
      </x:c>
      <x:c r="L40" s="116" t="str">
        <x:v>Deutschland</x:v>
      </x:c>
      <x:c r="M40" s="116" t="str">
        <x:v>+49 6241 4969160</x:v>
      </x:c>
      <x:c r="N40" s="116"/>
      <x:c r="O40" s="116" t="str">
        <x:v>office@meier-schuette.de</x:v>
      </x:c>
      <x:c r="P40" s="116" t="str">
        <x:v>https://www.meier-schuette.de/</x:v>
      </x:c>
      <x:c r="Q40" s="116"/>
      <x:c r="R40" s="116" t="str">
        <x:v>Behindertengerechter Arbeitsplatz; Einhand-/Sondertastatur; alternative Maus; Spracherkennung; Sonderlösung | Sehr hoher Reha-Nutzen; Arbeitsplatztechnologie und individuelle Anpassung im Vordergrund.</x:v>
      </x:c>
      <x:c r="S40" s="116" t="str">
        <x:v>Kostenträgerbezug naheliegend; im Einzelfall prüfen</x:v>
      </x:c>
      <x:c r="T40" s="116" t="str">
        <x:v>regional + projektbezogen überregional</x:v>
      </x:c>
      <x:c r="U40" s="135"/>
      <x:c r="V40" s="135"/>
      <x:c r="W40" s="116" t="str">
        <x:v>Adresse/Kontakt geprüft; numerische Hauskoordinate noch nicht separat verifiziert</x:v>
      </x:c>
      <x:c r="X40" s="116" t="str">
        <x:v>Kartenpunkt – Adresse geprüft</x:v>
      </x:c>
      <x:c r="Y40" s="116" t="str">
        <x:v>Technik 4.4.x – Neuaufnahme</x:v>
      </x:c>
      <x:c r="Z40" s="116"/>
      <x:c r="AA40" s="116" t="str">
        <x:v>https://www.meier-schuette.de/</x:v>
      </x:c>
      <x:c r="AB40" s="116"/>
      <x:c r="AC40" s="116" t="str">
        <x:v>2026-08-30</x:v>
      </x:c>
      <x:c r="AD40" s="116" t="str">
        <x:v>Weinsheimer Straße 57a, 67547 Worms, Deutschland</x:v>
      </x:c>
      <x:c r="AE40" s="116" t="str">
        <x:v>Standort verifiziert; gleicher Gebäudestandort wie Humanelektronik möglich.</x:v>
      </x:c>
    </x:row>
    <x:row r="41">
      <x:c r="A41" s="116" t="str">
        <x:v>T-037</x:v>
      </x:c>
      <x:c r="B41" s="116" t="str">
        <x:v>Reinecker Vision GmbH</x:v>
      </x:c>
      <x:c r="C41" s="116" t="str">
        <x:v>Aufnehmen</x:v>
      </x:c>
      <x:c r="D41" s="116" t="str">
        <x:v>A+</x:v>
      </x:c>
      <x:c r="E41" s="116" t="str">
        <x:v>Technische Arbeitsplatzanpassung</x:v>
      </x:c>
      <x:c r="F41" s="116" t="str">
        <x:v>Bildschirmlesesystem; Vergrößerung; Vorlesetechnik; Braille; Screenreader; Beleuchtung</x:v>
      </x:c>
      <x:c r="G41" s="116" t="str">
        <x:v>Technischer Umsetzer / Sehen &amp; Blindheit</x:v>
      </x:c>
      <x:c r="H41" s="116" t="str">
        <x:v>Sandwiesenstraße 19</x:v>
      </x:c>
      <x:c r="I41" s="116" t="str">
        <x:v>64665</x:v>
      </x:c>
      <x:c r="J41" s="116" t="str">
        <x:v>Alsbach-Hähnlein</x:v>
      </x:c>
      <x:c r="K41" s="116" t="str">
        <x:v>Hessen</x:v>
      </x:c>
      <x:c r="L41" s="116" t="str">
        <x:v>Deutschland</x:v>
      </x:c>
      <x:c r="M41" s="116" t="str">
        <x:v>+49 6257 9311-0</x:v>
      </x:c>
      <x:c r="N41" s="116"/>
      <x:c r="O41" s="116" t="str">
        <x:v>info@reineckervision.de</x:v>
      </x:c>
      <x:c r="P41" s="116" t="str">
        <x:v>https://www.reineckervision.de/de/versorgung/versorgung-in-schule-und-beruf/</x:v>
      </x:c>
      <x:c r="Q41" s="116"/>
      <x:c r="R41" s="116" t="str">
        <x:v>Bildschirmlesesystem; Vergrößerung; Vorlesetechnik; Braille; Screenreader; Beleuchtung | Fachberater für Schule und Beruf; Beratung idealerweise direkt am Arbeitsplatz.</x:v>
      </x:c>
      <x:c r="S41" s="116" t="str">
        <x:v>Kostenträger-/Beratungsbezug belegt</x:v>
      </x:c>
      <x:c r="T41" s="116" t="str">
        <x:v>regional + projektbezogen überregional</x:v>
      </x:c>
      <x:c r="U41" s="135"/>
      <x:c r="V41" s="135"/>
      <x:c r="W41" s="116" t="str">
        <x:v>Adresse/Kontakt geprüft; numerische Hauskoordinate noch nicht separat verifiziert</x:v>
      </x:c>
      <x:c r="X41" s="116" t="str">
        <x:v>Kartenpunkt – Adresse geprüft</x:v>
      </x:c>
      <x:c r="Y41" s="116" t="str">
        <x:v>Technik 4.4.x – Neuaufnahme</x:v>
      </x:c>
      <x:c r="Z41" s="116"/>
      <x:c r="AA41" s="116" t="str">
        <x:v>https://www.reineckervision.de/</x:v>
      </x:c>
      <x:c r="AB41" s="116"/>
      <x:c r="AC41" s="116" t="str">
        <x:v>2026-08-30</x:v>
      </x:c>
      <x:c r="AD41" s="116" t="str">
        <x:v>Sandwiesenstraße 19, 64665 Alsbach-Hähnlein, Deutschland</x:v>
      </x:c>
      <x:c r="AE41" s="116" t="str">
        <x:v>Hauptsitz als Kartenpunkt; Servicecenter Erlenweg 3+5 ggf. später als Zusatzstandort.</x:v>
      </x:c>
    </x:row>
    <x:row r="42">
      <x:c r="A42" s="116" t="str">
        <x:v>T-038</x:v>
      </x:c>
      <x:c r="B42" s="116" t="str">
        <x:v>HUMANTECHNIK GmbH</x:v>
      </x:c>
      <x:c r="C42" s="116" t="str">
        <x:v>Aufnehmen</x:v>
      </x:c>
      <x:c r="D42" s="116" t="str">
        <x:v>A</x:v>
      </x:c>
      <x:c r="E42" s="116" t="str">
        <x:v>Technische Arbeitsplatzanpassung</x:v>
      </x:c>
      <x:c r="F42" s="116" t="str">
        <x:v>Lichtsignal; Vibrationssignal; Telefon-/Audioübertragung; Hörassistenz</x:v>
      </x:c>
      <x:c r="G42" s="116" t="str">
        <x:v>Technischer Umsetzer / Hören &amp; Kommunikation</x:v>
      </x:c>
      <x:c r="H42" s="116" t="str">
        <x:v>Im Wörth 25</x:v>
      </x:c>
      <x:c r="I42" s="116" t="str">
        <x:v>79576</x:v>
      </x:c>
      <x:c r="J42" s="116" t="str">
        <x:v>Weil am Rhein</x:v>
      </x:c>
      <x:c r="K42" s="116" t="str">
        <x:v>Baden-Württemberg</x:v>
      </x:c>
      <x:c r="L42" s="116" t="str">
        <x:v>Deutschland</x:v>
      </x:c>
      <x:c r="M42" s="116" t="str">
        <x:v>+49 7621 95689-0</x:v>
      </x:c>
      <x:c r="N42" s="116"/>
      <x:c r="O42" s="116" t="str">
        <x:v>info@humantechnik.com</x:v>
      </x:c>
      <x:c r="P42" s="116" t="str">
        <x:v>https://www.humantechnik.com/</x:v>
      </x:c>
      <x:c r="Q42" s="116"/>
      <x:c r="R42" s="116" t="str">
        <x:v>Lichtsignal; Vibrationssignal; Telefon-/Audioübertragung; Hörassistenz | Mit IFD/Hörfachberatung verknüpfen; sinnvoll für Zwei-Sinne-Prinzip und Kommunikationshilfen.</x:v>
      </x:c>
      <x:c r="S42" s="116" t="str">
        <x:v>nicht spezifisch belegt</x:v>
      </x:c>
      <x:c r="T42" s="116" t="str">
        <x:v>regional + projektbezogen überregional</x:v>
      </x:c>
      <x:c r="U42" s="135"/>
      <x:c r="V42" s="135"/>
      <x:c r="W42" s="116" t="str">
        <x:v>Adresse/Kontakt geprüft; numerische Hauskoordinate noch nicht separat verifiziert</x:v>
      </x:c>
      <x:c r="X42" s="116" t="str">
        <x:v>Kartenpunkt – Adresse geprüft</x:v>
      </x:c>
      <x:c r="Y42" s="116" t="str">
        <x:v>Technik 4.4.x – Neuaufnahme</x:v>
      </x:c>
      <x:c r="Z42" s="116"/>
      <x:c r="AA42" s="116" t="str">
        <x:v>https://www.humantechnik.com/</x:v>
      </x:c>
      <x:c r="AB42" s="116"/>
      <x:c r="AC42" s="116" t="str">
        <x:v>2026-08-30</x:v>
      </x:c>
      <x:c r="AD42" s="116" t="str">
        <x:v>Im Wörth 25, 79576 Weil am Rhein, Deutschland</x:v>
      </x:c>
      <x:c r="AE42" s="116" t="str">
        <x:v>Standort verifiziert.</x:v>
      </x:c>
    </x:row>
    <x:row r="43">
      <x:c r="A43" s="116" t="str">
        <x:v>T-039</x:v>
      </x:c>
      <x:c r="B43" s="116" t="str">
        <x:v>F.H. Papenmeier GmbH &amp; Co. KG</x:v>
      </x:c>
      <x:c r="C43" s="116" t="str">
        <x:v>Aufnehmen</x:v>
      </x:c>
      <x:c r="D43" s="116" t="str">
        <x:v>A</x:v>
      </x:c>
      <x:c r="E43" s="116" t="str">
        <x:v>Technische Arbeitsplatzanpassung</x:v>
      </x:c>
      <x:c r="F43" s="116" t="str">
        <x:v>Braille; Screenreader; Arbeitsplatzanalyse; Softwareanpassung; Schulung</x:v>
      </x:c>
      <x:c r="G43" s="116" t="str">
        <x:v>Technischer Umsetzer / Sehen &amp; Blindheit</x:v>
      </x:c>
      <x:c r="H43" s="116" t="str">
        <x:v>Talweg 2</x:v>
      </x:c>
      <x:c r="I43" s="116" t="str">
        <x:v>58239</x:v>
      </x:c>
      <x:c r="J43" s="116" t="str">
        <x:v>Schwerte</x:v>
      </x:c>
      <x:c r="K43" s="116" t="str">
        <x:v>Nordrhein-Westfalen</x:v>
      </x:c>
      <x:c r="L43" s="116" t="str">
        <x:v>Deutschland</x:v>
      </x:c>
      <x:c r="M43" s="116" t="str">
        <x:v>+49 2304 205-0</x:v>
      </x:c>
      <x:c r="N43" s="116"/>
      <x:c r="O43" s="116" t="str">
        <x:v>info@papenmeier.de</x:v>
      </x:c>
      <x:c r="P43" s="116" t="str">
        <x:v>https://www.papenmeier-rehatechnik.de/</x:v>
      </x:c>
      <x:c r="Q43" s="116"/>
      <x:c r="R43" s="116" t="str">
        <x:v>Braille; Screenreader; Arbeitsplatzanalyse; Softwareanpassung; Schulung | Überregionaler Spezialanbieter; bei komplexen Blindenarbeitsplätzen relevant.</x:v>
      </x:c>
      <x:c r="S43" s="116" t="str">
        <x:v>Kostenträgerabstimmung Bestandteil</x:v>
      </x:c>
      <x:c r="T43" s="116" t="str">
        <x:v>überregional / bundesweit projektbezogen</x:v>
      </x:c>
      <x:c r="U43" s="135"/>
      <x:c r="V43" s="135"/>
      <x:c r="W43" s="116" t="str">
        <x:v>Adresse/Kontakt geprüft; numerische Hauskoordinate noch nicht separat verifiziert</x:v>
      </x:c>
      <x:c r="X43" s="116" t="str">
        <x:v>Kartenpunkt – Adresse geprüft</x:v>
      </x:c>
      <x:c r="Y43" s="116" t="str">
        <x:v>Technik 4.4.x – Neuaufnahme</x:v>
      </x:c>
      <x:c r="Z43" s="116"/>
      <x:c r="AA43" s="116" t="str">
        <x:v>https://www.papenmeier-rehatechnik.de/</x:v>
      </x:c>
      <x:c r="AB43" s="116"/>
      <x:c r="AC43" s="116" t="str">
        <x:v>2026-08-30</x:v>
      </x:c>
      <x:c r="AD43" s="116" t="str">
        <x:v>Talweg 2, 58239 Schwerte, Deutschland</x:v>
      </x:c>
      <x:c r="AE43" s="116" t="str">
        <x:v>Unternehmensstandort verifiziert; Rehatechnik überregional.</x:v>
      </x:c>
    </x:row>
    <x:row r="44">
      <x:c r="A44" s="116" t="str">
        <x:v>T-040</x:v>
      </x:c>
      <x:c r="B44" s="116" t="str">
        <x:v>Or BIT EDV – Technik für Menschen</x:v>
      </x:c>
      <x:c r="C44" s="116" t="str">
        <x:v>Aufnehmen</x:v>
      </x:c>
      <x:c r="D44" s="116" t="str">
        <x:v>A+</x:v>
      </x:c>
      <x:c r="E44" s="116" t="str">
        <x:v>Technische Arbeitsplatzanpassung</x:v>
      </x:c>
      <x:c r="F44" s="116" t="str">
        <x:v>Arbeitsplatzanalyse; Hilfsmittelerprobung; alternative Eingabe; Blindentechnik; Ergonomie; Sonderlösung</x:v>
      </x:c>
      <x:c r="G44" s="116" t="str">
        <x:v>Technischer Arbeitsplatzberater &amp; Umsetzer</x:v>
      </x:c>
      <x:c r="H44" s="116" t="str">
        <x:v>Alte Hauptstraße 9</x:v>
      </x:c>
      <x:c r="I44" s="116" t="str">
        <x:v>28844</x:v>
      </x:c>
      <x:c r="J44" s="116" t="str">
        <x:v>Weyhe</x:v>
      </x:c>
      <x:c r="K44" s="116" t="str">
        <x:v>Niedersachsen</x:v>
      </x:c>
      <x:c r="L44" s="116" t="str">
        <x:v>Deutschland</x:v>
      </x:c>
      <x:c r="M44" s="116" t="str">
        <x:v>+49 4203 810881</x:v>
      </x:c>
      <x:c r="N44" s="116"/>
      <x:c r="O44" s="116" t="str">
        <x:v>post@orbit-edv.de</x:v>
      </x:c>
      <x:c r="P44" s="116" t="str">
        <x:v>https://www.orbit-edv.de/</x:v>
      </x:c>
      <x:c r="Q44" s="116"/>
      <x:c r="R44" s="116" t="str">
        <x:v>Arbeitsplatzanalyse; Hilfsmittelerprobung; alternative Eingabe; Blindentechnik; Ergonomie; Sonderlösung | Sehr starker überregionaler Reha-Spezialist; Herstellerunabhängigkeit und Kostenträgererfahrung.</x:v>
      </x:c>
      <x:c r="S44" s="116" t="str">
        <x:v>BG/UV/DRV/Integrationsamt ausdrücklich relevant</x:v>
      </x:c>
      <x:c r="T44" s="116" t="str">
        <x:v>überregional / bundesweit projektbezogen</x:v>
      </x:c>
      <x:c r="U44" s="135"/>
      <x:c r="V44" s="135"/>
      <x:c r="W44" s="116" t="str">
        <x:v>Adresse/Kontakt geprüft; numerische Hauskoordinate noch nicht separat verifiziert</x:v>
      </x:c>
      <x:c r="X44" s="116" t="str">
        <x:v>Kartenpunkt – Adresse geprüft</x:v>
      </x:c>
      <x:c r="Y44" s="116" t="str">
        <x:v>Technik 4.4.x – Neuaufnahme</x:v>
      </x:c>
      <x:c r="Z44" s="116"/>
      <x:c r="AA44" s="116" t="str">
        <x:v>https://www.orbit-edv.de/</x:v>
      </x:c>
      <x:c r="AB44" s="116"/>
      <x:c r="AC44" s="116" t="str">
        <x:v>2026-08-30</x:v>
      </x:c>
      <x:c r="AD44" s="116" t="str">
        <x:v>Alte Hauptstraße 9, 28844 Weyhe, Deutschland</x:v>
      </x:c>
      <x:c r="AE44" s="116" t="str">
        <x:v>Standort verifiziert; überregional.</x:v>
      </x:c>
    </x:row>
    <x:row r="45">
      <x:c r="A45" s="116" t="str">
        <x:v>T-041</x:v>
      </x:c>
      <x:c r="B45" s="116" t="str">
        <x:v>Berufsförderungswerk Würzburg</x:v>
      </x:c>
      <x:c r="C45" s="116" t="str">
        <x:v>Aufnehmen</x:v>
      </x:c>
      <x:c r="D45" s="116" t="str">
        <x:v>A+</x:v>
      </x:c>
      <x:c r="E45" s="116" t="str">
        <x:v>Technische Arbeitsplatzanpassung</x:v>
      </x:c>
      <x:c r="F45" s="116" t="str">
        <x:v>Arbeitsplatzanalyse; RehaAssessment; Hilfsmittelbedarf; Belastungserprobung; Arbeitgeberberatung</x:v>
      </x:c>
      <x:c r="G45" s="116" t="str">
        <x:v>Technischer Arbeitsplatzberater / RehaAssessment</x:v>
      </x:c>
      <x:c r="H45" s="116" t="str">
        <x:v>Helen-Keller-Straße 5</x:v>
      </x:c>
      <x:c r="I45" s="116" t="str">
        <x:v>97209</x:v>
      </x:c>
      <x:c r="J45" s="116" t="str">
        <x:v>Veitshöchheim</x:v>
      </x:c>
      <x:c r="K45" s="116" t="str">
        <x:v>Bayern</x:v>
      </x:c>
      <x:c r="L45" s="116" t="str">
        <x:v>Deutschland</x:v>
      </x:c>
      <x:c r="M45" s="116" t="str">
        <x:v>+49 931 9001-0</x:v>
      </x:c>
      <x:c r="N45" s="116"/>
      <x:c r="O45" s="116" t="str">
        <x:v>info@bfw-wuerzburg.de</x:v>
      </x:c>
      <x:c r="P45" s="116" t="str">
        <x:v>https://www.bfw-wuerzburg.de/</x:v>
      </x:c>
      <x:c r="Q45" s="116"/>
      <x:c r="R45" s="116" t="str">
        <x:v>Arbeitsplatzanalyse; RehaAssessment; Hilfsmittelbedarf; Belastungserprobung; Arbeitgeberberatung | Ideal vorgelagert: Was muss an diesem Arbeitsplatz technisch verändert werden?</x:v>
      </x:c>
      <x:c r="S45" s="116" t="str">
        <x:v>Reha-/Kostenträgerbezug eindeutig</x:v>
      </x:c>
      <x:c r="T45" s="116" t="str">
        <x:v>überregional / bundesweit projektbezogen</x:v>
      </x:c>
      <x:c r="U45" s="135"/>
      <x:c r="V45" s="135"/>
      <x:c r="W45" s="116" t="str">
        <x:v>Adresse/Kontakt geprüft; numerische Hauskoordinate noch nicht separat verifiziert</x:v>
      </x:c>
      <x:c r="X45" s="116" t="str">
        <x:v>Kartenpunkt – Adresse geprüft</x:v>
      </x:c>
      <x:c r="Y45" s="116" t="str">
        <x:v>Technik 4.4.x – Neuaufnahme</x:v>
      </x:c>
      <x:c r="Z45" s="116"/>
      <x:c r="AA45" s="116" t="str">
        <x:v>https://www.bfw-wuerzburg.de/</x:v>
      </x:c>
      <x:c r="AB45" s="116"/>
      <x:c r="AC45" s="116" t="str">
        <x:v>2026-08-30</x:v>
      </x:c>
      <x:c r="AD45" s="116" t="str">
        <x:v>Helen-Keller-Straße 5, 97209 Veitshöchheim, Deutschland</x:v>
      </x:c>
      <x:c r="AE45" s="116" t="str">
        <x:v>Standort verifiziert.</x:v>
      </x:c>
    </x:row>
    <x:row r="46">
      <x:c r="A46" s="116" t="str">
        <x:v>T-042-KA</x:v>
      </x:c>
      <x:c r="B46" s="116" t="str">
        <x:v>KVJS – Technischer Beratungsdienst Integrationsamt</x:v>
      </x:c>
      <x:c r="C46" s="116" t="str">
        <x:v>Aufnehmen</x:v>
      </x:c>
      <x:c r="D46" s="116" t="str">
        <x:v>A+</x:v>
      </x:c>
      <x:c r="E46" s="116" t="str">
        <x:v>Technische Arbeitsplatzanpassung</x:v>
      </x:c>
      <x:c r="F46" s="116" t="str">
        <x:v>Technische Beratung; Arbeitsplatzanalyse; Arbeitshilfe; Fahrzeug-/Wohnraumbezug; Förderberatung</x:v>
      </x:c>
      <x:c r="G46" s="116" t="str">
        <x:v>Öffentlicher Technischer Fachdienst</x:v>
      </x:c>
      <x:c r="H46" s="116" t="str">
        <x:v>Erzbergerstraße 119</x:v>
      </x:c>
      <x:c r="I46" s="116" t="str">
        <x:v>76133</x:v>
      </x:c>
      <x:c r="J46" s="116" t="str">
        <x:v>Karlsruhe</x:v>
      </x:c>
      <x:c r="K46" s="116" t="str">
        <x:v>Baden-Württemberg</x:v>
      </x:c>
      <x:c r="L46" s="116" t="str">
        <x:v>Deutschland</x:v>
      </x:c>
      <x:c r="M46" s="116" t="str">
        <x:v>+49 721 8107-0</x:v>
      </x:c>
      <x:c r="N46" s="116"/>
      <x:c r="O46" s="116"/>
      <x:c r="P46" s="116" t="str">
        <x:v>https://www.kvjs.de/behinderung-und-beruf/technischer-beratungsdienst</x:v>
      </x:c>
      <x:c r="Q46" s="116"/>
      <x:c r="R46" s="116" t="str">
        <x:v>Technische Beratung; Arbeitsplatzanalyse; Arbeitshilfe; Fahrzeug-/Wohnraumbezug; Förderberatung | Als Beratungs-/Fachdienst führen, nicht als ausführenden Anbieter.</x:v>
      </x:c>
      <x:c r="S46" s="116" t="str">
        <x:v>öffentlicher Kostenträger-/Integrationsbezug</x:v>
      </x:c>
      <x:c r="T46" s="116" t="str">
        <x:v>Baden-Württemberg</x:v>
      </x:c>
      <x:c r="U46" s="135"/>
      <x:c r="V46" s="135"/>
      <x:c r="W46" s="116" t="str">
        <x:v>Adresse/Kontakt geprüft; numerische Hauskoordinate noch nicht separat verifiziert</x:v>
      </x:c>
      <x:c r="X46" s="116" t="str">
        <x:v>Kartenpunkt – verifizierter Teilstandort</x:v>
      </x:c>
      <x:c r="Y46" s="116" t="str">
        <x:v>Technik 4.4.x – Neuaufnahme</x:v>
      </x:c>
      <x:c r="Z46" s="116" t="str">
        <x:v>T-042</x:v>
      </x:c>
      <x:c r="AA46" s="116" t="str">
        <x:v>https://www.kvjs.de/behinderung-und-beruf/technischer-beratungsdienst</x:v>
      </x:c>
      <x:c r="AB46" s="116"/>
      <x:c r="AC46" s="116" t="str">
        <x:v>2026-08-30</x:v>
      </x:c>
      <x:c r="AD46" s="116" t="str">
        <x:v>Erzbergerstraße 119, 76133 Karlsruhe, Deutschland</x:v>
      </x:c>
      <x:c r="AE46" s="116" t="str">
        <x:v>KVJS-Standort Karlsruhe.</x:v>
      </x:c>
    </x:row>
    <x:row r="47">
      <x:c r="A47" s="116" t="str">
        <x:v>T-042-ST</x:v>
      </x:c>
      <x:c r="B47" s="116" t="str">
        <x:v>KVJS – Technischer Beratungsdienst Integrationsamt</x:v>
      </x:c>
      <x:c r="C47" s="116" t="str">
        <x:v>Aufnehmen</x:v>
      </x:c>
      <x:c r="D47" s="116" t="str">
        <x:v>A+</x:v>
      </x:c>
      <x:c r="E47" s="116" t="str">
        <x:v>Technische Arbeitsplatzanpassung</x:v>
      </x:c>
      <x:c r="F47" s="116" t="str">
        <x:v>Technische Beratung; Arbeitsplatzanalyse; Arbeitshilfe; Fahrzeug-/Wohnraumbezug; Förderberatung</x:v>
      </x:c>
      <x:c r="G47" s="116" t="str">
        <x:v>Öffentlicher Technischer Fachdienst</x:v>
      </x:c>
      <x:c r="H47" s="116" t="str">
        <x:v>Lindenspürstraße 39</x:v>
      </x:c>
      <x:c r="I47" s="116" t="str">
        <x:v>70176</x:v>
      </x:c>
      <x:c r="J47" s="116" t="str">
        <x:v>Stuttgart</x:v>
      </x:c>
      <x:c r="K47" s="116" t="str">
        <x:v>Baden-Württemberg</x:v>
      </x:c>
      <x:c r="L47" s="116" t="str">
        <x:v>Deutschland</x:v>
      </x:c>
      <x:c r="M47" s="116" t="str">
        <x:v>+49 711 6375-0</x:v>
      </x:c>
      <x:c r="N47" s="116"/>
      <x:c r="O47" s="116"/>
      <x:c r="P47" s="116" t="str">
        <x:v>https://www.kvjs.de/behinderung-und-beruf/technischer-beratungsdienst</x:v>
      </x:c>
      <x:c r="Q47" s="116"/>
      <x:c r="R47" s="116" t="str">
        <x:v>Technische Beratung; Arbeitsplatzanalyse; Arbeitshilfe; Fahrzeug-/Wohnraumbezug; Förderberatung | Als Beratungs-/Fachdienst führen, nicht als ausführenden Anbieter.</x:v>
      </x:c>
      <x:c r="S47" s="116" t="str">
        <x:v>öffentlicher Kostenträger-/Integrationsbezug</x:v>
      </x:c>
      <x:c r="T47" s="116" t="str">
        <x:v>Baden-Württemberg</x:v>
      </x:c>
      <x:c r="U47" s="135"/>
      <x:c r="V47" s="135"/>
      <x:c r="W47" s="116" t="str">
        <x:v>Adresse/Kontakt geprüft; numerische Hauskoordinate noch nicht separat verifiziert</x:v>
      </x:c>
      <x:c r="X47" s="116" t="str">
        <x:v>Kartenpunkt – verifizierter Teilstandort</x:v>
      </x:c>
      <x:c r="Y47" s="116" t="str">
        <x:v>Technik 4.4.x – Neuaufnahme</x:v>
      </x:c>
      <x:c r="Z47" s="116" t="str">
        <x:v>T-042</x:v>
      </x:c>
      <x:c r="AA47" s="116" t="str">
        <x:v>https://www.kvjs.de/behinderung-und-beruf/technischer-beratungsdienst</x:v>
      </x:c>
      <x:c r="AB47" s="116"/>
      <x:c r="AC47" s="116" t="str">
        <x:v>2026-08-30</x:v>
      </x:c>
      <x:c r="AD47" s="116" t="str">
        <x:v>Lindenspürstraße 39, 70176 Stuttgart, Deutschland</x:v>
      </x:c>
      <x:c r="AE47" s="116" t="str">
        <x:v>KVJS-Standort Stuttgart.</x:v>
      </x:c>
    </x:row>
    <x:row r="48">
      <x:c r="A48" s="116" t="str">
        <x:v>T-042-FR</x:v>
      </x:c>
      <x:c r="B48" s="116" t="str">
        <x:v>KVJS – Technischer Beratungsdienst Integrationsamt</x:v>
      </x:c>
      <x:c r="C48" s="116" t="str">
        <x:v>Aufnehmen</x:v>
      </x:c>
      <x:c r="D48" s="116" t="str">
        <x:v>A+</x:v>
      </x:c>
      <x:c r="E48" s="116" t="str">
        <x:v>Technische Arbeitsplatzanpassung</x:v>
      </x:c>
      <x:c r="F48" s="116" t="str">
        <x:v>Technische Beratung; Arbeitsplatzanalyse; Arbeitshilfe; Fahrzeug-/Wohnraumbezug; Förderberatung</x:v>
      </x:c>
      <x:c r="G48" s="116" t="str">
        <x:v>Öffentlicher Technischer Fachdienst</x:v>
      </x:c>
      <x:c r="H48" s="116" t="str">
        <x:v>Kaiser-Joseph-Straße 170</x:v>
      </x:c>
      <x:c r="I48" s="116" t="str">
        <x:v>79098</x:v>
      </x:c>
      <x:c r="J48" s="116" t="str">
        <x:v>Freiburg im Breisgau</x:v>
      </x:c>
      <x:c r="K48" s="116" t="str">
        <x:v>Baden-Württemberg</x:v>
      </x:c>
      <x:c r="L48" s="116" t="str">
        <x:v>Deutschland</x:v>
      </x:c>
      <x:c r="M48" s="116" t="str">
        <x:v>+49 761 2719-0</x:v>
      </x:c>
      <x:c r="N48" s="116"/>
      <x:c r="O48" s="116"/>
      <x:c r="P48" s="116" t="str">
        <x:v>https://www.kvjs.de/behinderung-und-beruf/technischer-beratungsdienst</x:v>
      </x:c>
      <x:c r="Q48" s="116"/>
      <x:c r="R48" s="116" t="str">
        <x:v>Technische Beratung; Arbeitsplatzanalyse; Arbeitshilfe; Fahrzeug-/Wohnraumbezug; Förderberatung | Als Beratungs-/Fachdienst führen, nicht als ausführenden Anbieter.</x:v>
      </x:c>
      <x:c r="S48" s="116" t="str">
        <x:v>öffentlicher Kostenträger-/Integrationsbezug</x:v>
      </x:c>
      <x:c r="T48" s="116" t="str">
        <x:v>Baden-Württemberg</x:v>
      </x:c>
      <x:c r="U48" s="135"/>
      <x:c r="V48" s="135"/>
      <x:c r="W48" s="116" t="str">
        <x:v>Adresse/Kontakt geprüft; numerische Hauskoordinate noch nicht separat verifiziert</x:v>
      </x:c>
      <x:c r="X48" s="116" t="str">
        <x:v>Kartenpunkt – verifizierter Teilstandort</x:v>
      </x:c>
      <x:c r="Y48" s="116" t="str">
        <x:v>Technik 4.4.x – Neuaufnahme</x:v>
      </x:c>
      <x:c r="Z48" s="116" t="str">
        <x:v>T-042</x:v>
      </x:c>
      <x:c r="AA48" s="116" t="str">
        <x:v>https://www.kvjs.de/behinderung-und-beruf/technischer-beratungsdienst</x:v>
      </x:c>
      <x:c r="AB48" s="116"/>
      <x:c r="AC48" s="116" t="str">
        <x:v>2026-08-30</x:v>
      </x:c>
      <x:c r="AD48" s="116" t="str">
        <x:v>Kaiser-Joseph-Straße 170, 79098 Freiburg im Breisgau, Deutschland</x:v>
      </x:c>
      <x:c r="AE48" s="116" t="str">
        <x:v>KVJS-Standort Freiburg.</x:v>
      </x:c>
    </x:row>
    <x:row r="49">
      <x:c r="A49" s="116" t="str">
        <x:v>T-043</x:v>
      </x:c>
      <x:c r="B49" s="116" t="str">
        <x:v>LSJV Rheinland-Pfalz – Technischer Beratungsdienst Integrationsamt</x:v>
      </x:c>
      <x:c r="C49" s="116" t="str">
        <x:v>Aufnehmen</x:v>
      </x:c>
      <x:c r="D49" s="116" t="str">
        <x:v>A+</x:v>
      </x:c>
      <x:c r="E49" s="116" t="str">
        <x:v>Technische Arbeitsplatzanpassung</x:v>
      </x:c>
      <x:c r="F49" s="116" t="str">
        <x:v>Technische Beratung; Arbeitsplatzanalyse; technische Arbeitshilfe; Förderberatung</x:v>
      </x:c>
      <x:c r="G49" s="116" t="str">
        <x:v>Öffentlicher Technischer Fachdienst</x:v>
      </x:c>
      <x:c r="H49" s="116" t="str">
        <x:v>Rheinallee 97-101</x:v>
      </x:c>
      <x:c r="I49" s="116" t="str">
        <x:v>55118</x:v>
      </x:c>
      <x:c r="J49" s="116" t="str">
        <x:v>Mainz</x:v>
      </x:c>
      <x:c r="K49" s="116" t="str">
        <x:v>Rheinland-Pfalz</x:v>
      </x:c>
      <x:c r="L49" s="116" t="str">
        <x:v>Deutschland</x:v>
      </x:c>
      <x:c r="M49" s="116" t="str">
        <x:v>+49 6131 967-0</x:v>
      </x:c>
      <x:c r="N49" s="116"/>
      <x:c r="O49" s="116" t="str">
        <x:v>integrationsamt@lsjv.rlp.de</x:v>
      </x:c>
      <x:c r="P49" s="116" t="str">
        <x:v>https://lsjv.rlp.de/themen/inklusion/inklusion-und-beruf/begleitende-hilfen-im-arbeitsleben</x:v>
      </x:c>
      <x:c r="Q49" s="116"/>
      <x:c r="R49" s="116" t="str">
        <x:v>Technische Beratung; Arbeitsplatzanalyse; technische Arbeitshilfe; Förderberatung | Als Beratungs-/Fachdienst führen, nicht als ausführenden Anbieter.</x:v>
      </x:c>
      <x:c r="S49" s="116" t="str">
        <x:v>öffentlicher Kostenträger-/Integrationsbezug</x:v>
      </x:c>
      <x:c r="T49" s="116" t="str">
        <x:v>Rheinland-Pfalz</x:v>
      </x:c>
      <x:c r="U49" s="135"/>
      <x:c r="V49" s="135"/>
      <x:c r="W49" s="116" t="str">
        <x:v>Adresse/Kontakt geprüft; numerische Hauskoordinate noch nicht separat verifiziert</x:v>
      </x:c>
      <x:c r="X49" s="116" t="str">
        <x:v>Kartenpunkt – Adresse geprüft</x:v>
      </x:c>
      <x:c r="Y49" s="116" t="str">
        <x:v>Technik 4.4.x – Neuaufnahme</x:v>
      </x:c>
      <x:c r="Z49" s="116"/>
      <x:c r="AA49" s="116" t="str">
        <x:v>https://lsjv.rlp.de/themen/inklusion/inklusion-und-beruf/technischer-beratungsdienst</x:v>
      </x:c>
      <x:c r="AB49" s="116"/>
      <x:c r="AC49" s="116" t="str">
        <x:v>2026-08-30</x:v>
      </x:c>
      <x:c r="AD49" s="116" t="str">
        <x:v>Rheinallee 97-101, 55118 Mainz, Deutschland</x:v>
      </x:c>
      <x:c r="AE49" s="116" t="str">
        <x:v>Integrationsamt/Technischer Beratungsdienst Mainz als Kartenpunkt.</x:v>
      </x:c>
    </x:row>
    <x:row r="50">
      <x:c r="A50" s="116" t="str">
        <x:v>T-044</x:v>
      </x:c>
      <x:c r="B50" s="116" t="str">
        <x:v>Bundesagentur für Arbeit – Technischer Beratungsdienst</x:v>
      </x:c>
      <x:c r="C50" s="116" t="str">
        <x:v>Aufnehmen</x:v>
      </x:c>
      <x:c r="D50" s="116" t="str">
        <x:v>A+</x:v>
      </x:c>
      <x:c r="E50" s="116" t="str">
        <x:v>Technische Arbeitsplatzanpassung</x:v>
      </x:c>
      <x:c r="F50" s="116" t="str">
        <x:v>Technisches Gutachten; Arbeitsplatzanalyse; Hilfsmittel-/Fahrzeug-/Umbauempfehlung</x:v>
      </x:c>
      <x:c r="G50" s="116" t="str">
        <x:v>Öffentlicher Technischer Fachdienst</x:v>
      </x:c>
      <x:c r="H50" s="116"/>
      <x:c r="I50" s="116"/>
      <x:c r="J50" s="116"/>
      <x:c r="K50" s="116"/>
      <x:c r="L50" s="116" t="str">
        <x:v>Deutschland</x:v>
      </x:c>
      <x:c r="M50" s="116" t="str">
        <x:v>+49 800 4555500</x:v>
      </x:c>
      <x:c r="N50" s="116"/>
      <x:c r="O50" s="116"/>
      <x:c r="P50" s="116" t="str">
        <x:v>https://www.arbeitsagentur.de/ueber-uns/technischer-beratungsdienst</x:v>
      </x:c>
      <x:c r="Q50" s="116"/>
      <x:c r="R50" s="116" t="str">
        <x:v>Technisches Gutachten; Arbeitsplatzanalyse; Hilfsmittel-/Fahrzeug-/Umbauempfehlung | Als funktionalen Beratungsweg hinterlegen; nicht als einzelner Kartenpunkt.</x:v>
      </x:c>
      <x:c r="S50" s="116" t="str">
        <x:v>öffentlicher Kostenträgerbezug</x:v>
      </x:c>
      <x:c r="T50" s="116" t="str">
        <x:v>bundesweit</x:v>
      </x:c>
      <x:c r="U50" s="135"/>
      <x:c r="V50" s="135"/>
      <x:c r="W50" s="116" t="str">
        <x:v>Kein Einzelpunkt erforderlich</x:v>
      </x:c>
      <x:c r="X50" s="116" t="str">
        <x:v>Kein Einzelpunkt – bundesweiter Fachdienst</x:v>
      </x:c>
      <x:c r="Y50" s="116" t="str">
        <x:v>Technik 4.4.x – Neuaufnahme</x:v>
      </x:c>
      <x:c r="Z50" s="116"/>
      <x:c r="AA50" s="116" t="str">
        <x:v>https://www.arbeitsagentur.de/unternehmen/arbeitskraefte/technischer-beratungsdienst</x:v>
      </x:c>
      <x:c r="AB50" s="116"/>
      <x:c r="AC50" s="116" t="str">
        <x:v>2026-08-30</x:v>
      </x:c>
      <x:c r="AD50" s="116"/>
      <x:c r="AE50" s="116" t="str">
        <x:v>Bundesweiter Fachdienst; kein einzelner Kartenpunkt. Zugang über regionale Agentur für Arbeit/Jobcenter.</x:v>
      </x:c>
    </x:row>
    <x:row r="51">
      <x:c r="A51" s="116" t="str">
        <x:v>T-045</x:v>
      </x:c>
      <x:c r="B51" s="116" t="str">
        <x:v>Fachdienste für Hörgeschädigte Rheinland-Pfalz</x:v>
      </x:c>
      <x:c r="C51" s="116" t="str">
        <x:v>Aufnehmen</x:v>
      </x:c>
      <x:c r="D51" s="116" t="str">
        <x:v>A</x:v>
      </x:c>
      <x:c r="E51" s="116" t="str">
        <x:v>Technische Arbeitsplatzanpassung</x:v>
      </x:c>
      <x:c r="F51" s="116" t="str">
        <x:v>Arbeitsplatzberatung; technische Hör-/Kommunikationshilfe; Arbeitsassistenz; Förderberatung</x:v>
      </x:c>
      <x:c r="G51" s="116" t="str">
        <x:v>Spezialisierter Integrationsfachdienst</x:v>
      </x:c>
      <x:c r="H51" s="116" t="str">
        <x:v>Carl-Spitzweg-Straße 30</x:v>
      </x:c>
      <x:c r="I51" s="116" t="str">
        <x:v>67227</x:v>
      </x:c>
      <x:c r="J51" s="116" t="str">
        <x:v>Frankenthal (Pfalz)</x:v>
      </x:c>
      <x:c r="K51" s="116" t="str">
        <x:v>Rheinland-Pfalz</x:v>
      </x:c>
      <x:c r="L51" s="116" t="str">
        <x:v>Deutschland</x:v>
      </x:c>
      <x:c r="M51" s="116" t="str">
        <x:v>+49 6233 3458-0</x:v>
      </x:c>
      <x:c r="N51" s="116"/>
      <x:c r="O51" s="116" t="str">
        <x:v>kontakt@gehoerlose-rlp.de</x:v>
      </x:c>
      <x:c r="P51" s="116" t="str">
        <x:v>https://www.fd-gehoerlose-rlp.de/</x:v>
      </x:c>
      <x:c r="Q51" s="116"/>
      <x:c r="R51" s="116" t="str">
        <x:v>Arbeitsplatzberatung; technische Hör-/Kommunikationshilfe; Arbeitsassistenz; Förderberatung | Mit Humantechnik/WERMA und technischen Umsetzern verknüpfen.</x:v>
      </x:c>
      <x:c r="S51" s="116" t="str">
        <x:v>Integrationsamt-/Kostenträgerbezug</x:v>
      </x:c>
      <x:c r="T51" s="116" t="str">
        <x:v>Rheinland-Pfalz</x:v>
      </x:c>
      <x:c r="U51" s="135"/>
      <x:c r="V51" s="135"/>
      <x:c r="W51" s="116" t="str">
        <x:v>Adresse/Kontakt geprüft; numerische Hauskoordinate noch nicht separat verifiziert</x:v>
      </x:c>
      <x:c r="X51" s="116" t="str">
        <x:v>Kartenpunkt – Adresse geprüft</x:v>
      </x:c>
      <x:c r="Y51" s="116" t="str">
        <x:v>Technik 4.4.x – Neuaufnahme</x:v>
      </x:c>
      <x:c r="Z51" s="116"/>
      <x:c r="AA51" s="116" t="str">
        <x:v>https://www.fd-gehoerlose-rlp.de/</x:v>
      </x:c>
      <x:c r="AB51" s="116"/>
      <x:c r="AC51" s="116" t="str">
        <x:v>2026-08-30</x:v>
      </x:c>
      <x:c r="AD51" s="116" t="str">
        <x:v>Carl-Spitzweg-Straße 30, 67227 Frankenthal (Pfalz), Deutschland</x:v>
      </x:c>
      <x:c r="AE51" s="116" t="str">
        <x:v>Standort Frankenthal verifiziert.</x:v>
      </x:c>
    </x:row>
    <x:row r="52">
      <x:c r="A52" s="116" t="str">
        <x:v>P-002</x:v>
      </x:c>
      <x:c r="B52" s="116" t="str">
        <x:v>Feinwerktechnik Ritzenthaler GmbH</x:v>
      </x:c>
      <x:c r="C52" s="116" t="str">
        <x:v>Aufnehmen</x:v>
      </x:c>
      <x:c r="D52" s="116" t="str">
        <x:v>A+</x:v>
      </x:c>
      <x:c r="E52" s="116" t="str">
        <x:v>Technische Arbeitsplatzanpassung</x:v>
      </x:c>
      <x:c r="F52" s="116" t="str">
        <x:v>Vor-Ort-Analyse; Greifwegoptimierung; Materialbereitstellung; ergonomische Montage-/Arbeitsplätze; Konstruktion; eigene Fertigung; Umbau/Retrofit; Montage/Inbetriebnahme</x:v>
      </x:c>
      <x:c r="G52" s="116" t="str">
        <x:v>Technischer Umsetzer / Arbeitsplatzsysteme &amp; Vorrichtungen</x:v>
      </x:c>
      <x:c r="H52" s="116" t="str">
        <x:v>Staufener Straße 4</x:v>
      </x:c>
      <x:c r="I52" s="116" t="str">
        <x:v>79427</x:v>
      </x:c>
      <x:c r="J52" s="116" t="str">
        <x:v>Eschbach</x:v>
      </x:c>
      <x:c r="K52" s="116" t="str">
        <x:v>Baden-Württemberg</x:v>
      </x:c>
      <x:c r="L52" s="116" t="str">
        <x:v>Deutschland</x:v>
      </x:c>
      <x:c r="M52" s="116" t="str">
        <x:v>+49 7634 5071428</x:v>
      </x:c>
      <x:c r="N52" s="116"/>
      <x:c r="O52" s="116" t="str">
        <x:v>kontakt@fwtr.de</x:v>
      </x:c>
      <x:c r="P52" s="116" t="str">
        <x:v>https://fwtr.de/</x:v>
      </x:c>
      <x:c r="Q52" s="116"/>
      <x:c r="R52" s="116" t="str">
        <x:v>Vor-Ort-Analyse; Greifwegoptimierung; Materialbereitstellung; ergonomische Montage-/Arbeitsplätze; Konstruktion; eigene Fertigung; Umbau/Retrofit; Montage/Inbetriebnahme | Sehr guter Fit: Analyse, Entwicklung, Fertigung, Vor-Ort-Montage und Retrofit aus einer Hand.</x:v>
      </x:c>
      <x:c r="S52" s="116" t="str">
        <x:v>nicht spezifisch belegt</x:v>
      </x:c>
      <x:c r="T52" s="116" t="str">
        <x:v>regional + projektbezogen überregional</x:v>
      </x:c>
      <x:c r="U52" s="135"/>
      <x:c r="V52" s="135"/>
      <x:c r="W52" s="116" t="str">
        <x:v>Adresse/Kontakt geprüft; numerische Hauskoordinate noch nicht separat verifiziert</x:v>
      </x:c>
      <x:c r="X52" s="116" t="str">
        <x:v>Kartenpunkt – Adresse geprüft</x:v>
      </x:c>
      <x:c r="Y52" s="116" t="str">
        <x:v>Technik 4.4.x – Neuaufnahme</x:v>
      </x:c>
      <x:c r="Z52" s="116"/>
      <x:c r="AA52" s="116" t="str">
        <x:v>https://fwtr.de/leistungen/</x:v>
      </x:c>
      <x:c r="AB52" s="116"/>
      <x:c r="AC52" s="116" t="str">
        <x:v>2026-08-30</x:v>
      </x:c>
      <x:c r="AD52" s="116" t="str">
        <x:v>Staufener Straße 4, 79427 Eschbach, Deutschland</x:v>
      </x:c>
      <x:c r="AE52" s="116" t="str">
        <x:v>Sehr guter Fit: Analyse, Entwicklung, Fertigung, Vor-Ort-Montage und Retrofit aus einer Hand.</x:v>
      </x:c>
    </x:row>
    <x:row r="53">
      <x:c r="A53" s="116" t="str">
        <x:v>P-003</x:v>
      </x:c>
      <x:c r="B53" s="116" t="str">
        <x:v>Grabert Aluformguss GmbH</x:v>
      </x:c>
      <x:c r="C53" s="116" t="str">
        <x:v>Aufnehmen</x:v>
      </x:c>
      <x:c r="D53" s="116" t="str">
        <x:v>B</x:v>
      </x:c>
      <x:c r="E53" s="116" t="str">
        <x:v>Technische Arbeitsplatzanpassung</x:v>
      </x:c>
      <x:c r="F53" s="116" t="str">
        <x:v>Engineering; Modell-/Prototypenbau; Vorrichtungsbau; Maschinenbau; Montage; Handarbeitsplätze/Handlingsysteme projektbezogen</x:v>
      </x:c>
      <x:c r="G53" s="116" t="str">
        <x:v>Technischer Umsetzer / Sondermaschinen &amp; Vorrichtungen</x:v>
      </x:c>
      <x:c r="H53" s="116" t="str">
        <x:v>Salzstraße 153</x:v>
      </x:c>
      <x:c r="I53" s="116" t="str">
        <x:v>74076</x:v>
      </x:c>
      <x:c r="J53" s="116" t="str">
        <x:v>Heilbronn</x:v>
      </x:c>
      <x:c r="K53" s="116" t="str">
        <x:v>Baden-Württemberg</x:v>
      </x:c>
      <x:c r="L53" s="116" t="str">
        <x:v>Deutschland</x:v>
      </x:c>
      <x:c r="M53" s="116" t="str">
        <x:v>+49 7131 9568-0</x:v>
      </x:c>
      <x:c r="N53" s="116"/>
      <x:c r="O53" s="116" t="str">
        <x:v>info@grabert-aluformguss.de</x:v>
      </x:c>
      <x:c r="P53" s="116" t="str">
        <x:v>https://www.grabert-aluformguss.de/</x:v>
      </x:c>
      <x:c r="Q53" s="116"/>
      <x:c r="R53" s="116" t="str">
        <x:v>Engineering; Modell-/Prototypenbau; Vorrichtungsbau; Maschinenbau; Montage; Handarbeitsplätze/Handlingsysteme projektbezogen | Als projektbezogener technischer Umsetzer aufnehmen; Reha-Einzelfallbezug nicht ausdrücklich beworben.</x:v>
      </x:c>
      <x:c r="S53" s="116" t="str">
        <x:v>nicht spezifisch belegt</x:v>
      </x:c>
      <x:c r="T53" s="116" t="str">
        <x:v>regional + projektbezogen überregional</x:v>
      </x:c>
      <x:c r="U53" s="135"/>
      <x:c r="V53" s="135"/>
      <x:c r="W53" s="116" t="str">
        <x:v>Adresse/Kontakt geprüft; numerische Hauskoordinate noch nicht separat verifiziert</x:v>
      </x:c>
      <x:c r="X53" s="116" t="str">
        <x:v>Kartenpunkt – Adresse geprüft</x:v>
      </x:c>
      <x:c r="Y53" s="116" t="str">
        <x:v>Technik 4.4.x – Neuaufnahme</x:v>
      </x:c>
      <x:c r="Z53" s="116"/>
      <x:c r="AA53" s="116" t="str">
        <x:v>https://www.grabert-aluformguss.de/</x:v>
      </x:c>
      <x:c r="AB53" s="116"/>
      <x:c r="AC53" s="116" t="str">
        <x:v>2026-08-30</x:v>
      </x:c>
      <x:c r="AD53" s="116" t="str">
        <x:v>Salzstraße 153, 74076 Heilbronn, Deutschland</x:v>
      </x:c>
      <x:c r="AE53" s="116" t="str">
        <x:v>Als projektbezogener technischer Umsetzer aufnehmen; Reha-Einzelfallbezug nicht ausdrücklich beworben.</x:v>
      </x:c>
    </x:row>
    <x:row r="54">
      <x:c r="A54" s="116" t="str">
        <x:v>P-004</x:v>
      </x:c>
      <x:c r="B54" s="116" t="str">
        <x:v>Log &amp; Consult GmbH</x:v>
      </x:c>
      <x:c r="C54" s="116" t="str">
        <x:v>Aufnehmen</x:v>
      </x:c>
      <x:c r="D54" s="116" t="str">
        <x:v>A</x:v>
      </x:c>
      <x:c r="E54" s="116" t="str">
        <x:v>Technische Arbeitsplatzanpassung</x:v>
      </x:c>
      <x:c r="F54" s="116" t="str">
        <x:v>Individuelle Arbeitsplatzsysteme; Materialbereitstellung; Ergonomie; Entwicklung vom Entwurf/Prototyp bis Serie</x:v>
      </x:c>
      <x:c r="G54" s="116" t="str">
        <x:v>Technischer Umsetzer / Arbeitsplatz &amp; Materialfluss</x:v>
      </x:c>
      <x:c r="H54" s="116" t="str">
        <x:v>Amsterdamerstraße 9</x:v>
      </x:c>
      <x:c r="I54" s="116" t="str">
        <x:v>74081</x:v>
      </x:c>
      <x:c r="J54" s="116" t="str">
        <x:v>Heilbronn</x:v>
      </x:c>
      <x:c r="K54" s="116" t="str">
        <x:v>Baden-Württemberg</x:v>
      </x:c>
      <x:c r="L54" s="116" t="str">
        <x:v>Deutschland</x:v>
      </x:c>
      <x:c r="M54" s="116" t="str">
        <x:v>+49 7131 8993460</x:v>
      </x:c>
      <x:c r="N54" s="116"/>
      <x:c r="O54" s="116" t="str">
        <x:v>info@log-consult.com</x:v>
      </x:c>
      <x:c r="P54" s="116" t="str">
        <x:v>https://www.log-consult.com/</x:v>
      </x:c>
      <x:c r="Q54" s="116"/>
      <x:c r="R54" s="116" t="str">
        <x:v>Individuelle Arbeitsplatzsysteme; Materialbereitstellung; Ergonomie; Entwicklung vom Entwurf/Prototyp bis Serie | Klarer Fit für individuelle ergonomische Arbeitsplatz- und Materialflusslösungen.</x:v>
      </x:c>
      <x:c r="S54" s="116" t="str">
        <x:v>nicht spezifisch belegt</x:v>
      </x:c>
      <x:c r="T54" s="116" t="str">
        <x:v>regional + projektbezogen überregional</x:v>
      </x:c>
      <x:c r="U54" s="135"/>
      <x:c r="V54" s="135"/>
      <x:c r="W54" s="116" t="str">
        <x:v>Adresse/Kontakt geprüft; numerische Hauskoordinate noch nicht separat verifiziert</x:v>
      </x:c>
      <x:c r="X54" s="116" t="str">
        <x:v>Kartenpunkt – Adresse geprüft</x:v>
      </x:c>
      <x:c r="Y54" s="116" t="str">
        <x:v>Technik 4.4.x – Neuaufnahme</x:v>
      </x:c>
      <x:c r="Z54" s="116"/>
      <x:c r="AA54" s="116" t="str">
        <x:v>https://www.log-consult.com/</x:v>
      </x:c>
      <x:c r="AB54" s="116"/>
      <x:c r="AC54" s="116" t="str">
        <x:v>2026-08-30</x:v>
      </x:c>
      <x:c r="AD54" s="116" t="str">
        <x:v>Amsterdamerstraße 9, 74081 Heilbronn, Deutschland</x:v>
      </x:c>
      <x:c r="AE54" s="116" t="str">
        <x:v>Klarer Fit für individuelle ergonomische Arbeitsplatz- und Materialflusslösungen.</x:v>
      </x:c>
    </x:row>
    <x:row r="55">
      <x:c r="A55" s="116" t="str">
        <x:v>P-005</x:v>
      </x:c>
      <x:c r="B55" s="116" t="str">
        <x:v>AGIL Rehabilitationstechnik</x:v>
      </x:c>
      <x:c r="C55" s="116" t="str">
        <x:v>Aufnehmen</x:v>
      </x:c>
      <x:c r="D55" s="116" t="str">
        <x:v>B</x:v>
      </x:c>
      <x:c r="E55" s="116" t="str">
        <x:v>Technische Arbeitsplatzanpassung</x:v>
      </x:c>
      <x:c r="F55" s="116" t="str">
        <x:v>Elektrorollstühle; Sondersteuerungen; individuelle Sonderanfertigungen; technischer Außendienst und Werkstatt</x:v>
      </x:c>
      <x:c r="G55" s="116" t="str">
        <x:v>Technischer Ergänzungspartner / komplexe Rehatechnik</x:v>
      </x:c>
      <x:c r="H55" s="116" t="str">
        <x:v>Am Taubenfeld 14/1</x:v>
      </x:c>
      <x:c r="I55" s="116" t="str">
        <x:v>69123</x:v>
      </x:c>
      <x:c r="J55" s="116" t="str">
        <x:v>Heidelberg</x:v>
      </x:c>
      <x:c r="K55" s="116" t="str">
        <x:v>Baden-Württemberg</x:v>
      </x:c>
      <x:c r="L55" s="116" t="str">
        <x:v>Deutschland</x:v>
      </x:c>
      <x:c r="M55" s="116" t="str">
        <x:v>+49 6221 82240</x:v>
      </x:c>
      <x:c r="N55" s="116"/>
      <x:c r="O55" s="116" t="str">
        <x:v>reha@agil-info.de</x:v>
      </x:c>
      <x:c r="P55" s="116" t="str">
        <x:v>https://www.agil-info.de/</x:v>
      </x:c>
      <x:c r="Q55" s="116"/>
      <x:c r="R55" s="116" t="str">
        <x:v>Elektrorollstühle; Sondersteuerungen; individuelle Sonderanfertigungen; technischer Außendienst und Werkstatt | Nicht als primären Industrie-Arbeitsplatzberater führen; als Ergänzungspartner bei komplexer Mobilitäts-/Steuerungstechnik.</x:v>
      </x:c>
      <x:c r="S55" s="116" t="str">
        <x:v>nicht spezifisch belegt</x:v>
      </x:c>
      <x:c r="T55" s="116" t="str">
        <x:v>regional + projektbezogen überregional</x:v>
      </x:c>
      <x:c r="U55" s="135"/>
      <x:c r="V55" s="135"/>
      <x:c r="W55" s="116" t="str">
        <x:v>Adresse/Kontakt geprüft; numerische Hauskoordinate noch nicht separat verifiziert</x:v>
      </x:c>
      <x:c r="X55" s="116" t="str">
        <x:v>Kartenpunkt – Adresse geprüft</x:v>
      </x:c>
      <x:c r="Y55" s="116" t="str">
        <x:v>Technik 4.4.x – Neuaufnahme</x:v>
      </x:c>
      <x:c r="Z55" s="116"/>
      <x:c r="AA55" s="116" t="str">
        <x:v>https://www.agil-info.de/</x:v>
      </x:c>
      <x:c r="AB55" s="116"/>
      <x:c r="AC55" s="116" t="str">
        <x:v>2026-08-30</x:v>
      </x:c>
      <x:c r="AD55" s="116" t="str">
        <x:v>Am Taubenfeld 14/1, 69123 Heidelberg, Deutschland</x:v>
      </x:c>
      <x:c r="AE55" s="116" t="str">
        <x:v>Nicht als primären Industrie-Arbeitsplatzberater führen; als Ergänzungspartner bei komplexer Mobilitäts-/Steuerungstechnik.</x:v>
      </x:c>
    </x:row>
    <x:row r="56">
      <x:c r="A56" s="116" t="str">
        <x:v>P-006</x:v>
      </x:c>
      <x:c r="B56" s="116" t="str">
        <x:v>PETec GmbH</x:v>
      </x:c>
      <x:c r="C56" s="116" t="str">
        <x:v>Aufnehmen</x:v>
      </x:c>
      <x:c r="D56" s="116" t="str">
        <x:v>A</x:v>
      </x:c>
      <x:c r="E56" s="116" t="str">
        <x:v>Technische Arbeitsplatzanpassung</x:v>
      </x:c>
      <x:c r="F56" s="116" t="str">
        <x:v>Höhenverstellbare Montage-/Schweiß-/Schwerlasttische; Hub-/Dreh-/Kippfunktionen; Sonderanfertigungen</x:v>
      </x:c>
      <x:c r="G56" s="116" t="str">
        <x:v>Technischer Umsetzer / Schwerlast- &amp; Schweißtische</x:v>
      </x:c>
      <x:c r="H56" s="116" t="str">
        <x:v>Zum Osterfeld 6</x:v>
      </x:c>
      <x:c r="I56" s="116" t="str">
        <x:v>59872</x:v>
      </x:c>
      <x:c r="J56" s="116" t="str">
        <x:v>Meschede</x:v>
      </x:c>
      <x:c r="K56" s="116" t="str">
        <x:v>Nordrhein-Westfalen</x:v>
      </x:c>
      <x:c r="L56" s="116" t="str">
        <x:v>Deutschland</x:v>
      </x:c>
      <x:c r="M56" s="116" t="str">
        <x:v>+49 291 95277807</x:v>
      </x:c>
      <x:c r="N56" s="116"/>
      <x:c r="O56" s="116" t="str">
        <x:v>info@petec-gmbh.de</x:v>
      </x:c>
      <x:c r="P56" s="116" t="str">
        <x:v>https://www.petec-gmbh.de/</x:v>
      </x:c>
      <x:c r="Q56" s="116"/>
      <x:c r="R56" s="116" t="str">
        <x:v>Höhenverstellbare Montage-/Schweiß-/Schwerlasttische; Hub-/Dreh-/Kippfunktionen; Sonderanfertigungen | Spezialanbieter für Schwerlast-/Schweißfälle; überregional und fallbezogen priorisieren.</x:v>
      </x:c>
      <x:c r="S56" s="116" t="str">
        <x:v>nicht spezifisch belegt</x:v>
      </x:c>
      <x:c r="T56" s="116" t="str">
        <x:v>regional + projektbezogen überregional</x:v>
      </x:c>
      <x:c r="U56" s="135"/>
      <x:c r="V56" s="135"/>
      <x:c r="W56" s="116" t="str">
        <x:v>Adresse/Kontakt geprüft; numerische Hauskoordinate noch nicht separat verifiziert</x:v>
      </x:c>
      <x:c r="X56" s="116" t="str">
        <x:v>Kartenpunkt – Adresse geprüft</x:v>
      </x:c>
      <x:c r="Y56" s="116" t="str">
        <x:v>Technik 4.4.x – Neuaufnahme</x:v>
      </x:c>
      <x:c r="Z56" s="116"/>
      <x:c r="AA56" s="116" t="str">
        <x:v>https://www.petec-gmbh.de/</x:v>
      </x:c>
      <x:c r="AB56" s="116"/>
      <x:c r="AC56" s="116" t="str">
        <x:v>2026-08-30</x:v>
      </x:c>
      <x:c r="AD56" s="116" t="str">
        <x:v>Zum Osterfeld 6, 59872 Meschede, Deutschland</x:v>
      </x:c>
      <x:c r="AE56" s="116" t="str">
        <x:v>Spezialanbieter für Schwerlast-/Schweißfälle; überregional und fallbezogen priorisieren.</x:v>
      </x:c>
    </x:row>
    <x:row r="57">
      <x:c r="A57" s="116" t="str">
        <x:v>MED44-001</x:v>
      </x:c>
      <x:c r="B57" s="116" t="str">
        <x:v>Schmerztherapiezentrum Bad Mergentheim</x:v>
      </x:c>
      <x:c r="C57" s="116" t="str">
        <x:v>Aufnehmen</x:v>
      </x:c>
      <x:c r="D57" s="116" t="str">
        <x:v>A+</x:v>
      </x:c>
      <x:c r="E57" s="116" t="str">
        <x:v>Medizinische Reha</x:v>
      </x:c>
      <x:c r="F57" s="116" t="str">
        <x:v>Schmerztherapie; Schmerzpsychotherapie; MBOR</x:v>
      </x:c>
      <x:c r="G57" s="116" t="str">
        <x:v>Fachklinik + ambulante Schmerzpraxis</x:v>
      </x:c>
      <x:c r="H57" s="116" t="str">
        <x:v>Schönbornstraße 10</x:v>
      </x:c>
      <x:c r="I57" s="116" t="str">
        <x:v>97980</x:v>
      </x:c>
      <x:c r="J57" s="116" t="str">
        <x:v>Bad Mergentheim</x:v>
      </x:c>
      <x:c r="K57" s="116" t="str">
        <x:v>Baden-Württemberg</x:v>
      </x:c>
      <x:c r="L57" s="116" t="str">
        <x:v>Deutschland</x:v>
      </x:c>
      <x:c r="M57" s="116" t="str">
        <x:v>07931 5493-0; 0800 1983 198</x:v>
      </x:c>
      <x:c r="N57" s="116" t="str">
        <x:v>07931 5493-50</x:v>
      </x:c>
      <x:c r="O57" s="116" t="str">
        <x:v>info@schmerzklinik.com</x:v>
      </x:c>
      <x:c r="P57" s="116" t="str">
        <x:v>https://www.schmerzklinik.com/</x:v>
      </x:c>
      <x:c r="Q57" s="116" t="str">
        <x:v>Patientenmanagement / Carolin Leckert</x:v>
      </x:c>
      <x:c r="R57" s="116" t="str">
        <x:v>Multimodale und spezielle Schmerztherapie; Schmerzpsychotherapie; stationäre Behandlung/Rehabilitation; ambulante Schmerzpraxis am selben Standort; MBOR</x:v>
      </x:c>
      <x:c r="S57" s="116" t="str">
        <x:v>BG-Patienten und Berufsgenossenschaften ausdrücklich behandelt</x:v>
      </x:c>
      <x:c r="T57" s="116" t="str">
        <x:v>Main-Tauber; Heilbronn-Franken; Unterfranken; überregional</x:v>
      </x:c>
      <x:c r="U57" s="135" t="n">
        <x:v>49.5061968</x:v>
      </x:c>
      <x:c r="V57" s="135" t="n">
        <x:v>9.79003480327421</x:v>
      </x:c>
      <x:c r="W57" s="116" t="str">
        <x:v>Hausadresse und Standortkoordinate verifiziert</x:v>
      </x:c>
      <x:c r="X57" s="116" t="str">
        <x:v>Neuer Kartenpunkt</x:v>
      </x:c>
      <x:c r="Y57" s="116" t="str">
        <x:v>Neuaufnahme 4.4.x</x:v>
      </x:c>
      <x:c r="Z57" s="116"/>
      <x:c r="AA57" s="116" t="str">
        <x:v>https://www.schmerzklinik.com/patienten</x:v>
      </x:c>
      <x:c r="AB57" s="116" t="str">
        <x:v>Adress-/Kartenabgleich Schönbornstraße 10</x:v>
      </x:c>
      <x:c r="AC57" s="116" t="str">
        <x:v>2026-08-30</x:v>
      </x:c>
      <x:c r="AD57" s="116" t="str">
        <x:v>Schönbornstraße 10, 97980 Bad Mergentheim, Deutschland</x:v>
      </x:c>
      <x:c r="AE57" s="116" t="str">
        <x:v>A+; ambulant und stationär am selben Standort; besondere regionale Bedeutung.</x:v>
      </x:c>
    </x:row>
    <x:row r="58">
      <x:c r="A58" s="116" t="str">
        <x:v>NP44-001</x:v>
      </x:c>
      <x:c r="B58" s="116" t="str">
        <x:v>Gemeinschaftspraxis für Neurologie, Psychiatrie und Psychotherapie – Nowackanlage</x:v>
      </x:c>
      <x:c r="C58" s="116" t="str">
        <x:v>Aufnehmen</x:v>
      </x:c>
      <x:c r="D58" s="116" t="str">
        <x:v>A</x:v>
      </x:c>
      <x:c r="E58" s="116" t="str">
        <x:v>Neurologisch-psychiatrische Praxen</x:v>
      </x:c>
      <x:c r="F58" s="116" t="str">
        <x:v>Neurologie; Psychiatrie; Psychotherapie</x:v>
      </x:c>
      <x:c r="G58" s="116" t="str">
        <x:v>größere Gemeinschaftspraxis</x:v>
      </x:c>
      <x:c r="H58" s="116" t="str">
        <x:v>Nowackanlage 15</x:v>
      </x:c>
      <x:c r="I58" s="116" t="str">
        <x:v>76137</x:v>
      </x:c>
      <x:c r="J58" s="116" t="str">
        <x:v>Karlsruhe</x:v>
      </x:c>
      <x:c r="K58" s="116" t="str">
        <x:v>Baden-Württemberg</x:v>
      </x:c>
      <x:c r="L58" s="116" t="str">
        <x:v>Deutschland</x:v>
      </x:c>
      <x:c r="M58" s="116" t="str">
        <x:v>0721 388030</x:v>
      </x:c>
      <x:c r="N58" s="116" t="str">
        <x:v>0721 31978</x:v>
      </x:c>
      <x:c r="O58" s="116" t="str">
        <x:v>praxis@neurologie-psychiatrie-karlsruhe.de</x:v>
      </x:c>
      <x:c r="P58" s="116" t="str">
        <x:v>https://www.neurologie-psychiatrie-karlsruhe.de/</x:v>
      </x:c>
      <x:c r="Q58" s="116" t="str">
        <x:v>Dr. Petra Hubrich-Durm; Friedrich Fässler; Till van der List; Dr. Monika Bottlender; Dr. Franziska Uhrenbacher</x:v>
      </x:c>
      <x:c r="R58" s="116" t="str">
        <x:v>Neurologie; Psychiatrie; Psychotherapie; große fachübergreifende nervenärztliche Versorgung</x:v>
      </x:c>
      <x:c r="S58" s="116"/>
      <x:c r="T58" s="116" t="str">
        <x:v>Karlsruhe; Nordbaden</x:v>
      </x:c>
      <x:c r="U58" s="135" t="n">
        <x:v>49.00290335</x:v>
      </x:c>
      <x:c r="V58" s="135" t="n">
        <x:v>8.404285102037075</x:v>
      </x:c>
      <x:c r="W58" s="116" t="str">
        <x:v>Hausadresse und Gebäudekoordinate verifiziert</x:v>
      </x:c>
      <x:c r="X58" s="116" t="str">
        <x:v>Neuer Kartenpunkt</x:v>
      </x:c>
      <x:c r="Y58" s="116" t="str">
        <x:v>Neuaufnahme 4.4.x</x:v>
      </x:c>
      <x:c r="Z58" s="116"/>
      <x:c r="AA58" s="116" t="str">
        <x:v>https://www.neurologie-psychiatrie-karlsruhe.de/impressum/</x:v>
      </x:c>
      <x:c r="AB58" s="116" t="str">
        <x:v>Adresspunkt Nowackanlage 15 / Kartenverzeichnis</x:v>
      </x:c>
      <x:c r="AC58" s="116" t="str">
        <x:v>2026-08-30</x:v>
      </x:c>
      <x:c r="AD58" s="116" t="str">
        <x:v>Nowackanlage 15, 76137 Karlsruhe, Deutschland</x:v>
      </x:c>
      <x:c r="AE58" s="116" t="str">
        <x:v>Zusätzliche große Neuro-Psych-Praxis; bestehende Neuropraxis Karlsruhe Karlstraße 84 bleibt separat erhalten.</x:v>
      </x:c>
    </x:row>
    <x:row r="59">
      <x:c r="A59" s="116" t="str">
        <x:v>NP44-002</x:v>
      </x:c>
      <x:c r="B59" s="116" t="str">
        <x:v>Nervenheilkunde Weinheim</x:v>
      </x:c>
      <x:c r="C59" s="116" t="str">
        <x:v>Aufnehmen</x:v>
      </x:c>
      <x:c r="D59" s="116" t="str">
        <x:v>A</x:v>
      </x:c>
      <x:c r="E59" s="116" t="str">
        <x:v>Neurologisch-psychiatrische Praxen</x:v>
      </x:c>
      <x:c r="F59" s="116" t="str">
        <x:v>Neurologie; Psychiatrie; Psychotherapie</x:v>
      </x:c>
      <x:c r="G59" s="116" t="str">
        <x:v>größere nervenärztliche Gemeinschaftspraxis</x:v>
      </x:c>
      <x:c r="H59" s="116" t="str">
        <x:v>Hildastraße 14</x:v>
      </x:c>
      <x:c r="I59" s="116" t="str">
        <x:v>69469</x:v>
      </x:c>
      <x:c r="J59" s="116" t="str">
        <x:v>Weinheim</x:v>
      </x:c>
      <x:c r="K59" s="116" t="str">
        <x:v>Baden-Württemberg</x:v>
      </x:c>
      <x:c r="L59" s="116" t="str">
        <x:v>Deutschland</x:v>
      </x:c>
      <x:c r="M59" s="116" t="str">
        <x:v>06201 12641</x:v>
      </x:c>
      <x:c r="N59" s="116" t="str">
        <x:v>06201 12646</x:v>
      </x:c>
      <x:c r="O59" s="116" t="str">
        <x:v>info@nervenheilkunde-weinheim.de</x:v>
      </x:c>
      <x:c r="P59" s="116" t="str">
        <x:v>https://www.nervenheilkunde-weinheim.de/</x:v>
      </x:c>
      <x:c r="Q59" s="116" t="str">
        <x:v>Dr. Oliver Herrmann; Dr. Jens Th. Marx; Praxisteam</x:v>
      </x:c>
      <x:c r="R59" s="116" t="str">
        <x:v>Neurologie; Psychiatrie; Psychotherapie; regionale nervenärztliche Versorgung</x:v>
      </x:c>
      <x:c r="S59" s="116"/>
      <x:c r="T59" s="116" t="str">
        <x:v>Weinheim; Bergstraße; Rhein-Neckar</x:v>
      </x:c>
      <x:c r="U59" s="135" t="n">
        <x:v>49.5508075</x:v>
      </x:c>
      <x:c r="V59" s="135" t="n">
        <x:v>8.667045344005356</x:v>
      </x:c>
      <x:c r="W59" s="116" t="str">
        <x:v>Hausadresse und Standortkoordinate verifiziert</x:v>
      </x:c>
      <x:c r="X59" s="116" t="str">
        <x:v>Neuer Kartenpunkt</x:v>
      </x:c>
      <x:c r="Y59" s="116" t="str">
        <x:v>Neuaufnahme 4.4.x</x:v>
      </x:c>
      <x:c r="Z59" s="116"/>
      <x:c r="AA59" s="116" t="str">
        <x:v>https://www.nervenheilkunde-weinheim.de/</x:v>
      </x:c>
      <x:c r="AB59" s="116" t="str">
        <x:v>Adress-/Kartenabgleich Hildastraße 14</x:v>
      </x:c>
      <x:c r="AC59" s="116" t="str">
        <x:v>2026-08-30</x:v>
      </x:c>
      <x:c r="AD59" s="116" t="str">
        <x:v>Hildastraße 14, 69469 Weinheim, Deutschland</x:v>
      </x:c>
      <x:c r="AE59" s="116" t="str">
        <x:v>Pflichtstandort der Ergänzungsrunde Rhein-Neckar/Bergstraße.</x:v>
      </x:c>
    </x:row>
    <x:row r="60">
      <x:c r="A60" s="116" t="str">
        <x:v>NP44-003</x:v>
      </x:c>
      <x:c r="B60" s="116" t="str">
        <x:v>Praxis-Zentrum für Neurologie &amp; Psychiatrie Worms</x:v>
      </x:c>
      <x:c r="C60" s="116" t="str">
        <x:v>Aufnehmen</x:v>
      </x:c>
      <x:c r="D60" s="116" t="str">
        <x:v>A</x:v>
      </x:c>
      <x:c r="E60" s="116" t="str">
        <x:v>Neurologisch-psychiatrische Praxen</x:v>
      </x:c>
      <x:c r="F60" s="116" t="str">
        <x:v>Neurologie; Psychiatrie</x:v>
      </x:c>
      <x:c r="G60" s="116" t="str">
        <x:v>neurologisch-psychiatrische Gemeinschaftspraxis</x:v>
      </x:c>
      <x:c r="H60" s="116" t="str">
        <x:v>Bahnhofstraße 30</x:v>
      </x:c>
      <x:c r="I60" s="116" t="str">
        <x:v>67547</x:v>
      </x:c>
      <x:c r="J60" s="116" t="str">
        <x:v>Worms</x:v>
      </x:c>
      <x:c r="K60" s="116" t="str">
        <x:v>Rheinland-Pfalz</x:v>
      </x:c>
      <x:c r="L60" s="116" t="str">
        <x:v>Deutschland</x:v>
      </x:c>
      <x:c r="M60" s="116" t="str">
        <x:v>06241 2027944</x:v>
      </x:c>
      <x:c r="N60" s="116"/>
      <x:c r="O60" s="116" t="str">
        <x:v>praxis@np-worms.de</x:v>
      </x:c>
      <x:c r="P60" s="116" t="str">
        <x:v>https://www.np-worms.de/</x:v>
      </x:c>
      <x:c r="Q60" s="116" t="str">
        <x:v>Dr. Sepideh Jaeschke; Dr. Philipp Gruschka</x:v>
      </x:c>
      <x:c r="R60" s="116" t="str">
        <x:v>Neurologie; Psychiatrie; ambulante nervenärztliche Versorgung</x:v>
      </x:c>
      <x:c r="S60" s="116"/>
      <x:c r="T60" s="116" t="str">
        <x:v>Worms; Rheinhessen; Vorderpfalz</x:v>
      </x:c>
      <x:c r="U60" s="135" t="n">
        <x:v>49.63443975</x:v>
      </x:c>
      <x:c r="V60" s="135" t="n">
        <x:v>8.357414554032282</x:v>
      </x:c>
      <x:c r="W60" s="116" t="str">
        <x:v>Hausadresse und Standortkoordinate verifiziert</x:v>
      </x:c>
      <x:c r="X60" s="116" t="str">
        <x:v>Neuer Kartenpunkt</x:v>
      </x:c>
      <x:c r="Y60" s="116" t="str">
        <x:v>Neuaufnahme 4.4.x</x:v>
      </x:c>
      <x:c r="Z60" s="116"/>
      <x:c r="AA60" s="116" t="str">
        <x:v>https://www.np-worms.de/</x:v>
      </x:c>
      <x:c r="AB60" s="116" t="str">
        <x:v>Adress-/Kartenabgleich Bahnhofstraße 30</x:v>
      </x:c>
      <x:c r="AC60" s="116" t="str">
        <x:v>2026-08-30</x:v>
      </x:c>
      <x:c r="AD60" s="116" t="str">
        <x:v>Bahnhofstraße 30, 67547 Worms, Deutschland</x:v>
      </x:c>
      <x:c r="AE60" s="116" t="str">
        <x:v>Ergänzt das bereits vorhandene Klinikum/MVZ Worms um eine eigenständige größere ambulante Neuro-Psych-Praxis.</x:v>
      </x:c>
    </x:row>
    <x:row r="61">
      <x:c r="A61" s="116" t="str">
        <x:v>NP44-004</x:v>
      </x:c>
      <x:c r="B61" s="116" t="str">
        <x:v>Praxis Dr. Jürgen Lang – Neurologie &amp; Psychiatrie</x:v>
      </x:c>
      <x:c r="C61" s="116" t="str">
        <x:v>Aufnehmen</x:v>
      </x:c>
      <x:c r="D61" s="116" t="str">
        <x:v>B</x:v>
      </x:c>
      <x:c r="E61" s="116" t="str">
        <x:v>Neurologisch-psychiatrische Praxen</x:v>
      </x:c>
      <x:c r="F61" s="116" t="str">
        <x:v>Neurologie; Psychiatrie</x:v>
      </x:c>
      <x:c r="G61" s="116" t="str">
        <x:v>regionale nervenärztliche Praxis</x:v>
      </x:c>
      <x:c r="H61" s="116" t="str">
        <x:v>Würzburger Straße 23</x:v>
      </x:c>
      <x:c r="I61" s="116" t="str">
        <x:v>97941</x:v>
      </x:c>
      <x:c r="J61" s="116" t="str">
        <x:v>Tauberbischofsheim</x:v>
      </x:c>
      <x:c r="K61" s="116" t="str">
        <x:v>Baden-Württemberg</x:v>
      </x:c>
      <x:c r="L61" s="116" t="str">
        <x:v>Deutschland</x:v>
      </x:c>
      <x:c r="M61" s="116" t="str">
        <x:v>09341 12776</x:v>
      </x:c>
      <x:c r="N61" s="116" t="str">
        <x:v>09341 896507</x:v>
      </x:c>
      <x:c r="O61" s="116" t="str">
        <x:v>drlangtbb@t-online.de</x:v>
      </x:c>
      <x:c r="P61" s="116" t="str">
        <x:v>https://www.dr-juergen-lang.de/</x:v>
      </x:c>
      <x:c r="Q61" s="116" t="str">
        <x:v>Dr. Jürgen Lang / Praxisteam</x:v>
      </x:c>
      <x:c r="R61" s="116" t="str">
        <x:v>Neurologie; Psychiatrie; regionale ambulante Versorgung</x:v>
      </x:c>
      <x:c r="S61" s="116"/>
      <x:c r="T61" s="116" t="str">
        <x:v>Taubertal; Main-Tauber</x:v>
      </x:c>
      <x:c r="U61" s="135" t="n">
        <x:v>49.624317</x:v>
      </x:c>
      <x:c r="V61" s="135" t="n">
        <x:v>9.673737626125096</x:v>
      </x:c>
      <x:c r="W61" s="116" t="str">
        <x:v>Hausadresse und adressbezogene Koordinate verifiziert</x:v>
      </x:c>
      <x:c r="X61" s="116" t="str">
        <x:v>Neuer Kartenpunkt</x:v>
      </x:c>
      <x:c r="Y61" s="116" t="str">
        <x:v>Neuaufnahme 4.4.x – regionale Lückenschließung</x:v>
      </x:c>
      <x:c r="Z61" s="116"/>
      <x:c r="AA61" s="116" t="str">
        <x:v>https://www.dr-juergen-lang.de/</x:v>
      </x:c>
      <x:c r="AB61" s="116" t="str">
        <x:v>Adress-/Kartenabgleich Würzburger Straße 23</x:v>
      </x:c>
      <x:c r="AC61" s="116" t="str">
        <x:v>2026-08-30</x:v>
      </x:c>
      <x:c r="AD61" s="116" t="str">
        <x:v>Würzburger Straße 23, 97941 Tauberbischofsheim, Deutschland</x:v>
      </x:c>
      <x:c r="AE61" s="116" t="str">
        <x:v>Gezielte Lückenschließung Taubertal; ergänzt Neuropraxis Wertheim.</x:v>
      </x:c>
    </x:row>
    <x:row r="62">
      <x:c r="A62" s="116" t="str">
        <x:v>NP44-005</x:v>
      </x:c>
      <x:c r="B62" s="116" t="str">
        <x:v>MVZ für Neurologie und Psychiatrie Würzburg</x:v>
      </x:c>
      <x:c r="C62" s="116" t="str">
        <x:v>Aufnehmen</x:v>
      </x:c>
      <x:c r="D62" s="116" t="str">
        <x:v>A</x:v>
      </x:c>
      <x:c r="E62" s="116" t="str">
        <x:v>Neurologisch-psychiatrische Praxen</x:v>
      </x:c>
      <x:c r="F62" s="116" t="str">
        <x:v>Neurologie; Psychiatrie</x:v>
      </x:c>
      <x:c r="G62" s="116" t="str">
        <x:v>größeres MVZ – fachlich der Neurologie/Psychiatrie zugeordnet</x:v>
      </x:c>
      <x:c r="H62" s="116" t="str">
        <x:v>Schweinfurter Straße 1</x:v>
      </x:c>
      <x:c r="I62" s="116" t="str">
        <x:v>97080</x:v>
      </x:c>
      <x:c r="J62" s="116" t="str">
        <x:v>Würzburg</x:v>
      </x:c>
      <x:c r="K62" s="116" t="str">
        <x:v>Bayern</x:v>
      </x:c>
      <x:c r="L62" s="116" t="str">
        <x:v>Deutschland</x:v>
      </x:c>
      <x:c r="M62" s="116" t="str">
        <x:v>0931 7809441</x:v>
      </x:c>
      <x:c r="N62" s="116"/>
      <x:c r="O62" s="116" t="str">
        <x:v>kontakt@mvz-neuro.de</x:v>
      </x:c>
      <x:c r="P62" s="116" t="str">
        <x:v>https://www.mvz-neuro.de/</x:v>
      </x:c>
      <x:c r="Q62" s="116" t="str">
        <x:v>Dr. Hartmut Stieber; Andreas Bepperling; Team</x:v>
      </x:c>
      <x:c r="R62" s="116" t="str">
        <x:v>Neurologie; Psychiatrie; umfangreiche ambulante Fachdiagnostik</x:v>
      </x:c>
      <x:c r="S62" s="116"/>
      <x:c r="T62" s="116" t="str">
        <x:v>Würzburg; Unterfranken</x:v>
      </x:c>
      <x:c r="U62" s="135" t="n">
        <x:v>49.79906</x:v>
      </x:c>
      <x:c r="V62" s="135" t="n">
        <x:v>9.94476</x:v>
      </x:c>
      <x:c r="W62" s="116" t="str">
        <x:v>Hausadresse und Standortkoordinate verifiziert</x:v>
      </x:c>
      <x:c r="X62" s="116" t="str">
        <x:v>Neuer Kartenpunkt</x:v>
      </x:c>
      <x:c r="Y62" s="116" t="str">
        <x:v>Neuaufnahme 4.4.x</x:v>
      </x:c>
      <x:c r="Z62" s="116"/>
      <x:c r="AA62" s="116" t="str">
        <x:v>https://www.mvz-neuro.de/</x:v>
      </x:c>
      <x:c r="AB62" s="116" t="str">
        <x:v>Adress-/Kartenabgleich Schweinfurter Straße 1</x:v>
      </x:c>
      <x:c r="AC62" s="116" t="str">
        <x:v>2026-08-30</x:v>
      </x:c>
      <x:c r="AD62" s="116" t="str">
        <x:v>Schweinfurter Straße 1, 97080 Würzburg, Deutschland</x:v>
      </x:c>
      <x:c r="AE62" s="116" t="str">
        <x:v>MVZ wird nicht als eigene Hauptkategorie geführt, sondern unter Neurologie/Psychiatrie.</x:v>
      </x:c>
    </x:row>
    <x:row r="63">
      <x:c r="A63" s="116" t="str">
        <x:v>NP44-006</x:v>
      </x:c>
      <x:c r="B63" s="116" t="str">
        <x:v>meditz Würzburg</x:v>
      </x:c>
      <x:c r="C63" s="116" t="str">
        <x:v>Aufnehmen</x:v>
      </x:c>
      <x:c r="D63" s="116" t="str">
        <x:v>A</x:v>
      </x:c>
      <x:c r="E63" s="116" t="str">
        <x:v>Neurologisch-psychiatrische Praxen</x:v>
      </x:c>
      <x:c r="F63" s="116" t="str">
        <x:v>Neurologie; Psychiatrie; weitere Fachgebiete</x:v>
      </x:c>
      <x:c r="G63" s="116" t="str">
        <x:v>größeres interdisziplinäres Praxiszentrum – Neuro/Psych fachlich zugeordnet</x:v>
      </x:c>
      <x:c r="H63" s="116" t="str">
        <x:v>Frankfurter Straße 15a</x:v>
      </x:c>
      <x:c r="I63" s="116" t="str">
        <x:v>97082</x:v>
      </x:c>
      <x:c r="J63" s="116" t="str">
        <x:v>Würzburg</x:v>
      </x:c>
      <x:c r="K63" s="116" t="str">
        <x:v>Bayern</x:v>
      </x:c>
      <x:c r="L63" s="116" t="str">
        <x:v>Deutschland</x:v>
      </x:c>
      <x:c r="M63" s="116" t="str">
        <x:v>0931 322966</x:v>
      </x:c>
      <x:c r="N63" s="116" t="str">
        <x:v>0931 3229688</x:v>
      </x:c>
      <x:c r="O63" s="116" t="str">
        <x:v>praxis@meditz.org</x:v>
      </x:c>
      <x:c r="P63" s="116" t="str">
        <x:v>https://www.meditz-wuerzburg.de/</x:v>
      </x:c>
      <x:c r="Q63" s="116" t="str">
        <x:v>Hauptanmeldung / Fachbereich Neurologie-Psychiatrie</x:v>
      </x:c>
      <x:c r="R63" s="116" t="str">
        <x:v>Neurologie; Psychiatrie; interdisziplinäre ambulante Versorgung</x:v>
      </x:c>
      <x:c r="S63" s="116"/>
      <x:c r="T63" s="116" t="str">
        <x:v>Würzburg; Unterfranken</x:v>
      </x:c>
      <x:c r="U63" s="135" t="n">
        <x:v>49.78618945</x:v>
      </x:c>
      <x:c r="V63" s="135" t="n">
        <x:v>9.83314645</x:v>
      </x:c>
      <x:c r="W63" s="116" t="str">
        <x:v>Hausadresse und Standortkoordinate verifiziert</x:v>
      </x:c>
      <x:c r="X63" s="116" t="str">
        <x:v>Neuer Kartenpunkt</x:v>
      </x:c>
      <x:c r="Y63" s="116" t="str">
        <x:v>Neuaufnahme 4.4.x</x:v>
      </x:c>
      <x:c r="Z63" s="116"/>
      <x:c r="AA63" s="116" t="str">
        <x:v>https://www.meditz-wuerzburg.de/de/kontakt</x:v>
      </x:c>
      <x:c r="AB63" s="116" t="str">
        <x:v>Adress-/Kartenabgleich Frankfurter Straße 15a</x:v>
      </x:c>
      <x:c r="AC63" s="116" t="str">
        <x:v>2026-08-30</x:v>
      </x:c>
      <x:c r="AD63" s="116" t="str">
        <x:v>Frankfurter Straße 15a, 97082 Würzburg, Deutschland</x:v>
      </x:c>
      <x:c r="AE63" s="116" t="str">
        <x:v>Interdisziplinäre Einrichtung; in der Karte primär nach Fachgebiet, nicht als MVZ-Hauptkategorie.</x:v>
      </x:c>
    </x:row>
    <x:row r="64">
      <x:c r="A64" s="116" t="str">
        <x:v>NP44-007</x:v>
      </x:c>
      <x:c r="B64" s="116" t="str">
        <x:v>Nervenärztliche Gemeinschaftspraxis Schweinfurt</x:v>
      </x:c>
      <x:c r="C64" s="116" t="str">
        <x:v>Aufnehmen</x:v>
      </x:c>
      <x:c r="D64" s="116" t="str">
        <x:v>B</x:v>
      </x:c>
      <x:c r="E64" s="116" t="str">
        <x:v>Neurologisch-psychiatrische Praxen</x:v>
      </x:c>
      <x:c r="F64" s="116" t="str">
        <x:v>Neurologie; Psychiatrie; Psychotherapie</x:v>
      </x:c>
      <x:c r="G64" s="116" t="str">
        <x:v>nervenärztliche Gemeinschaftspraxis</x:v>
      </x:c>
      <x:c r="H64" s="116" t="str">
        <x:v>Obere Straße 9</x:v>
      </x:c>
      <x:c r="I64" s="116" t="str">
        <x:v>97421</x:v>
      </x:c>
      <x:c r="J64" s="116" t="str">
        <x:v>Schweinfurt</x:v>
      </x:c>
      <x:c r="K64" s="116" t="str">
        <x:v>Bayern</x:v>
      </x:c>
      <x:c r="L64" s="116" t="str">
        <x:v>Deutschland</x:v>
      </x:c>
      <x:c r="M64" s="116" t="str">
        <x:v>09721 18281</x:v>
      </x:c>
      <x:c r="N64" s="116" t="str">
        <x:v>09721 18288</x:v>
      </x:c>
      <x:c r="O64" s="116" t="str">
        <x:v>praxis@nerven-sw.de</x:v>
      </x:c>
      <x:c r="P64" s="116" t="str">
        <x:v>https://nervenaerzte-schweinfurt.de/</x:v>
      </x:c>
      <x:c r="Q64" s="116" t="str">
        <x:v>Dr. Henning Schuh; Dr. Christine Meesmann</x:v>
      </x:c>
      <x:c r="R64" s="116" t="str">
        <x:v>Neurologie; Psychiatrie; Psychotherapie</x:v>
      </x:c>
      <x:c r="S64" s="116"/>
      <x:c r="T64" s="116" t="str">
        <x:v>Schweinfurt; Unterfranken</x:v>
      </x:c>
      <x:c r="U64" s="135" t="n">
        <x:v>50.0465438</x:v>
      </x:c>
      <x:c r="V64" s="135" t="n">
        <x:v>10.2336267</x:v>
      </x:c>
      <x:c r="W64" s="116" t="str">
        <x:v>Hausadresse und Standortkoordinate verifiziert</x:v>
      </x:c>
      <x:c r="X64" s="116" t="str">
        <x:v>Neuer Kartenpunkt</x:v>
      </x:c>
      <x:c r="Y64" s="116" t="str">
        <x:v>Neuaufnahme 4.4.x – Unterfranken</x:v>
      </x:c>
      <x:c r="Z64" s="116"/>
      <x:c r="AA64" s="116" t="str">
        <x:v>https://nervenaerzte-schweinfurt.de/</x:v>
      </x:c>
      <x:c r="AB64" s="116" t="str">
        <x:v>Adress-/Kartenabgleich Obere Straße 9</x:v>
      </x:c>
      <x:c r="AC64" s="116" t="str">
        <x:v>2026-08-30</x:v>
      </x:c>
      <x:c r="AD64" s="116" t="str">
        <x:v>Obere Straße 9, 97421 Schweinfurt, Deutschland</x:v>
      </x:c>
      <x:c r="AE64" s="116" t="str">
        <x:v>Unterfranken-Ergänzung außerhalb Würzburg.</x:v>
      </x:c>
    </x:row>
    <x:row r="65">
      <x:c r="A65" s="116" t="str">
        <x:v>BR44-001</x:v>
      </x:c>
      <x:c r="B65" s="116" t="str">
        <x:v>Berufsförderungswerk Frankfurt am Main e.V. – Bad Vilbel</x:v>
      </x:c>
      <x:c r="C65" s="116" t="str">
        <x:v>Aufnehmen</x:v>
      </x:c>
      <x:c r="D65" s="116" t="str">
        <x:v>A+</x:v>
      </x:c>
      <x:c r="E65" s="116" t="str">
        <x:v>Berufliche Reha</x:v>
      </x:c>
      <x:c r="F65" s="116" t="str">
        <x:v>BFW; Assessment; Reha-Vorbereitung; Qualifizierung; berufliche Integration</x:v>
      </x:c>
      <x:c r="G65" s="116" t="str">
        <x:v>Berufsförderungswerk</x:v>
      </x:c>
      <x:c r="H65" s="116" t="str">
        <x:v>Huizener Straße 60</x:v>
      </x:c>
      <x:c r="I65" s="116" t="str">
        <x:v>61118</x:v>
      </x:c>
      <x:c r="J65" s="116" t="str">
        <x:v>Bad Vilbel</x:v>
      </x:c>
      <x:c r="K65" s="116" t="str">
        <x:v>Hessen</x:v>
      </x:c>
      <x:c r="L65" s="116" t="str">
        <x:v>Deutschland</x:v>
      </x:c>
      <x:c r="M65" s="116" t="str">
        <x:v>06101 400-0; 06101 400-283</x:v>
      </x:c>
      <x:c r="N65" s="116" t="str">
        <x:v>06101 400-174</x:v>
      </x:c>
      <x:c r="O65" s="116" t="str">
        <x:v>info@bfw-frankfurt.de; simone.thate@bfw-frankfurt.de</x:v>
      </x:c>
      <x:c r="P65" s="116" t="str">
        <x:v>https://bfw-frankfurt.de/</x:v>
      </x:c>
      <x:c r="Q65" s="116" t="str">
        <x:v>Simone Thate; für Berufsgenossenschaften: Katrin Pichlmüller</x:v>
      </x:c>
      <x:c r="R65" s="116" t="str">
        <x:v>RehaAssessment; Arbeitserprobung; Reha-Vorbereitung; technische, kaufmännische und IT-Qualifizierungen; berufliche Integration</x:v>
      </x:c>
      <x:c r="S65" s="116" t="str">
        <x:v>Eigene Ansprechpartner für Berufsgenossenschaften veröffentlicht</x:v>
      </x:c>
      <x:c r="T65" s="116" t="str">
        <x:v>Rhein-Main; Hessen; überregional</x:v>
      </x:c>
      <x:c r="U65" s="135"/>
      <x:c r="V65" s="135"/>
      <x:c r="W65" s="116" t="str">
        <x:v>Hausadresse verifiziert; numerische Einrichtungskordinate noch nicht belastbar separat bestätigt</x:v>
      </x:c>
      <x:c r="X65" s="116" t="str">
        <x:v>Neuer Kartenpunkt – nach Geocode-Freigabe</x:v>
      </x:c>
      <x:c r="Y65" s="116" t="str">
        <x:v>Neuaufnahme 4.4.x</x:v>
      </x:c>
      <x:c r="Z65" s="116"/>
      <x:c r="AA65" s="116" t="str">
        <x:v>https://bfw-frankfurt.de/infos-links/kontakte</x:v>
      </x:c>
      <x:c r="AB65" s="116" t="str">
        <x:v>Primäradresse BFW; keine Kamera-/Näherungskoordinate als Hauspunkt übernommen</x:v>
      </x:c>
      <x:c r="AC65" s="116" t="str">
        <x:v>2026-08-30</x:v>
      </x:c>
      <x:c r="AD65" s="116" t="str">
        <x:v>Huizener Straße 60, 61118 Bad Vilbel, Deutschland</x:v>
      </x:c>
      <x:c r="AE65" s="116" t="str">
        <x:v>Bad Vilbel verbindlich aufnehmen. Regionalcenter Kassel ausdrücklich nicht in den Kartenbestand übernehmen.</x:v>
      </x:c>
    </x:row>
    <x:row r="66">
      <x:c r="A66" s="116" t="str">
        <x:v>MOB44-001</x:v>
      </x:c>
      <x:c r="B66" s="116" t="str">
        <x:v>Fahrschule Klaus – Standort Mundenheim</x:v>
      </x:c>
      <x:c r="C66" s="116" t="str">
        <x:v>Aufnehmen</x:v>
      </x:c>
      <x:c r="D66" s="116" t="str">
        <x:v>A</x:v>
      </x:c>
      <x:c r="E66" s="116" t="str">
        <x:v>Kfz &amp; Mobilität</x:v>
      </x:c>
      <x:c r="F66" s="116" t="str">
        <x:v>Fahrschule; Mobilität</x:v>
      </x:c>
      <x:c r="G66" s="116" t="str">
        <x:v>Fahrschule / regionaler Mobilitätspartner</x:v>
      </x:c>
      <x:c r="H66" s="116" t="str">
        <x:v>Saarlandstraße 19</x:v>
      </x:c>
      <x:c r="I66" s="116" t="str">
        <x:v>67061</x:v>
      </x:c>
      <x:c r="J66" s="116" t="str">
        <x:v>Ludwigshafen am Rhein</x:v>
      </x:c>
      <x:c r="K66" s="116" t="str">
        <x:v>Rheinland-Pfalz</x:v>
      </x:c>
      <x:c r="L66" s="116" t="str">
        <x:v>Deutschland</x:v>
      </x:c>
      <x:c r="M66" s="116" t="str">
        <x:v>0621 5720228</x:v>
      </x:c>
      <x:c r="N66" s="116"/>
      <x:c r="O66" s="116" t="str">
        <x:v>info@fahrschuleklaus.de</x:v>
      </x:c>
      <x:c r="P66" s="116" t="str">
        <x:v>https://www.fahrschuleklaus.de/</x:v>
      </x:c>
      <x:c r="Q66" s="116" t="str">
        <x:v>Fahrschule Klaus</x:v>
      </x:c>
      <x:c r="R66" s="116" t="str">
        <x:v>Fahrausbildung; regionaler Fahrschulstandort; Eignung für Reha-Fälle fallbezogen prüfen</x:v>
      </x:c>
      <x:c r="S66" s="116"/>
      <x:c r="T66" s="116" t="str">
        <x:v>Ludwigshafen; Vorderpfalz; Rhein-Neckar</x:v>
      </x:c>
      <x:c r="U66" s="135" t="n">
        <x:v>49.465814</x:v>
      </x:c>
      <x:c r="V66" s="135" t="n">
        <x:v>8.431694</x:v>
      </x:c>
      <x:c r="W66" s="116" t="str">
        <x:v>Hausadresse und adressbezogene Koordinate verifiziert</x:v>
      </x:c>
      <x:c r="X66" s="116" t="str">
        <x:v>Neuer Kartenpunkt</x:v>
      </x:c>
      <x:c r="Y66" s="116" t="str">
        <x:v>Neuaufnahme 4.4.x</x:v>
      </x:c>
      <x:c r="Z66" s="116"/>
      <x:c r="AA66" s="116" t="str">
        <x:v>https://www.fahrschuleklaus.de/</x:v>
      </x:c>
      <x:c r="AB66" s="116" t="str">
        <x:v>Adress-/Kartenabgleich Saarlandstraße 19</x:v>
      </x:c>
      <x:c r="AC66" s="116" t="str">
        <x:v>2026-08-30</x:v>
      </x:c>
      <x:c r="AD66" s="116" t="str">
        <x:v>Saarlandstraße 19, 67061 Ludwigshafen am Rhein, Deutschland</x:v>
      </x:c>
      <x:c r="AE66" s="116" t="str">
        <x:v>Von mehreren Standorten wird Mundenheim als Kartenpunkt geführt.</x:v>
      </x:c>
    </x:row>
    <x:row r="67">
      <x:c r="A67" s="116" t="str">
        <x:v>MOB44-002</x:v>
      </x:c>
      <x:c r="B67" s="116" t="str">
        <x:v>Fahrschule Zawatzky – Behindertenfahrschule</x:v>
      </x:c>
      <x:c r="C67" s="116" t="str">
        <x:v>Aufnehmen</x:v>
      </x:c>
      <x:c r="D67" s="116" t="str">
        <x:v>A+</x:v>
      </x:c>
      <x:c r="E67" s="116" t="str">
        <x:v>Kfz &amp; Mobilität</x:v>
      </x:c>
      <x:c r="F67" s="116" t="str">
        <x:v>Behindertenfahrschule; Fahreignung; Fahrtraining</x:v>
      </x:c>
      <x:c r="G67" s="116" t="str">
        <x:v>Behindertenfahrschule</x:v>
      </x:c>
      <x:c r="H67" s="116" t="str">
        <x:v>Am Kalkbrunnen 1</x:v>
      </x:c>
      <x:c r="I67" s="116" t="str">
        <x:v>69151</x:v>
      </x:c>
      <x:c r="J67" s="116" t="str">
        <x:v>Neckargemünd</x:v>
      </x:c>
      <x:c r="K67" s="116" t="str">
        <x:v>Baden-Württemberg</x:v>
      </x:c>
      <x:c r="L67" s="116" t="str">
        <x:v>Deutschland</x:v>
      </x:c>
      <x:c r="M67" s="116" t="str">
        <x:v>06223 2155</x:v>
      </x:c>
      <x:c r="N67" s="116"/>
      <x:c r="O67" s="116" t="str">
        <x:v>fahrschule@zawatzky.de</x:v>
      </x:c>
      <x:c r="P67" s="116" t="str">
        <x:v>https://zawatzky.de/behindertenfahrschule/heidelberg/</x:v>
      </x:c>
      <x:c r="Q67" s="116" t="str">
        <x:v>Fahrschule Zawatzky</x:v>
      </x:c>
      <x:c r="R67" s="116" t="str">
        <x:v>Behindertenfahrschule; Fahrausbildung und Beratung bei körperlichen Einschränkungen</x:v>
      </x:c>
      <x:c r="S67" s="116"/>
      <x:c r="T67" s="116" t="str">
        <x:v>Rhein-Neckar; Nordbaden; überregional</x:v>
      </x:c>
      <x:c r="U67" s="135" t="n">
        <x:v>49.381819</x:v>
      </x:c>
      <x:c r="V67" s="135" t="n">
        <x:v>8.801512</x:v>
      </x:c>
      <x:c r="W67" s="116" t="str">
        <x:v>Hausadresse und Standortkoordinate verifiziert</x:v>
      </x:c>
      <x:c r="X67" s="116" t="str">
        <x:v>Neuer separater Kartenpunkt</x:v>
      </x:c>
      <x:c r="Y67" s="116" t="str">
        <x:v>Neuaufnahme 4.4.x – getrennt vom Mobilcenter</x:v>
      </x:c>
      <x:c r="Z67" s="116" t="str">
        <x:v>ID 224 Mobilcenter Zawatzky Meckesheim</x:v>
      </x:c>
      <x:c r="AA67" s="116" t="str">
        <x:v>https://zawatzky.de/fahrschule/kontakt/</x:v>
      </x:c>
      <x:c r="AB67" s="116" t="str">
        <x:v>Adress-/Kartenabgleich Am Kalkbrunnen 1</x:v>
      </x:c>
      <x:c r="AC67" s="116" t="str">
        <x:v>2026-08-30</x:v>
      </x:c>
      <x:c r="AD67" s="116" t="str">
        <x:v>Am Kalkbrunnen 1, 69151 Neckargemünd, Deutschland</x:v>
      </x:c>
      <x:c r="AE67" s="116" t="str">
        <x:v>Fahrschule und Fahrzeugumbau ausdrücklich getrennt führen, aber miteinander verknüpfen.</x:v>
      </x:c>
    </x:row>
    <x:row r="68">
      <x:c r="A68" s="116" t="str">
        <x:v>CO44-001</x:v>
      </x:c>
      <x:c r="B68" s="116" t="str">
        <x:v>pebb gmbh – Ober-Hilbersheim</x:v>
      </x:c>
      <x:c r="C68" s="116" t="str">
        <x:v>Aufnehmen</x:v>
      </x:c>
      <x:c r="D68" s="116" t="str">
        <x:v>A</x:v>
      </x:c>
      <x:c r="E68" s="116" t="str">
        <x:v>Berufliche Reha / Coaching</x:v>
      </x:c>
      <x:c r="F68" s="116" t="str">
        <x:v>BEM; berufliche Entwicklung; Coaching</x:v>
      </x:c>
      <x:c r="G68" s="116" t="str">
        <x:v>BEM-/Coaching-Anbieter</x:v>
      </x:c>
      <x:c r="H68" s="116" t="str">
        <x:v>Sprendlinger Straße 20a</x:v>
      </x:c>
      <x:c r="I68" s="116" t="str">
        <x:v>55437</x:v>
      </x:c>
      <x:c r="J68" s="116" t="str">
        <x:v>Ober-Hilbersheim</x:v>
      </x:c>
      <x:c r="K68" s="116" t="str">
        <x:v>Rheinland-Pfalz</x:v>
      </x:c>
      <x:c r="L68" s="116" t="str">
        <x:v>Deutschland</x:v>
      </x:c>
      <x:c r="M68" s="116" t="str">
        <x:v>06728 621</x:v>
      </x:c>
      <x:c r="N68" s="116" t="str">
        <x:v>06728 1248</x:v>
      </x:c>
      <x:c r="O68" s="116" t="str">
        <x:v>info@pebb.de</x:v>
      </x:c>
      <x:c r="P68" s="116" t="str">
        <x:v>https://www.pebb.de/</x:v>
      </x:c>
      <x:c r="Q68" s="116" t="str">
        <x:v>Tasja van Krüchten / Standort</x:v>
      </x:c>
      <x:c r="R68" s="116" t="str">
        <x:v>Externes Betriebliches Eingliederungsmanagement; berufliche Entwicklung; Beratung</x:v>
      </x:c>
      <x:c r="S68" s="116"/>
      <x:c r="T68" s="116" t="str">
        <x:v>Rheinland-Pfalz; Saarland; überregional</x:v>
      </x:c>
      <x:c r="U68" s="135"/>
      <x:c r="V68" s="135"/>
      <x:c r="W68" s="116" t="str">
        <x:v>Hausadresse und Kontakt verifiziert; numerische Hauskoordinate noch nicht separat belastbar bestätigt</x:v>
      </x:c>
      <x:c r="X68" s="116" t="str">
        <x:v>Neuer Kartenpunkt – nach Geocode-Freigabe</x:v>
      </x:c>
      <x:c r="Y68" s="116" t="str">
        <x:v>Neuaufnahme 4.4.x</x:v>
      </x:c>
      <x:c r="Z68" s="116" t="str">
        <x:v>pebb zwei gmbh</x:v>
      </x:c>
      <x:c r="AA68" s="116" t="str">
        <x:v>https://www.pebb.de/kontakt/impressum/</x:v>
      </x:c>
      <x:c r="AB68" s="116" t="str">
        <x:v>Primäradresse; numerische Koordinate bewusst offen</x:v>
      </x:c>
      <x:c r="AC68" s="116" t="str">
        <x:v>2026-08-30</x:v>
      </x:c>
      <x:c r="AD68" s="116" t="str">
        <x:v>Sprendlinger Straße 20a, 55437 Ober-Hilbersheim, Deutschland</x:v>
      </x:c>
      <x:c r="AE68" s="116" t="str">
        <x:v>pebb und pebb zwei am selben Standort getrennt führen und verknüpfen.</x:v>
      </x:c>
    </x:row>
    <x:row r="69">
      <x:c r="A69" s="116" t="str">
        <x:v>CO44-002</x:v>
      </x:c>
      <x:c r="B69" s="116" t="str">
        <x:v>pebb zwei gmbh – Ober-Hilbersheim</x:v>
      </x:c>
      <x:c r="C69" s="116" t="str">
        <x:v>Aufnehmen</x:v>
      </x:c>
      <x:c r="D69" s="116" t="str">
        <x:v>A+</x:v>
      </x:c>
      <x:c r="E69" s="116" t="str">
        <x:v>Berufliche Reha / Arbeitsvermittlung</x:v>
      </x:c>
      <x:c r="F69" s="116" t="str">
        <x:v>Arbeitsvermittlung; Berufswegplanung; Coaching</x:v>
      </x:c>
      <x:c r="G69" s="116" t="str">
        <x:v>Reha-Arbeitsvermittlung / berufliche Integration</x:v>
      </x:c>
      <x:c r="H69" s="116" t="str">
        <x:v>Sprendlinger Straße 20a</x:v>
      </x:c>
      <x:c r="I69" s="116" t="str">
        <x:v>55437</x:v>
      </x:c>
      <x:c r="J69" s="116" t="str">
        <x:v>Ober-Hilbersheim</x:v>
      </x:c>
      <x:c r="K69" s="116" t="str">
        <x:v>Rheinland-Pfalz</x:v>
      </x:c>
      <x:c r="L69" s="116" t="str">
        <x:v>Deutschland</x:v>
      </x:c>
      <x:c r="M69" s="116" t="str">
        <x:v>06728 621</x:v>
      </x:c>
      <x:c r="N69" s="116" t="str">
        <x:v>06728 1248</x:v>
      </x:c>
      <x:c r="O69" s="116" t="str">
        <x:v>ober-hilbersheim@pebbzwei.de</x:v>
      </x:c>
      <x:c r="P69" s="116" t="str">
        <x:v>https://www.pebbzwei.de/</x:v>
      </x:c>
      <x:c r="Q69" s="116" t="str">
        <x:v>Standort Ober-Hilbersheim</x:v>
      </x:c>
      <x:c r="R69" s="116" t="str">
        <x:v>Betreute Arbeitsvermittlung; Berufswegplanung; berufliche Integration und Coaching</x:v>
      </x:c>
      <x:c r="S69" s="116"/>
      <x:c r="T69" s="116" t="str">
        <x:v>Rheinland-Pfalz; Saarland; überregional</x:v>
      </x:c>
      <x:c r="U69" s="135"/>
      <x:c r="V69" s="135"/>
      <x:c r="W69" s="116" t="str">
        <x:v>Hausadresse und Kontakt verifiziert; numerische Hauskoordinate noch nicht separat belastbar bestätigt</x:v>
      </x:c>
      <x:c r="X69" s="116" t="str">
        <x:v>Neuer Kartenpunkt – gleicher Standort, eigener Datensatz</x:v>
      </x:c>
      <x:c r="Y69" s="116" t="str">
        <x:v>Neuaufnahme 4.4.x</x:v>
      </x:c>
      <x:c r="Z69" s="116" t="str">
        <x:v>pebb gmbh</x:v>
      </x:c>
      <x:c r="AA69" s="116" t="str">
        <x:v>https://www.pebbzwei.de/standorte/rheinland-pfalz-saarland/</x:v>
      </x:c>
      <x:c r="AB69" s="116" t="str">
        <x:v>Primäradresse; numerische Koordinate bewusst offen</x:v>
      </x:c>
      <x:c r="AC69" s="116" t="str">
        <x:v>2026-08-30</x:v>
      </x:c>
      <x:c r="AD69" s="116" t="str">
        <x:v>Sprendlinger Straße 20a, 55437 Ober-Hilbersheim, Deutschland</x:v>
      </x:c>
      <x:c r="AE69" s="116" t="str">
        <x:v>Besonders relevant als Reha-Arbeitsvermittler; nicht mit pebb gmbh zusammenziehen.</x:v>
      </x:c>
    </x:row>
    <x:row r="70">
      <x:c r="A70" s="116" t="str">
        <x:v>PF44-001</x:v>
      </x:c>
      <x:c r="B70" s="116" t="str">
        <x:v>reha assist GmbH</x:v>
      </x:c>
      <x:c r="C70" s="116" t="str">
        <x:v>Aufnehmen</x:v>
      </x:c>
      <x:c r="D70" s="116" t="str">
        <x:v>A+</x:v>
      </x:c>
      <x:c r="E70" s="116" t="str">
        <x:v>Reha-Management / Pflege</x:v>
      </x:c>
      <x:c r="F70" s="116" t="str">
        <x:v>Pflegefachberatung; Pflegegutachten; Pflegeorganisation / Case Management; Hilfsmittel; Barrierefreiheit</x:v>
      </x:c>
      <x:c r="G70" s="116" t="str">
        <x:v>bundesweiter Reha- und Pflegeberatungsdienst</x:v>
      </x:c>
      <x:c r="H70" s="116" t="str">
        <x:v>Kleinbahnstraße 27</x:v>
      </x:c>
      <x:c r="I70" s="116" t="str">
        <x:v>59759</x:v>
      </x:c>
      <x:c r="J70" s="116" t="str">
        <x:v>Arnsberg</x:v>
      </x:c>
      <x:c r="K70" s="116" t="str">
        <x:v>Nordrhein-Westfalen</x:v>
      </x:c>
      <x:c r="L70" s="116" t="str">
        <x:v>Deutschland</x:v>
      </x:c>
      <x:c r="M70" s="116" t="str">
        <x:v>+49 2932 9397-0</x:v>
      </x:c>
      <x:c r="N70" s="116" t="str">
        <x:v>+49 2932 9397-100</x:v>
      </x:c>
      <x:c r="O70" s="116" t="str">
        <x:v>kontakt@reha-assist.com</x:v>
      </x:c>
      <x:c r="P70" s="116" t="str">
        <x:v>https://www.reha-assist.com/</x:v>
      </x:c>
      <x:c r="Q70" s="116" t="str">
        <x:v>Pflegeberatung / Reha-Management</x:v>
      </x:c>
      <x:c r="R70" s="116" t="str">
        <x:v>Reha-Management; professionelle Pflegeberatung; Pflegebedarf; Hilfsmittel; barrierefreies Wohnen; Mobilitätslösungen; berufliche Perspektive</x:v>
      </x:c>
      <x:c r="S70" s="116" t="str">
        <x:v>Pflegeberatung und Pflegegutachten versicherungsübergreifend; bundesweites Reha-Management</x:v>
      </x:c>
      <x:c r="T70" s="116" t="str">
        <x:v>bundesweit</x:v>
      </x:c>
      <x:c r="U70" s="135" t="n">
        <x:v>51.43588</x:v>
      </x:c>
      <x:c r="V70" s="135" t="n">
        <x:v>7.97324</x:v>
      </x:c>
      <x:c r="W70" s="116" t="str">
        <x:v>Hausadresse und Gebäudekoordinate verifiziert</x:v>
      </x:c>
      <x:c r="X70" s="116" t="str">
        <x:v>Neuer Kartenpunkt + bundesweites Servicegebiet</x:v>
      </x:c>
      <x:c r="Y70" s="116" t="str">
        <x:v>Neuaufnahme 4.4.x – Priorität auf A+ angehoben</x:v>
      </x:c>
      <x:c r="Z70" s="116"/>
      <x:c r="AA70" s="116" t="str">
        <x:v>https://www.reha-assist.com/pflegeberatung/</x:v>
      </x:c>
      <x:c r="AB70" s="116" t="str">
        <x:v>Gebäudepunkt Kleinbahnstraße 27 / OpenStreetMap-basierter Kartenabgleich</x:v>
      </x:c>
      <x:c r="AC70" s="116" t="str">
        <x:v>2026-08-30</x:v>
      </x:c>
      <x:c r="AD70" s="116" t="str">
        <x:v>Kleinbahnstraße 27, 59759 Arnsberg, Deutschland</x:v>
      </x:c>
      <x:c r="AE70" s="116" t="str">
        <x:v>A+ nach erneuter Pflege-/Gutachtenprüfung; bundesweiter Dienst, HQ nicht allein für Distanzranking verwenden.</x:v>
      </x:c>
    </x:row>
    <x:row r="71">
      <x:c r="A71" s="116" t="str">
        <x:v>BEST-153</x:v>
      </x:c>
      <x:c r="B71" s="116" t="str">
        <x:v>Neuropraxis Wertheim</x:v>
      </x:c>
      <x:c r="C71" s="116" t="str">
        <x:v>Bestand aktualisieren</x:v>
      </x:c>
      <x:c r="D71" s="116" t="str">
        <x:v>A</x:v>
      </x:c>
      <x:c r="E71" s="116" t="str">
        <x:v>Neurologisch-psychiatrische Praxen</x:v>
      </x:c>
      <x:c r="F71" s="116" t="str">
        <x:v>Neurologie; Psychiatrie</x:v>
      </x:c>
      <x:c r="G71" s="116" t="str">
        <x:v>regional bedeutsame neurologisch-psychiatrische Praxis</x:v>
      </x:c>
      <x:c r="H71" s="116" t="str">
        <x:v>Bahnhofstraße 33</x:v>
      </x:c>
      <x:c r="I71" s="116" t="str">
        <x:v>97877</x:v>
      </x:c>
      <x:c r="J71" s="116" t="str">
        <x:v>Wertheim</x:v>
      </x:c>
      <x:c r="K71" s="116" t="str">
        <x:v>Baden-Württemberg</x:v>
      </x:c>
      <x:c r="L71" s="116" t="str">
        <x:v>Deutschland</x:v>
      </x:c>
      <x:c r="M71" s="116" t="str">
        <x:v>09342 9157040</x:v>
      </x:c>
      <x:c r="N71" s="116" t="str">
        <x:v>09342 9157042</x:v>
      </x:c>
      <x:c r="O71" s="116" t="str">
        <x:v>info@neuropraxis-wertheim.de</x:v>
      </x:c>
      <x:c r="P71" s="116" t="str">
        <x:v>https://www.neuropraxis-wertheim.de/</x:v>
      </x:c>
      <x:c r="Q71" s="116" t="str">
        <x:v>Dr. medic Ioana Trifan; Dr. medic Laura Matasaru</x:v>
      </x:c>
      <x:c r="R71" s="116" t="str">
        <x:v>Neurologie; Psychiatrie; NLG/NCS; EEG; evozierte Potentiale; Doppler; Gutachten; Botulinumtoxin</x:v>
      </x:c>
      <x:c r="S71" s="116"/>
      <x:c r="T71" s="116" t="str">
        <x:v>Wertheim; Taubertal; Unterfranken</x:v>
      </x:c>
      <x:c r="U71" s="135" t="n">
        <x:v>49.7659492</x:v>
      </x:c>
      <x:c r="V71" s="135" t="n">
        <x:v>9.5095414</x:v>
      </x:c>
      <x:c r="W71" s="116" t="str">
        <x:v>adressgenau verifiziert</x:v>
      </x:c>
      <x:c r="X71" s="116" t="str">
        <x:v>Bestehenden Kartenpunkt aktualisieren</x:v>
      </x:c>
      <x:c r="Y71" s="116" t="str">
        <x:v>Bereits im Altbestand – keine Dublette</x:v>
      </x:c>
      <x:c r="Z71" s="116"/>
      <x:c r="AA71" s="116" t="str">
        <x:v>https://www.neuropraxis-wertheim.de/kontakt</x:v>
      </x:c>
      <x:c r="AB71" s="116" t="str">
        <x:v>OpenStreetMap/Nominatim – Altbestand Geo-QA</x:v>
      </x:c>
      <x:c r="AC71" s="116" t="str">
        <x:v>2026-08-30</x:v>
      </x:c>
      <x:c r="AD71" s="116" t="str">
        <x:v>Bahnhofstraße 33, 97877 Wertheim, Deutschland</x:v>
      </x:c>
      <x:c r="AE71" s="116" t="str">
        <x:v>Verbindlich als fester Aufnahmebestand; Kategorie von 'Sonstige' auf Neurologie/Psychiatrie bereinigen.</x:v>
      </x:c>
    </x:row>
    <x:row r="72">
      <x:c r="A72" s="116" t="str">
        <x:v>BEST-152</x:v>
      </x:c>
      <x:c r="B72" s="116" t="str">
        <x:v>NervenDocks – Praxis für Neurologie &amp; Psychiatrie</x:v>
      </x:c>
      <x:c r="C72" s="116" t="str">
        <x:v>Bestand aktualisieren</x:v>
      </x:c>
      <x:c r="D72" s="116" t="str">
        <x:v>A</x:v>
      </x:c>
      <x:c r="E72" s="116" t="str">
        <x:v>Neurologisch-psychiatrische Praxen</x:v>
      </x:c>
      <x:c r="F72" s="116" t="str">
        <x:v>Neurologie; Psychiatrie</x:v>
      </x:c>
      <x:c r="G72" s="116" t="str">
        <x:v>größere regionale Neuro-Psych-Praxis</x:v>
      </x:c>
      <x:c r="H72" s="116" t="str">
        <x:v>Dr.-Konrad-Adenauer-Straße 37c</x:v>
      </x:c>
      <x:c r="I72" s="116" t="str">
        <x:v>74722</x:v>
      </x:c>
      <x:c r="J72" s="116" t="str">
        <x:v>Buchen</x:v>
      </x:c>
      <x:c r="K72" s="116" t="str">
        <x:v>Baden-Württemberg</x:v>
      </x:c>
      <x:c r="L72" s="116" t="str">
        <x:v>Deutschland</x:v>
      </x:c>
      <x:c r="M72" s="116" t="str">
        <x:v>06281 56446-0</x:v>
      </x:c>
      <x:c r="N72" s="116" t="str">
        <x:v>06281 56446-20</x:v>
      </x:c>
      <x:c r="O72" s="116" t="str">
        <x:v>postfach@nervendocks.de</x:v>
      </x:c>
      <x:c r="P72" s="116" t="str">
        <x:v>https://www.nervendocks.de/</x:v>
      </x:c>
      <x:c r="Q72" s="116" t="str">
        <x:v>Dr. Marco Pohl; Dr. Viktoria Schreiber; Dr. Hans Weidmann</x:v>
      </x:c>
      <x:c r="R72" s="116" t="str">
        <x:v>Neurologie; Psychiatrie; moderne Diagnostik; kurzfristige Neurologie-Termine; Ärzte-Anmeldung</x:v>
      </x:c>
      <x:c r="S72" s="116"/>
      <x:c r="T72" s="116" t="str">
        <x:v>Neckar-Odenwald; Odenwald</x:v>
      </x:c>
      <x:c r="U72" s="135" t="n">
        <x:v>49.5239117</x:v>
      </x:c>
      <x:c r="V72" s="135" t="n">
        <x:v>9.3101384</x:v>
      </x:c>
      <x:c r="W72" s="116" t="str">
        <x:v>adressgenau verifiziert</x:v>
      </x:c>
      <x:c r="X72" s="116" t="str">
        <x:v>Bestehenden Kartenpunkt priorisieren/taggen</x:v>
      </x:c>
      <x:c r="Y72" s="116" t="str">
        <x:v>Bereits im Altbestand – keine Dublette</x:v>
      </x:c>
      <x:c r="Z72" s="116"/>
      <x:c r="AA72" s="116" t="str">
        <x:v>https://www.nervendocks.de/</x:v>
      </x:c>
      <x:c r="AB72" s="116" t="str">
        <x:v>OpenStreetMap/Nominatim – Altbestand Geo-QA</x:v>
      </x:c>
      <x:c r="AC72" s="116" t="str">
        <x:v>2026-08-30</x:v>
      </x:c>
      <x:c r="AD72" s="116" t="str">
        <x:v>Dr.-Konrad-Adenauer-Straße 37c, 74722 Buchen, Deutschland</x:v>
      </x:c>
      <x:c r="AE72" s="116" t="str">
        <x:v>Deckt die gezielte Odenwald-Lücke bereits ab.</x:v>
      </x:c>
    </x:row>
    <x:row r="73">
      <x:c r="A73" s="116" t="str">
        <x:v>BEST-340</x:v>
      </x:c>
      <x:c r="B73" s="116" t="str">
        <x:v>Stephanuswerk Isny – Bildungszentrum</x:v>
      </x:c>
      <x:c r="C73" s="116" t="str">
        <x:v>Bestand aktualisieren</x:v>
      </x:c>
      <x:c r="D73" s="116" t="str">
        <x:v>A</x:v>
      </x:c>
      <x:c r="E73" s="116" t="str">
        <x:v>Berufliche Reha / Neurologie Phase E</x:v>
      </x:c>
      <x:c r="F73" s="116" t="str">
        <x:v>Phase E; LTA; berufliche Rehabilitation</x:v>
      </x:c>
      <x:c r="G73" s="116" t="str">
        <x:v>Bildungszentrum / beruflicher Reha-Baustein</x:v>
      </x:c>
      <x:c r="H73" s="116" t="str">
        <x:v>Maierhöfener Straße 56</x:v>
      </x:c>
      <x:c r="I73" s="116" t="str">
        <x:v>88316</x:v>
      </x:c>
      <x:c r="J73" s="116" t="str">
        <x:v>Isny im Allgäu</x:v>
      </x:c>
      <x:c r="K73" s="116" t="str">
        <x:v>Baden-Württemberg</x:v>
      </x:c>
      <x:c r="L73" s="116" t="str">
        <x:v>Deutschland</x:v>
      </x:c>
      <x:c r="M73" s="116" t="str">
        <x:v>07562 74-0; 07562 74-1700</x:v>
      </x:c>
      <x:c r="N73" s="116"/>
      <x:c r="O73" s="116" t="str">
        <x:v>bildungszentrum.stephanuswerk@ev-heimstiftung.de</x:v>
      </x:c>
      <x:c r="P73" s="116" t="str">
        <x:v>https://www.stephanuswerk-isny.de/bildungszentrum/</x:v>
      </x:c>
      <x:c r="Q73" s="116" t="str">
        <x:v>Aufnahmebüro Bildungszentrum</x:v>
      </x:c>
      <x:c r="R73" s="116" t="str">
        <x:v>Reha-Assessment; Eignungsabklärung; Arbeitserprobung; Ausbildung/Umschulung; berufliche Integration</x:v>
      </x:c>
      <x:c r="S73" s="116"/>
      <x:c r="T73" s="116" t="str">
        <x:v>Baden-Württemberg Süd; überregional</x:v>
      </x:c>
      <x:c r="U73" s="135" t="n">
        <x:v>47.684787</x:v>
      </x:c>
      <x:c r="V73" s="135" t="n">
        <x:v>10.038184</x:v>
      </x:c>
      <x:c r="W73" s="116" t="str">
        <x:v>Hausadresse verifiziert</x:v>
      </x:c>
      <x:c r="X73" s="116" t="str">
        <x:v>Bestehenden Kartenpunkt fachlich korrigieren</x:v>
      </x:c>
      <x:c r="Y73" s="116" t="str">
        <x:v>Bereits in 4.3 enthalten</x:v>
      </x:c>
      <x:c r="Z73" s="116"/>
      <x:c r="AA73" s="116" t="str">
        <x:v>https://www.stephanuswerk-isny.de/bildungszentrum/</x:v>
      </x:c>
      <x:c r="AB73" s="116" t="str">
        <x:v>Master 4.3 – Hausadresse/Standort geprüft</x:v>
      </x:c>
      <x:c r="AC73" s="116" t="str">
        <x:v>2026-08-30</x:v>
      </x:c>
      <x:c r="AD73" s="116" t="str">
        <x:v>Maierhöfener Straße 56, 88316 Isny im Allgäu, Deutschland</x:v>
      </x:c>
      <x:c r="AE73" s="116" t="str">
        <x:v>Phase E/LTA; ausdrücklich keine medizinische Phase-A-D-Klinik.</x:v>
      </x:c>
    </x:row>
    <x:row r="74">
      <x:c r="A74" s="116" t="str">
        <x:v>BEST-B01</x:v>
      </x:c>
      <x:c r="B74" s="116" t="str">
        <x:v>Asklepios Schlossberg Klinik Bad König</x:v>
      </x:c>
      <x:c r="C74" s="116" t="str">
        <x:v>Bestand bestätigen</x:v>
      </x:c>
      <x:c r="D74" s="116" t="str">
        <x:v>A</x:v>
      </x:c>
      <x:c r="E74" s="116" t="str">
        <x:v>Neurologische Reha</x:v>
      </x:c>
      <x:c r="F74" s="116" t="str">
        <x:v>Neurologie; Phase B</x:v>
      </x:c>
      <x:c r="G74" s="116" t="str">
        <x:v>Neurologische Frührehabilitation Phase B</x:v>
      </x:c>
      <x:c r="H74" s="116" t="str">
        <x:v>Frankfurter Straße 33</x:v>
      </x:c>
      <x:c r="I74" s="116" t="str">
        <x:v>64732</x:v>
      </x:c>
      <x:c r="J74" s="116" t="str">
        <x:v>Bad König</x:v>
      </x:c>
      <x:c r="K74" s="116" t="str">
        <x:v>Hessen</x:v>
      </x:c>
      <x:c r="L74" s="116" t="str">
        <x:v>Deutschland</x:v>
      </x:c>
      <x:c r="M74" s="116" t="str">
        <x:v>06063 501-0; 06063 501-362</x:v>
      </x:c>
      <x:c r="N74" s="116"/>
      <x:c r="O74" s="116"/>
      <x:c r="P74" s="116" t="str">
        <x:v>https://www.asklepios.com/bad-koenig/</x:v>
      </x:c>
      <x:c r="Q74" s="116" t="str">
        <x:v>Dr. Michael Hartwich; Melanie Jahn</x:v>
      </x:c>
      <x:c r="R74" s="116" t="str">
        <x:v>Neurologische Frührehabilitation Phase B</x:v>
      </x:c>
      <x:c r="S74" s="116"/>
      <x:c r="T74" s="116" t="str">
        <x:v>Odenwald; Südhessen; Rhein-Main</x:v>
      </x:c>
      <x:c r="U74" s="135" t="n">
        <x:v>49.74512</x:v>
      </x:c>
      <x:c r="V74" s="135" t="n">
        <x:v>9.00504</x:v>
      </x:c>
      <x:c r="W74" s="116" t="str">
        <x:v>Einrichtungsstandort geprüft</x:v>
      </x:c>
      <x:c r="X74" s="116" t="str">
        <x:v>Bestand – Phase-B-Zuordnung bestätigen</x:v>
      </x:c>
      <x:c r="Y74" s="116" t="str">
        <x:v>4.4.2 bereits ergänzt</x:v>
      </x:c>
      <x:c r="Z74" s="116"/>
      <x:c r="AA74" s="116" t="str">
        <x:v>https://www.asklepios.com/bad-koenig/</x:v>
      </x:c>
      <x:c r="AB74" s="116" t="str">
        <x:v>Master 4.4 – dokumentierter Einrichtungsstandort</x:v>
      </x:c>
      <x:c r="AC74" s="116" t="str">
        <x:v>2026-08-30</x:v>
      </x:c>
      <x:c r="AD74" s="116" t="str">
        <x:v>Frankfurter Straße 33, 64732 Bad König, Deutschland</x:v>
      </x:c>
      <x:c r="AE74" s="116" t="str">
        <x:v>Keine zusätzliche Phase-C-Zuordnung übernehmen.</x:v>
      </x:c>
    </x:row>
    <x:row r="75">
      <x:c r="A75" s="116" t="str">
        <x:v>BEST-B02</x:v>
      </x:c>
      <x:c r="B75" s="116" t="str">
        <x:v>SRH Kurpfalzkrankenhaus Heidelberg</x:v>
      </x:c>
      <x:c r="C75" s="116" t="str">
        <x:v>Bestand bestätigen</x:v>
      </x:c>
      <x:c r="D75" s="116" t="str">
        <x:v>A</x:v>
      </x:c>
      <x:c r="E75" s="116" t="str">
        <x:v>Neurologische Reha</x:v>
      </x:c>
      <x:c r="F75" s="116" t="str">
        <x:v>Neurologie; Phase B</x:v>
      </x:c>
      <x:c r="G75" s="116" t="str">
        <x:v>Neurologische Frührehabilitation Phase B</x:v>
      </x:c>
      <x:c r="H75" s="116" t="str">
        <x:v>Bonhoefferstraße 5</x:v>
      </x:c>
      <x:c r="I75" s="116" t="str">
        <x:v>69123</x:v>
      </x:c>
      <x:c r="J75" s="116" t="str">
        <x:v>Heidelberg</x:v>
      </x:c>
      <x:c r="K75" s="116" t="str">
        <x:v>Baden-Württemberg</x:v>
      </x:c>
      <x:c r="L75" s="116" t="str">
        <x:v>Deutschland</x:v>
      </x:c>
      <x:c r="M75" s="116" t="str">
        <x:v>06221 88-4010; 06221 88-4101</x:v>
      </x:c>
      <x:c r="N75" s="116"/>
      <x:c r="O75" s="116" t="str">
        <x:v>info.kkh@srh.de</x:v>
      </x:c>
      <x:c r="P75" s="116" t="str">
        <x:v>https://www.srh.de/</x:v>
      </x:c>
      <x:c r="Q75" s="116" t="str">
        <x:v>Beate Paschka / Patientenmanagement</x:v>
      </x:c>
      <x:c r="R75" s="116" t="str">
        <x:v>Neurologische Frührehabilitation Phase B</x:v>
      </x:c>
      <x:c r="S75" s="116"/>
      <x:c r="T75" s="116" t="str">
        <x:v>Rhein-Neckar; Nordbaden</x:v>
      </x:c>
      <x:c r="U75" s="135" t="n">
        <x:v>49.4136</x:v>
      </x:c>
      <x:c r="V75" s="135" t="n">
        <x:v>8.65381</x:v>
      </x:c>
      <x:c r="W75" s="116" t="str">
        <x:v>Einrichtungsstandort geprüft</x:v>
      </x:c>
      <x:c r="X75" s="116" t="str">
        <x:v>Bestand – Phase-B-Zuordnung bestätigen</x:v>
      </x:c>
      <x:c r="Y75" s="116" t="str">
        <x:v>4.4.2 bereits ergänzt</x:v>
      </x:c>
      <x:c r="Z75" s="116"/>
      <x:c r="AA75" s="116" t="str">
        <x:v>https://www.srh.de/</x:v>
      </x:c>
      <x:c r="AB75" s="116" t="str">
        <x:v>Master 4.4 – dokumentierter Einrichtungsstandort</x:v>
      </x:c>
      <x:c r="AC75" s="116" t="str">
        <x:v>2026-08-30</x:v>
      </x:c>
      <x:c r="AD75" s="116" t="str">
        <x:v>Bonhoefferstraße 5, 69123 Heidelberg, Deutschland</x:v>
      </x:c>
      <x:c r="AE75" s="116" t="str">
        <x:v>Keine zusätzliche Phase-C-Zuordnung übernehmen.</x:v>
      </x:c>
    </x:row>
    <x:row r="76">
      <x:c r="A76" s="116" t="str">
        <x:v>BEST-F01</x:v>
      </x:c>
      <x:c r="B76" s="116" t="str">
        <x:v>Junge Pflege St. Anastasia – Fachpflege Neurophase F</x:v>
      </x:c>
      <x:c r="C76" s="116" t="str">
        <x:v>Bestand bestätigen</x:v>
      </x:c>
      <x:c r="D76" s="116" t="str">
        <x:v>A</x:v>
      </x:c>
      <x:c r="E76" s="116" t="str">
        <x:v>Neurologische Reha</x:v>
      </x:c>
      <x:c r="F76" s="116" t="str">
        <x:v>Neurologie; Phase F</x:v>
      </x:c>
      <x:c r="G76" s="116" t="str">
        <x:v>Neurologische Fachpflege / Phase F</x:v>
      </x:c>
      <x:c r="H76" s="116" t="str">
        <x:v>Albert-Schweitzer-Straße 3</x:v>
      </x:c>
      <x:c r="I76" s="116" t="str">
        <x:v>67117</x:v>
      </x:c>
      <x:c r="J76" s="116" t="str">
        <x:v>Limburgerhof</x:v>
      </x:c>
      <x:c r="K76" s="116" t="str">
        <x:v>Rheinland-Pfalz</x:v>
      </x:c>
      <x:c r="L76" s="116" t="str">
        <x:v>Deutschland</x:v>
      </x:c>
      <x:c r="M76" s="116" t="str">
        <x:v>06236 470-1502</x:v>
      </x:c>
      <x:c r="N76" s="116"/>
      <x:c r="O76" s="116" t="str">
        <x:v>stefanie.kreutz@cbs-speyer.de</x:v>
      </x:c>
      <x:c r="P76" s="116" t="str">
        <x:v>https://www.caritas-speyer.de/standorte/caritas-altenzentren/st-anastasia</x:v>
      </x:c>
      <x:c r="Q76" s="116" t="str">
        <x:v>Stefanie Kreutz</x:v>
      </x:c>
      <x:c r="R76" s="116" t="str">
        <x:v>Neurophase F; erworbene Schädel-Hirn-Verletzungen; Wachkoma; Trachealkanülen-Management</x:v>
      </x:c>
      <x:c r="S76" s="116"/>
      <x:c r="T76" s="116" t="str">
        <x:v>Vorderpfalz; Rhein-Neckar</x:v>
      </x:c>
      <x:c r="U76" s="135" t="n">
        <x:v>49.4239552</x:v>
      </x:c>
      <x:c r="V76" s="135" t="n">
        <x:v>8.3822111</x:v>
      </x:c>
      <x:c r="W76" s="116" t="str">
        <x:v>Gebäude-/Adresspunkt verifiziert</x:v>
      </x:c>
      <x:c r="X76" s="116" t="str">
        <x:v>Bestand – Phase F bestätigen</x:v>
      </x:c>
      <x:c r="Y76" s="116" t="str">
        <x:v>Bereits 4.3 vorhanden</x:v>
      </x:c>
      <x:c r="Z76" s="116"/>
      <x:c r="AA76" s="116" t="str">
        <x:v>https://www.caritas-speyer.de/standorte/caritas-altenzentren/st-anastasia</x:v>
      </x:c>
      <x:c r="AB76" s="116" t="str">
        <x:v>Master 4.3 / dokumentierte Geoquelle</x:v>
      </x:c>
      <x:c r="AC76" s="116" t="str">
        <x:v>2026-08-30</x:v>
      </x:c>
      <x:c r="AD76" s="116" t="str">
        <x:v>Albert-Schweitzer-Straße 3, 67117 Limburgerhof, Deutschland</x:v>
      </x:c>
      <x:c r="AE76" s="116" t="str">
        <x:v>Aktiver Phase-F-Standort; Storchenpark Speyer dagegen entfernen.</x:v>
      </x:c>
    </x:row>
    <x:row r="77">
      <x:c r="A77" s="116" t="str">
        <x:v>BEST-224</x:v>
      </x:c>
      <x:c r="B77" s="116" t="str">
        <x:v>Mobilcenter Zawatzky GmbH – Meckesheim</x:v>
      </x:c>
      <x:c r="C77" s="116" t="str">
        <x:v>Bestand bestätigen</x:v>
      </x:c>
      <x:c r="D77" s="116" t="str">
        <x:v>A</x:v>
      </x:c>
      <x:c r="E77" s="116" t="str">
        <x:v>Kfz &amp; Mobilität</x:v>
      </x:c>
      <x:c r="F77" s="116" t="str">
        <x:v>Fahrzeuganpassung; Kfz-Hilfe; Mobilität</x:v>
      </x:c>
      <x:c r="G77" s="116" t="str">
        <x:v>Spezialanbieter Fahrzeugumbau</x:v>
      </x:c>
      <x:c r="H77" s="116" t="str">
        <x:v>Bemannsbruch 2-4</x:v>
      </x:c>
      <x:c r="I77" s="116" t="str">
        <x:v>74909</x:v>
      </x:c>
      <x:c r="J77" s="116" t="str">
        <x:v>Meckesheim</x:v>
      </x:c>
      <x:c r="K77" s="116" t="str">
        <x:v>Baden-Württemberg</x:v>
      </x:c>
      <x:c r="L77" s="116" t="str">
        <x:v>Deutschland</x:v>
      </x:c>
      <x:c r="M77" s="116" t="str">
        <x:v>06226 9217-0</x:v>
      </x:c>
      <x:c r="N77" s="116"/>
      <x:c r="O77" s="116" t="str">
        <x:v>info@zawatzky.de</x:v>
      </x:c>
      <x:c r="P77" s="116" t="str">
        <x:v>https://zawatzky.de/standorte/meckesheim/</x:v>
      </x:c>
      <x:c r="Q77" s="116"/>
      <x:c r="R77" s="116" t="str">
        <x:v>Behindertengerechter Fahrzeugumbau; Fahr- und Lenkhilfen; Rollstuhlverladung; Service/Wartung</x:v>
      </x:c>
      <x:c r="S77" s="116"/>
      <x:c r="T77" s="116" t="str">
        <x:v>Rhein-Neckar; Nordbaden; überregional</x:v>
      </x:c>
      <x:c r="U77" s="135" t="n">
        <x:v>49.322596</x:v>
      </x:c>
      <x:c r="V77" s="135" t="n">
        <x:v>8.8047106</x:v>
      </x:c>
      <x:c r="W77" s="116" t="str">
        <x:v>adressgenau verifiziert</x:v>
      </x:c>
      <x:c r="X77" s="116" t="str">
        <x:v>Bestehenden Kartenpunkt beibehalten</x:v>
      </x:c>
      <x:c r="Y77" s="116" t="str">
        <x:v>Bereits im Bestand (ID 224)</x:v>
      </x:c>
      <x:c r="Z77" s="116" t="str">
        <x:v>MOB44-002 Fahrschule Zawatzky Neckargemünd</x:v>
      </x:c>
      <x:c r="AA77" s="116" t="str">
        <x:v>https://zawatzky.de/standorte/</x:v>
      </x:c>
      <x:c r="AB77" s="116" t="str">
        <x:v>OpenStreetMap/Nominatim – Altbestand</x:v>
      </x:c>
      <x:c r="AC77" s="116" t="str">
        <x:v>2026-08-30</x:v>
      </x:c>
      <x:c r="AD77" s="116" t="str">
        <x:v>Bemannsbruch 2-4, 74909 Meckesheim, Deutschland</x:v>
      </x:c>
      <x:c r="AE77" s="116" t="str">
        <x:v>Umbau und Fahrschule getrennt führen, aber verknüpfen.</x:v>
      </x:c>
    </x:row>
    <x:row r="78">
      <x:c r="A78" s="116" t="str">
        <x:v>BEST-319</x:v>
      </x:c>
      <x:c r="B78" s="116" t="str">
        <x:v>Gerd Waldvogel – Kfz-Sachverständiger</x:v>
      </x:c>
      <x:c r="C78" s="116" t="str">
        <x:v>Bestand bestätigen</x:v>
      </x:c>
      <x:c r="D78" s="116" t="str">
        <x:v>B</x:v>
      </x:c>
      <x:c r="E78" s="116" t="str">
        <x:v>Kfz &amp; Mobilität</x:v>
      </x:c>
      <x:c r="F78" s="116" t="str">
        <x:v>Kfz-Sachverständiger; Mobilität</x:v>
      </x:c>
      <x:c r="G78" s="116" t="str">
        <x:v>Kfz-Sachverständiger</x:v>
      </x:c>
      <x:c r="H78" s="116" t="str">
        <x:v>Am Kalkofen 20</x:v>
      </x:c>
      <x:c r="I78" s="116" t="str">
        <x:v>64732</x:v>
      </x:c>
      <x:c r="J78" s="116" t="str">
        <x:v>Bad König</x:v>
      </x:c>
      <x:c r="K78" s="116" t="str">
        <x:v>Hessen</x:v>
      </x:c>
      <x:c r="L78" s="116" t="str">
        <x:v>Deutschland</x:v>
      </x:c>
      <x:c r="M78" s="116" t="str">
        <x:v>06163 9437952; 0151 54845669</x:v>
      </x:c>
      <x:c r="N78" s="116"/>
      <x:c r="O78" s="116" t="str">
        <x:v>gerd.waldvogel@yahoo.de</x:v>
      </x:c>
      <x:c r="P78" s="116"/>
      <x:c r="Q78" s="116"/>
      <x:c r="R78" s="116" t="str">
        <x:v>Kfz-Sachverständigenleistungen; fallbezogene Begutachtung im Mobilitätskontext</x:v>
      </x:c>
      <x:c r="S78" s="116"/>
      <x:c r="T78" s="116" t="str">
        <x:v>Odenwald; Rhein-Main; regional</x:v>
      </x:c>
      <x:c r="U78" s="135" t="n">
        <x:v>49.767115</x:v>
      </x:c>
      <x:c r="V78" s="135" t="n">
        <x:v>8.945748</x:v>
      </x:c>
      <x:c r="W78" s="116" t="str">
        <x:v>adressbezogener Punkt geprüft</x:v>
      </x:c>
      <x:c r="X78" s="116" t="str">
        <x:v>Bestehenden Kartenpunkt beibehalten</x:v>
      </x:c>
      <x:c r="Y78" s="116" t="str">
        <x:v>Bereits im Bestand (ID 319)</x:v>
      </x:c>
      <x:c r="Z78" s="116"/>
      <x:c r="AA78" s="116"/>
      <x:c r="AB78" s="116" t="str">
        <x:v>Master 4.3 / dokumentierte Geoquelle</x:v>
      </x:c>
      <x:c r="AC78" s="116" t="str">
        <x:v>2026-08-30</x:v>
      </x:c>
      <x:c r="AD78" s="116" t="str">
        <x:v>Am Kalkofen 20, 64732 Bad König, Deutschland</x:v>
      </x:c>
      <x:c r="AE78" s="116" t="str">
        <x:v>PLZ 64732 ist der aktuelle/geprüfte Stand.</x:v>
      </x:c>
    </x:row>
    <x:row r="79">
      <x:c r="A79" s="116" t="str">
        <x:v>BEST-SOZ1</x:v>
      </x:c>
      <x:c r="B79" s="116" t="str">
        <x:v>Jochen Martini – Architektur/Gutachten Wohnen</x:v>
      </x:c>
      <x:c r="C79" s="116" t="str">
        <x:v>Bestand bestätigen</x:v>
      </x:c>
      <x:c r="D79" s="116" t="str">
        <x:v>A</x:v>
      </x:c>
      <x:c r="E79" s="116" t="str">
        <x:v>Soziale Teilhabe / Wohnen</x:v>
      </x:c>
      <x:c r="F79" s="116" t="str">
        <x:v>Wohnraumanpassung; Barrierefreiheit; Architektur; Gutachten</x:v>
      </x:c>
      <x:c r="G79" s="116" t="str">
        <x:v>Architekt / Gutachter Wohnen</x:v>
      </x:c>
      <x:c r="H79" s="116" t="str">
        <x:v>Am Dicken Stein 49</x:v>
      </x:c>
      <x:c r="I79" s="116" t="str">
        <x:v>67466</x:v>
      </x:c>
      <x:c r="J79" s="116" t="str">
        <x:v>Lambrecht (Pfalz)</x:v>
      </x:c>
      <x:c r="K79" s="116" t="str">
        <x:v>Rheinland-Pfalz</x:v>
      </x:c>
      <x:c r="L79" s="116" t="str">
        <x:v>Deutschland</x:v>
      </x:c>
      <x:c r="M79" s="116" t="str">
        <x:v>06325 980590</x:v>
      </x:c>
      <x:c r="N79" s="116"/>
      <x:c r="O79" s="116" t="str">
        <x:v>Jochen.martini@t-online.de</x:v>
      </x:c>
      <x:c r="P79" s="116"/>
      <x:c r="Q79" s="116"/>
      <x:c r="R79" s="116" t="str">
        <x:v>Wohnraumanpassung; Barrierefreiheit; architektonische Begutachtung und Planung</x:v>
      </x:c>
      <x:c r="S79" s="116"/>
      <x:c r="T79" s="116" t="str">
        <x:v>Pfalz; Rhein-Neckar; regional</x:v>
      </x:c>
      <x:c r="U79" s="135"/>
      <x:c r="V79" s="135"/>
      <x:c r="W79" s="116" t="str">
        <x:v>Adresse bestätigt; numerische Hauskoordinate im Gesamtimport nicht neu überschrieben</x:v>
      </x:c>
      <x:c r="X79" s="116" t="str">
        <x:v>Bestehenden Kartenpunkt verbindlich beibehalten</x:v>
      </x:c>
      <x:c r="Y79" s="116" t="str">
        <x:v>Bereits im Bestand / 4.4.3 Kartenfix</x:v>
      </x:c>
      <x:c r="Z79" s="116"/>
      <x:c r="AA79" s="116"/>
      <x:c r="AB79" s="116"/>
      <x:c r="AC79" s="116" t="str">
        <x:v>2026-08-30</x:v>
      </x:c>
      <x:c r="AD79" s="116" t="str">
        <x:v>Am Dicken Stein 49, 67466 Lambrecht (Pfalz), Deutschland</x:v>
      </x:c>
      <x:c r="AE79" s="116" t="str">
        <x:v>Soziale Teilhabe/Wohnen als eigenständiger Bereich; Martini darf nicht erneut verloren gehen.</x:v>
      </x:c>
    </x:row>
    <x:row r="80">
      <x:c r="A80" s="116" t="str">
        <x:v>PF44-002</x:v>
      </x:c>
      <x:c r="B80" s="116" t="str">
        <x:v>Pflegesachverständige Kristina Braun</x:v>
      </x:c>
      <x:c r="C80" s="116" t="str">
        <x:v>Aufnehmen</x:v>
      </x:c>
      <x:c r="D80" s="116" t="str">
        <x:v>A+</x:v>
      </x:c>
      <x:c r="E80" s="116" t="str">
        <x:v>Pflegeberatung / Pflegegutachten</x:v>
      </x:c>
      <x:c r="F80" s="116" t="str">
        <x:v>Pflegegutachten; Pflegebedarf § 44 SGB VII; Pflegefachberatung</x:v>
      </x:c>
      <x:c r="G80" s="116" t="str">
        <x:v>Unabhängige Pflegesachverständige</x:v>
      </x:c>
      <x:c r="H80" s="116" t="str">
        <x:v>In den Hofgärten 2</x:v>
      </x:c>
      <x:c r="I80" s="116" t="str">
        <x:v>67551</x:v>
      </x:c>
      <x:c r="J80" s="116" t="str">
        <x:v>Worms</x:v>
      </x:c>
      <x:c r="K80" s="116" t="str">
        <x:v>Rheinland-Pfalz</x:v>
      </x:c>
      <x:c r="L80" s="116" t="str">
        <x:v>Deutschland</x:v>
      </x:c>
      <x:c r="M80" s="116" t="str">
        <x:v>01512 8510770</x:v>
      </x:c>
      <x:c r="N80" s="116" t="str"/>
      <x:c r="O80" s="116" t="str">
        <x:v>kontakt@pflegesachverstaendige-braun.de</x:v>
      </x:c>
      <x:c r="P80" s="116" t="str">
        <x:v>https://www.pflegesachverstaendige-braun.de/</x:v>
      </x:c>
      <x:c r="Q80" s="116" t="str">
        <x:v>Kristina Braun</x:v>
      </x:c>
      <x:c r="R80" s="116" t="str">
        <x:v>Pflegegutachten; Pflegebedarfsermittlung; Begutachtungen nach SGB V, VII und XI; Beratung</x:v>
      </x:c>
      <x:c r="S80" s="116" t="str">
        <x:v>Berufsgenossenschaften/Unfallversicherungen ausdrücklich als Auftraggeber genannt; SGB VII ausdrücklich ausgewiesen</x:v>
      </x:c>
      <x:c r="T80" s="116" t="str">
        <x:v>Rheinland-Pfalz; Baden-Württemberg; Hessen; überregional</x:v>
      </x:c>
      <x:c r="U80" s="135"/>
      <x:c r="V80" s="135"/>
      <x:c r="W80" s="116" t="str">
        <x:v>Hausadresse/Kontakt geprüft; numerische Hauskoordinate bewusst offen</x:v>
      </x:c>
      <x:c r="X80" s="116" t="str">
        <x:v>Regionaler Kartenpunkt – nach Geocode-Freigabe</x:v>
      </x:c>
      <x:c r="Y80" s="116" t="str">
        <x:v>Neuaufnahme 4.4.x Pflege</x:v>
      </x:c>
      <x:c r="Z80" s="116" t="str"/>
      <x:c r="AA80" s="116" t="str">
        <x:v>https://www.pflegesachverstaendige-braun.de/</x:v>
      </x:c>
      <x:c r="AB80" s="116" t="str">
        <x:v>Volladresse geprüft; keine ungesicherte Koordinate übernommen</x:v>
      </x:c>
      <x:c r="AC80" s="116" t="str">
        <x:v>2026-08-30</x:v>
      </x:c>
      <x:c r="AD80" s="116" t="str">
        <x:v>In den Hofgärten 2, 67551 Worms, Deutschland</x:v>
      </x:c>
      <x:c r="AE80" s="116" t="str">
        <x:v>A+ wegen ausdrücklichem SGB-VII-/BG-Bezug.</x:v>
      </x:c>
    </x:row>
    <x:row r="81">
      <x:c r="A81" s="116" t="str">
        <x:v>PF44-003</x:v>
      </x:c>
      <x:c r="B81" s="116" t="str">
        <x:v>BG Klinik Ludwigshafen – Pflegefachberatung / Pflegegutachten</x:v>
      </x:c>
      <x:c r="C81" s="116" t="str">
        <x:v>Bestand aktualisieren</x:v>
      </x:c>
      <x:c r="D81" s="116" t="str">
        <x:v>A+</x:v>
      </x:c>
      <x:c r="E81" s="116" t="str">
        <x:v>Pflegeberatung / Pflegegutachten</x:v>
      </x:c>
      <x:c r="F81" s="116" t="str">
        <x:v>Pflegefachberatung; Pflegegutachten; Pflegetraining; SGB VII</x:v>
      </x:c>
      <x:c r="G81" s="116" t="str">
        <x:v>UVT-Pflegefachberatung am bestehenden Klinikstandort</x:v>
      </x:c>
      <x:c r="H81" s="116" t="str">
        <x:v>Ludwig-Guttmann-Straße 13</x:v>
      </x:c>
      <x:c r="I81" s="116" t="str">
        <x:v>67071</x:v>
      </x:c>
      <x:c r="J81" s="116" t="str">
        <x:v>Ludwigshafen am Rhein</x:v>
      </x:c>
      <x:c r="K81" s="116" t="str">
        <x:v>Rheinland-Pfalz</x:v>
      </x:c>
      <x:c r="L81" s="116" t="str">
        <x:v>Deutschland</x:v>
      </x:c>
      <x:c r="M81" s="116" t="str">
        <x:v>0621 6810-0</x:v>
      </x:c>
      <x:c r="N81" s="116" t="str"/>
      <x:c r="O81" s="116" t="str"/>
      <x:c r="P81" s="116" t="str">
        <x:v>https://www.bg-kliniken.de/klinik-ludwigshafen/unfallversicherungstraeger/pflegefachberatung/</x:v>
      </x:c>
      <x:c r="Q81" s="116" t="str">
        <x:v>Julia Reiser – Pflegesachverständige im Gesundheitswesen</x:v>
      </x:c>
      <x:c r="R81" s="116" t="str">
        <x:v>Pflegegutachten; Pflegefachberatung; Pflegetraining; Abstimmung mit Sachbearbeitung/Reha-Management</x:v>
      </x:c>
      <x:c r="S81" s="116" t="str">
        <x:v>Direktes Angebot für Unfallversicherungsträger</x:v>
      </x:c>
      <x:c r="T81" s="116" t="str">
        <x:v>regional + bundesweite UVT-Beauftragung</x:v>
      </x:c>
      <x:c r="U81" s="135"/>
      <x:c r="V81" s="135"/>
      <x:c r="W81" s="116" t="str">
        <x:v>Bestehender Klinikstandort; kein neuer Geopunkt erforderlich</x:v>
      </x:c>
      <x:c r="X81" s="116" t="str">
        <x:v>Subservice am bestehenden BG-Klinik-Pin – kein neuer Pin</x:v>
      </x:c>
      <x:c r="Y81" s="116" t="str">
        <x:v>Bestand fachlich erweitern</x:v>
      </x:c>
      <x:c r="Z81" s="116" t="str">
        <x:v>bestehender Datensatz BG Klinik Ludwigshafen</x:v>
      </x:c>
      <x:c r="AA81" s="116" t="str">
        <x:v>https://www.bg-kliniken.de/klinik-ludwigshafen/unfallversicherungstraeger/pflegefachberatung/</x:v>
      </x:c>
      <x:c r="AB81" s="116" t="str"/>
      <x:c r="AC81" s="116" t="str">
        <x:v>2026-08-30</x:v>
      </x:c>
      <x:c r="AD81" s="116" t="str"/>
      <x:c r="AE81" s="116" t="str">
        <x:v>Pflegefachberatung als direkt anwählbare Leistung/Direktkontakt am Klinikdatensatz.</x:v>
      </x:c>
    </x:row>
    <x:row r="82">
      <x:c r="A82" s="116" t="str">
        <x:v>PF44-004</x:v>
      </x:c>
      <x:c r="B82" s="116" t="str">
        <x:v>BG Unfallklinik Frankfurt – Pflegefachberatung / Pflegebegutachtung</x:v>
      </x:c>
      <x:c r="C82" s="116" t="str">
        <x:v>Bestand aktualisieren</x:v>
      </x:c>
      <x:c r="D82" s="116" t="str">
        <x:v>A+</x:v>
      </x:c>
      <x:c r="E82" s="116" t="str">
        <x:v>Pflegeberatung / Pflegegutachten</x:v>
      </x:c>
      <x:c r="F82" s="116" t="str">
        <x:v>Pflegefachberatung; Pflegebegutachtung; SGB VII</x:v>
      </x:c>
      <x:c r="G82" s="116" t="str">
        <x:v>UVT-Pflegefachberatung am bestehenden Klinikstandort</x:v>
      </x:c>
      <x:c r="H82" s="116" t="str">
        <x:v>Friedberger Landstraße 430</x:v>
      </x:c>
      <x:c r="I82" s="116" t="str">
        <x:v>60389</x:v>
      </x:c>
      <x:c r="J82" s="116" t="str">
        <x:v>Frankfurt am Main</x:v>
      </x:c>
      <x:c r="K82" s="116" t="str">
        <x:v>Hessen</x:v>
      </x:c>
      <x:c r="L82" s="116" t="str">
        <x:v>Deutschland</x:v>
      </x:c>
      <x:c r="M82" s="116" t="str">
        <x:v>069 475-3300</x:v>
      </x:c>
      <x:c r="N82" s="116" t="str"/>
      <x:c r="O82" s="116" t="str">
        <x:v>anne.huebner@bgu-frankfurt.de</x:v>
      </x:c>
      <x:c r="P82" s="116" t="str">
        <x:v>https://www.bg-kliniken.de/unfallklinik-frankfurt/uvt-servicezentrum/pflegefachberatung/</x:v>
      </x:c>
      <x:c r="Q82" s="116" t="str">
        <x:v>Anne Hübner</x:v>
      </x:c>
      <x:c r="R82" s="116" t="str">
        <x:v>Pflegebegutachtung im Auftrag des UV-Trägers; Hausbesuch; Bericht und Empfehlungen</x:v>
      </x:c>
      <x:c r="S82" s="116" t="str">
        <x:v>Direkte Beauftragung durch Unfallversicherungsträger</x:v>
      </x:c>
      <x:c r="T82" s="116" t="str">
        <x:v>Hessen; Rhein-Main; überregional</x:v>
      </x:c>
      <x:c r="U82" s="135"/>
      <x:c r="V82" s="135"/>
      <x:c r="W82" s="116" t="str">
        <x:v>Bestehender Klinikstandort; kein neuer Geopunkt erforderlich</x:v>
      </x:c>
      <x:c r="X82" s="116" t="str">
        <x:v>Subservice am bestehenden BG-Unfallklinik-Pin – kein neuer Pin</x:v>
      </x:c>
      <x:c r="Y82" s="116" t="str">
        <x:v>Bestand fachlich erweitern</x:v>
      </x:c>
      <x:c r="Z82" s="116" t="str">
        <x:v>bestehender Datensatz BG Unfallklinik Frankfurt</x:v>
      </x:c>
      <x:c r="AA82" s="116" t="str">
        <x:v>https://www.bg-kliniken.de/unfallklinik-frankfurt/uvt-servicezentrum/pflegefachberatung/</x:v>
      </x:c>
      <x:c r="AB82" s="116" t="str"/>
      <x:c r="AC82" s="116" t="str">
        <x:v>2026-08-30</x:v>
      </x:c>
      <x:c r="AD82" s="116" t="str"/>
      <x:c r="AE82" s="116" t="str">
        <x:v>A+; Pflegebegutachtung ausdrücklich im UVT-Auftrag.</x:v>
      </x:c>
    </x:row>
    <x:row r="83">
      <x:c r="A83" s="116" t="str">
        <x:v>PF44-005</x:v>
      </x:c>
      <x:c r="B83" s="116" t="str">
        <x:v>BG Klinik Tübingen – Pflegefachberatung / Pflegegutachten</x:v>
      </x:c>
      <x:c r="C83" s="116" t="str">
        <x:v>Bestand aktualisieren</x:v>
      </x:c>
      <x:c r="D83" s="116" t="str">
        <x:v>A+</x:v>
      </x:c>
      <x:c r="E83" s="116" t="str">
        <x:v>Pflegeberatung / Pflegegutachten</x:v>
      </x:c>
      <x:c r="F83" s="116" t="str">
        <x:v>Pflegefachberatung; Pflegegutachten; Hilfsmittel-/Pflegebedarf; SGB VII</x:v>
      </x:c>
      <x:c r="G83" s="116" t="str">
        <x:v>UVT-Pflegefachberatung am bestehenden Klinikstandort</x:v>
      </x:c>
      <x:c r="H83" s="116" t="str">
        <x:v>Schnarrenbergstraße 95</x:v>
      </x:c>
      <x:c r="I83" s="116" t="str">
        <x:v>72076</x:v>
      </x:c>
      <x:c r="J83" s="116" t="str">
        <x:v>Tübingen</x:v>
      </x:c>
      <x:c r="K83" s="116" t="str">
        <x:v>Baden-Württemberg</x:v>
      </x:c>
      <x:c r="L83" s="116" t="str">
        <x:v>Deutschland</x:v>
      </x:c>
      <x:c r="M83" s="116" t="str">
        <x:v>07071 606-3422</x:v>
      </x:c>
      <x:c r="N83" s="116" t="str"/>
      <x:c r="O83" s="116" t="str">
        <x:v>Pflegefachberatung@bgu-tuebingen.de</x:v>
      </x:c>
      <x:c r="P83" s="116" t="str">
        <x:v>https://www.bg-kliniken.de/klinik-tuebingen/pflegefachberatung/</x:v>
      </x:c>
      <x:c r="Q83" s="116" t="str">
        <x:v>Diana Endl; Susanne Hein; Robert Lippert</x:v>
      </x:c>
      <x:c r="R83" s="116" t="str">
        <x:v>Hausbesuch; Pflege- und Hilfsmittelbedarf; Empfehlungen; optional Pflegegutachten</x:v>
      </x:c>
      <x:c r="S83" s="116" t="str">
        <x:v>Von Unfallversicherungsträgern beauftragbar</x:v>
      </x:c>
      <x:c r="T83" s="116" t="str">
        <x:v>Baden-Württemberg; überregional</x:v>
      </x:c>
      <x:c r="U83" s="135"/>
      <x:c r="V83" s="135"/>
      <x:c r="W83" s="116" t="str">
        <x:v>Bestehender Klinikstandort; kein neuer Geopunkt erforderlich</x:v>
      </x:c>
      <x:c r="X83" s="116" t="str">
        <x:v>Subservice am bestehenden BG-Klinik-Pin – kein neuer Pin</x:v>
      </x:c>
      <x:c r="Y83" s="116" t="str">
        <x:v>Bestand fachlich erweitern</x:v>
      </x:c>
      <x:c r="Z83" s="116" t="str">
        <x:v>bestehender Datensatz BG Klinik Tübingen</x:v>
      </x:c>
      <x:c r="AA83" s="116" t="str">
        <x:v>https://www.bg-kliniken.de/klinik-tuebingen/pflegefachberatung/</x:v>
      </x:c>
      <x:c r="AB83" s="116" t="str"/>
      <x:c r="AC83" s="116" t="str">
        <x:v>2026-08-30</x:v>
      </x:c>
      <x:c r="AD83" s="116" t="str"/>
      <x:c r="AE83" s="116" t="str">
        <x:v>A+; direkte Pflegefachberatung/Pflegegutachten für UVT.</x:v>
      </x:c>
    </x:row>
    <x:row r="84">
      <x:c r="A84" s="116" t="str">
        <x:v>PF44-006</x:v>
      </x:c>
      <x:c r="B84" s="116" t="str">
        <x:v>CareService – Pflegegutachten &amp; Versorgungsmanagement</x:v>
      </x:c>
      <x:c r="C84" s="116" t="str">
        <x:v>Aufnehmen</x:v>
      </x:c>
      <x:c r="D84" s="116" t="str">
        <x:v>A+</x:v>
      </x:c>
      <x:c r="E84" s="116" t="str">
        <x:v>Pflegeberatung / Pflegegutachten</x:v>
      </x:c>
      <x:c r="F84" s="116" t="str">
        <x:v>Pflegegutachten; Pflegebedarf § 44 SGB VII; Hilfsmittel; Wohnraumanpassung; Case Management</x:v>
      </x:c>
      <x:c r="G84" s="116" t="str">
        <x:v>Bundesweiter Pflegegutachten-/Versorgungsdienst</x:v>
      </x:c>
      <x:c r="H84" s="116" t="str">
        <x:v>Kammerrathsfeldstraße 20</x:v>
      </x:c>
      <x:c r="I84" s="116" t="str">
        <x:v>40593</x:v>
      </x:c>
      <x:c r="J84" s="116" t="str">
        <x:v>Düsseldorf</x:v>
      </x:c>
      <x:c r="K84" s="116" t="str">
        <x:v>Nordrhein-Westfalen</x:v>
      </x:c>
      <x:c r="L84" s="116" t="str">
        <x:v>Deutschland</x:v>
      </x:c>
      <x:c r="M84" s="116" t="str">
        <x:v>02131 73925-0</x:v>
      </x:c>
      <x:c r="N84" s="116" t="str"/>
      <x:c r="O84" s="116" t="str">
        <x:v>gutachten@careservice.de</x:v>
      </x:c>
      <x:c r="P84" s="116" t="str">
        <x:v>https://www.careservice.de/</x:v>
      </x:c>
      <x:c r="Q84" s="116" t="str">
        <x:v>CareService Gutachten</x:v>
      </x:c>
      <x:c r="R84" s="116" t="str">
        <x:v>Pflegegutachten; Pflegebedarf; Qualitätskontrollen; Hilfsmittel; Wohnraumanpassung; Case Management</x:v>
      </x:c>
      <x:c r="S84" s="116" t="str">
        <x:v>Methodik mit Berufsgenossenschaften abgestimmt; Partner großer gesetzlicher Unfallversicherer; § 44 SGB VII</x:v>
      </x:c>
      <x:c r="T84" s="116" t="str">
        <x:v>bundesweit / international</x:v>
      </x:c>
      <x:c r="U84" s="135"/>
      <x:c r="V84" s="135"/>
      <x:c r="W84" s="116" t="str">
        <x:v>Kontakt-/Sitzadresse geprüft; HQ nicht als Versorgungsnähe interpretieren</x:v>
      </x:c>
      <x:c r="X84" s="116" t="str">
        <x:v>Überregionaler Dienst – HQ nicht für Distanz-/Umkreisranking</x:v>
      </x:c>
      <x:c r="Y84" s="116" t="str">
        <x:v>Neuaufnahme 4.4.x Pflege</x:v>
      </x:c>
      <x:c r="Z84" s="116" t="str"/>
      <x:c r="AA84" s="116" t="str">
        <x:v>https://www.careservice.de/</x:v>
      </x:c>
      <x:c r="AB84" s="116" t="str"/>
      <x:c r="AC84" s="116" t="str">
        <x:v>2026-08-30</x:v>
      </x:c>
      <x:c r="AD84" s="116" t="str"/>
      <x:c r="AE84" s="116" t="str">
        <x:v>A+; für schwere Pflegefälle besonders hoher GUV-Nutzen.</x:v>
      </x:c>
    </x:row>
    <x:row r="85">
      <x:c r="A85" s="116" t="str">
        <x:v>PF44-007</x:v>
      </x:c>
      <x:c r="B85" s="116" t="str">
        <x:v>B-I-S e.K. – Wolfgang Müller</x:v>
      </x:c>
      <x:c r="C85" s="116" t="str">
        <x:v>Aufnehmen</x:v>
      </x:c>
      <x:c r="D85" s="116" t="str">
        <x:v>A</x:v>
      </x:c>
      <x:c r="E85" s="116" t="str">
        <x:v>Pflegeberatung / Pflegegutachten</x:v>
      </x:c>
      <x:c r="F85" s="116" t="str">
        <x:v>Pflegegutachten; Pflegebedarf § 44 SGB VII; SGB XI; Schadensersatz</x:v>
      </x:c>
      <x:c r="G85" s="116" t="str">
        <x:v>Unabhängiger zertifizierter Pflegesachverständiger</x:v>
      </x:c>
      <x:c r="H85" s="116" t="str">
        <x:v>Blautalstraße 33</x:v>
      </x:c>
      <x:c r="I85" s="116" t="str">
        <x:v>89134</x:v>
      </x:c>
      <x:c r="J85" s="116" t="str">
        <x:v>Blaustein</x:v>
      </x:c>
      <x:c r="K85" s="116" t="str">
        <x:v>Baden-Württemberg</x:v>
      </x:c>
      <x:c r="L85" s="116" t="str">
        <x:v>Deutschland</x:v>
      </x:c>
      <x:c r="M85" s="116" t="str">
        <x:v>07304 7685; 0172 7607266</x:v>
      </x:c>
      <x:c r="N85" s="116" t="str"/>
      <x:c r="O85" s="116" t="str"/>
      <x:c r="P85" s="116" t="str"/>
      <x:c r="Q85" s="116" t="str">
        <x:v>Wolfgang Müller</x:v>
      </x:c>
      <x:c r="R85" s="116" t="str">
        <x:v>Pflegegutachten; Begutachtung nach SGB VII und XI; Pflegebedarf</x:v>
      </x:c>
      <x:c r="S85" s="116" t="str">
        <x:v>BG-Pflegegutachten nach § 44 SGB VII ausdrücklich ausgewiesen</x:v>
      </x:c>
      <x:c r="T85" s="116" t="str">
        <x:v>Baden-Württemberg; bundesweit</x:v>
      </x:c>
      <x:c r="U85" s="135"/>
      <x:c r="V85" s="135"/>
      <x:c r="W85" s="116" t="str">
        <x:v>Adresse/Qualifikation geprüft; numerische Hauskoordinate offen</x:v>
      </x:c>
      <x:c r="X85" s="116" t="str">
        <x:v>Regionaler Kartenpunkt – nach Geocode-Freigabe</x:v>
      </x:c>
      <x:c r="Y85" s="116" t="str">
        <x:v>Neuaufnahme 4.4.x Pflege</x:v>
      </x:c>
      <x:c r="Z85" s="116" t="str"/>
      <x:c r="AA85" s="116" t="str">
        <x:v>https://www.dgusv.de/</x:v>
      </x:c>
      <x:c r="AB85" s="116" t="str">
        <x:v>Volladresse geprüft; numerische Koordinate bewusst offen</x:v>
      </x:c>
      <x:c r="AC85" s="116" t="str">
        <x:v>2026-08-30</x:v>
      </x:c>
      <x:c r="AD85" s="116" t="str">
        <x:v>Blautalstraße 33, 89134 Blaustein, Deutschland</x:v>
      </x:c>
      <x:c r="AE85" s="116" t="str">
        <x:v>A; zertifizierter Sachverständiger mit ausdrücklichem SGB-VII-Bezug. Qualifikation/Adresse über Sachverständigenverzeichnis belegt; eigene Website bewusst nicht übernommen.</x:v>
      </x:c>
    </x:row>
    <x:row r="86">
      <x:c r="A86" s="116" t="str">
        <x:v>PF44-008</x:v>
      </x:c>
      <x:c r="B86" s="116" t="str">
        <x:v>ORGAMed Dortmund GmbH – BG-Pflegegutachten</x:v>
      </x:c>
      <x:c r="C86" s="116" t="str">
        <x:v>Aufnehmen</x:v>
      </x:c>
      <x:c r="D86" s="116" t="str">
        <x:v>B</x:v>
      </x:c>
      <x:c r="E86" s="116" t="str">
        <x:v>Pflegeberatung / Pflegegutachten</x:v>
      </x:c>
      <x:c r="F86" s="116" t="str">
        <x:v>Pflegegutachten; SGB VII; Pflegeorganisation; Case Management; Persönliches Budget</x:v>
      </x:c>
      <x:c r="G86" s="116" t="str">
        <x:v>Überregionaler Pflege-/Case-Management-Dienst</x:v>
      </x:c>
      <x:c r="H86" s="116" t="str">
        <x:v>Breierspfad 159</x:v>
      </x:c>
      <x:c r="I86" s="116" t="str">
        <x:v>44309</x:v>
      </x:c>
      <x:c r="J86" s="116" t="str">
        <x:v>Dortmund</x:v>
      </x:c>
      <x:c r="K86" s="116" t="str">
        <x:v>Nordrhein-Westfalen</x:v>
      </x:c>
      <x:c r="L86" s="116" t="str">
        <x:v>Deutschland</x:v>
      </x:c>
      <x:c r="M86" s="116" t="str">
        <x:v>0231 936970-0</x:v>
      </x:c>
      <x:c r="N86" s="116" t="str"/>
      <x:c r="O86" s="116" t="str">
        <x:v>info@orgamed-dortmund.de</x:v>
      </x:c>
      <x:c r="P86" s="116" t="str">
        <x:v>https://www.orgamed-dortmund.de/</x:v>
      </x:c>
      <x:c r="Q86" s="116" t="str">
        <x:v>ORGAMed Dortmund</x:v>
      </x:c>
      <x:c r="R86" s="116" t="str">
        <x:v>Pflegegutachten für BG-Einstufungen; Case Management; Pflegeorganisation; Persönliches Budget</x:v>
      </x:c>
      <x:c r="S86" s="116" t="str">
        <x:v>BG-Pflegegutachten/SGB VII ausdrücklich ausgewiesen</x:v>
      </x:c>
      <x:c r="T86" s="116" t="str">
        <x:v>überregional</x:v>
      </x:c>
      <x:c r="U86" s="135"/>
      <x:c r="V86" s="135"/>
      <x:c r="W86" s="116" t="str">
        <x:v>Kontakt-/Sitzadresse geprüft; HQ nicht als regionale Versorgungsnähe interpretieren</x:v>
      </x:c>
      <x:c r="X86" s="116" t="str">
        <x:v>Überregionaler Dienst – HQ nicht für Distanz-/Umkreisranking</x:v>
      </x:c>
      <x:c r="Y86" s="116" t="str">
        <x:v>Neuaufnahme 4.4.x Pflege</x:v>
      </x:c>
      <x:c r="Z86" s="116" t="str"/>
      <x:c r="AA86" s="116" t="str">
        <x:v>https://www.orgamed-dortmund.de/</x:v>
      </x:c>
      <x:c r="AB86" s="116" t="str"/>
      <x:c r="AC86" s="116" t="str">
        <x:v>2026-08-30</x:v>
      </x:c>
      <x:c r="AD86" s="116" t="str"/>
      <x:c r="AE86" s="116" t="str">
        <x:v>B; fachlich klarer BG-Bezug, aber kein regionaler Südwest-Hauptstandort.</x:v>
      </x:c>
    </x:row>
    <x:row r="87">
      <x:c r="A87" s="116" t="str">
        <x:v>AV44-001</x:v>
      </x:c>
      <x:c r="B87" s="116" t="str">
        <x:v>InReha – Reha-Management / berufliche Integration</x:v>
      </x:c>
      <x:c r="C87" s="116" t="str">
        <x:v>Aufnehmen</x:v>
      </x:c>
      <x:c r="D87" s="116" t="str">
        <x:v>A+</x:v>
      </x:c>
      <x:c r="E87" s="116" t="str">
        <x:v>Arbeitsvermittlung / Reha-Integration</x:v>
      </x:c>
      <x:c r="F87" s="116" t="str">
        <x:v>Reha-Integrationsdienst BG/UV; Arbeitsplatzanalyse; Arbeitgeberintegration; berufliche Neuorientierung</x:v>
      </x:c>
      <x:c r="G87" s="116" t="str">
        <x:v>Bundesweiter Reha-Integrationsdienst</x:v>
      </x:c>
      <x:c r="H87" s="116" t="str">
        <x:v>Frahmredder 14</x:v>
      </x:c>
      <x:c r="I87" s="116" t="str">
        <x:v>22393</x:v>
      </x:c>
      <x:c r="J87" s="116" t="str">
        <x:v>Hamburg</x:v>
      </x:c>
      <x:c r="K87" s="116" t="str">
        <x:v>Hamburg</x:v>
      </x:c>
      <x:c r="L87" s="116" t="str">
        <x:v>Deutschland</x:v>
      </x:c>
      <x:c r="M87" s="116" t="str">
        <x:v>+49 40 7200408-0</x:v>
      </x:c>
      <x:c r="N87" s="116" t="str"/>
      <x:c r="O87" s="116" t="str">
        <x:v>info@inreha.net</x:v>
      </x:c>
      <x:c r="P87" s="116" t="str">
        <x:v>https://www.inreha.net/</x:v>
      </x:c>
      <x:c r="Q87" s="116" t="str">
        <x:v>InReha Reha-Management</x:v>
      </x:c>
      <x:c r="R87" s="116" t="str">
        <x:v>Arbeitsplatzanalyse; Arbeitgebergespräche; stufenweise Wiedereingliederung; Qualifizierung/Umschulung; neue berufliche Perspektive</x:v>
      </x:c>
      <x:c r="S87" s="116" t="str">
        <x:v>Unterstützung von BG-/UK-Reha-Managern ausdrücklich beschrieben</x:v>
      </x:c>
      <x:c r="T87" s="116" t="str">
        <x:v>bundesweit</x:v>
      </x:c>
      <x:c r="U87" s="135"/>
      <x:c r="V87" s="135"/>
      <x:c r="W87" s="116" t="str">
        <x:v>Sitzadresse geprüft; bundesweiter Dienst</x:v>
      </x:c>
      <x:c r="X87" s="116" t="str">
        <x:v>Überregionaler Dienst – HQ nicht für Distanz-/Umkreisranking</x:v>
      </x:c>
      <x:c r="Y87" s="116" t="str">
        <x:v>Neuaufnahme 4.4.x Arbeitsvermittlung</x:v>
      </x:c>
      <x:c r="Z87" s="116" t="str"/>
      <x:c r="AA87" s="116" t="str">
        <x:v>https://www.inreha.net/</x:v>
      </x:c>
      <x:c r="AB87" s="116" t="str"/>
      <x:c r="AC87" s="116" t="str">
        <x:v>2026-08-30</x:v>
      </x:c>
      <x:c r="AD87" s="116" t="str"/>
      <x:c r="AE87" s="116" t="str">
        <x:v>A+; besonders hoher BG-/UV-Bezug.</x:v>
      </x:c>
    </x:row>
    <x:row r="88">
      <x:c r="A88" s="116" t="str">
        <x:v>AV44-002</x:v>
      </x:c>
      <x:c r="B88" s="116" t="str">
        <x:v>CAMAS Integration &amp; Consulting – Nierstein</x:v>
      </x:c>
      <x:c r="C88" s="116" t="str">
        <x:v>Aufnehmen</x:v>
      </x:c>
      <x:c r="D88" s="116" t="str">
        <x:v>A+</x:v>
      </x:c>
      <x:c r="E88" s="116" t="str">
        <x:v>Arbeitsvermittlung / Reha-Integration</x:v>
      </x:c>
      <x:c r="F88" s="116" t="str">
        <x:v>Reha-Integrationsdienst Versicherung; berufliche Reha; Jobakquise; Coaching</x:v>
      </x:c>
      <x:c r="G88" s="116" t="str">
        <x:v>Reha-Beratung / berufliche Integration</x:v>
      </x:c>
      <x:c r="H88" s="116" t="str">
        <x:v>Mainzer Straße 44</x:v>
      </x:c>
      <x:c r="I88" s="116" t="str">
        <x:v>55283</x:v>
      </x:c>
      <x:c r="J88" s="116" t="str">
        <x:v>Nierstein</x:v>
      </x:c>
      <x:c r="K88" s="116" t="str">
        <x:v>Rheinland-Pfalz</x:v>
      </x:c>
      <x:c r="L88" s="116" t="str">
        <x:v>Deutschland</x:v>
      </x:c>
      <x:c r="M88" s="116" t="str">
        <x:v>06133 5000052</x:v>
      </x:c>
      <x:c r="N88" s="116" t="str">
        <x:v>06133 5000050</x:v>
      </x:c>
      <x:c r="O88" s="116" t="str">
        <x:v>info@camas-integration.de</x:v>
      </x:c>
      <x:c r="P88" s="116" t="str">
        <x:v>https://www.camas-integration.de/</x:v>
      </x:c>
      <x:c r="Q88" s="116" t="str">
        <x:v>CAMAS Nierstein</x:v>
      </x:c>
      <x:c r="R88" s="116" t="str">
        <x:v>Berufliche Rehabilitation; Reha-Management; Integration; Jobakquise; Coaching</x:v>
      </x:c>
      <x:c r="S88" s="116" t="str">
        <x:v>Beauftragung durch gesetzliche Unfall-/Sozialversicherer und private Versicherer ausdrücklich beschrieben</x:v>
      </x:c>
      <x:c r="T88" s="116" t="str">
        <x:v>Rheinland-Pfalz; Rhein-Main; bundesweit</x:v>
      </x:c>
      <x:c r="U88" s="135"/>
      <x:c r="V88" s="135"/>
      <x:c r="W88" s="116" t="str">
        <x:v>Standort/Kontakt geprüft; numerische Hauskoordinate offen</x:v>
      </x:c>
      <x:c r="X88" s="116" t="str">
        <x:v>Regionaler Kartenpunkt – nach Geocode-Freigabe</x:v>
      </x:c>
      <x:c r="Y88" s="116" t="str">
        <x:v>Neuaufnahme 4.4.x Arbeitsvermittlung</x:v>
      </x:c>
      <x:c r="Z88" s="116" t="str"/>
      <x:c r="AA88" s="116" t="str">
        <x:v>https://www.camas-integration.de/</x:v>
      </x:c>
      <x:c r="AB88" s="116" t="str">
        <x:v>Primäradresse; numerische Koordinate bewusst offen</x:v>
      </x:c>
      <x:c r="AC88" s="116" t="str">
        <x:v>2026-08-30</x:v>
      </x:c>
      <x:c r="AD88" s="116" t="str">
        <x:v>Mainzer Straße 44, 55283 Nierstein, Deutschland</x:v>
      </x:c>
      <x:c r="AE88" s="116" t="str">
        <x:v>A+; regionaler Südwest-Standort mit Versicherungs-/Reha-Bezug.</x:v>
      </x:c>
    </x:row>
    <x:row r="89">
      <x:c r="A89" s="116" t="str">
        <x:v>AV44-003</x:v>
      </x:c>
      <x:c r="B89" s="116" t="str">
        <x:v>RehaCare – Reha-Management / berufliche Integration / Pflege</x:v>
      </x:c>
      <x:c r="C89" s="116" t="str">
        <x:v>Aufnehmen</x:v>
      </x:c>
      <x:c r="D89" s="116" t="str">
        <x:v>A+</x:v>
      </x:c>
      <x:c r="E89" s="116" t="str">
        <x:v>Reha-Management / berufliche Integration / Pflege</x:v>
      </x:c>
      <x:c r="F89" s="116" t="str">
        <x:v>Arbeitsvermittlung / Jobakquise; Reha-Integrationsdienst Versicherung; Pflege- und Hilfsmittelmanagement; Pflegegutachten</x:v>
      </x:c>
      <x:c r="G89" s="116" t="str">
        <x:v>Versicherungsnaher Reha-/Integrationsdienst</x:v>
      </x:c>
      <x:c r="H89" s="116" t="str">
        <x:v>Kapuzinerstraße 9D</x:v>
      </x:c>
      <x:c r="I89" s="116" t="str">
        <x:v>80337</x:v>
      </x:c>
      <x:c r="J89" s="116" t="str">
        <x:v>München</x:v>
      </x:c>
      <x:c r="K89" s="116" t="str">
        <x:v>Bayern</x:v>
      </x:c>
      <x:c r="L89" s="116" t="str">
        <x:v>Deutschland</x:v>
      </x:c>
      <x:c r="M89" s="116" t="str">
        <x:v>+49 89 2000451-20</x:v>
      </x:c>
      <x:c r="N89" s="116" t="str"/>
      <x:c r="O89" s="116" t="str">
        <x:v>info@rehacare.net</x:v>
      </x:c>
      <x:c r="P89" s="116" t="str">
        <x:v>https://www.rehacare.net/</x:v>
      </x:c>
      <x:c r="Q89" s="116" t="str">
        <x:v>RehaCare</x:v>
      </x:c>
      <x:c r="R89" s="116" t="str">
        <x:v>Bewerbungstraining; Jobakquise; Arbeitsplatzanpassung; berufliche Neuorientierung/Qualifizierung; Pflege- und Hilfsmittelmanagement; Pflegegutachten</x:v>
      </x:c>
      <x:c r="S89" s="116" t="str">
        <x:v>Auftraggeber sind Versicherer; versicherungsnahes Reha-/Case-Management</x:v>
      </x:c>
      <x:c r="T89" s="116" t="str">
        <x:v>bundesweit</x:v>
      </x:c>
      <x:c r="U89" s="135"/>
      <x:c r="V89" s="135"/>
      <x:c r="W89" s="116" t="str">
        <x:v>Sitzadresse geprüft; bundesweiter Dienst</x:v>
      </x:c>
      <x:c r="X89" s="116" t="str">
        <x:v>Überregionaler Dienst – HQ nicht für Distanz-/Umkreisranking</x:v>
      </x:c>
      <x:c r="Y89" s="116" t="str">
        <x:v>Neuaufnahme 4.4.x – fachübergreifend</x:v>
      </x:c>
      <x:c r="Z89" s="116" t="str"/>
      <x:c r="AA89" s="116" t="str">
        <x:v>https://www.rehacare.net/</x:v>
      </x:c>
      <x:c r="AB89" s="116" t="str"/>
      <x:c r="AC89" s="116" t="str">
        <x:v>2026-08-30</x:v>
      </x:c>
      <x:c r="AD89" s="116" t="str"/>
      <x:c r="AE89" s="116" t="str">
        <x:v>A+; als ein logischer Anbieter cross-taggen, keine Dublette Pflege/Arbeitsvermittlung.</x:v>
      </x:c>
    </x:row>
    <x:row r="90">
      <x:c r="A90" s="116" t="str">
        <x:v>AV44-004</x:v>
      </x:c>
      <x:c r="B90" s="116" t="str">
        <x:v>IHR Rehabilitations-Dienst GmbH</x:v>
      </x:c>
      <x:c r="C90" s="116" t="str">
        <x:v>Aufnehmen</x:v>
      </x:c>
      <x:c r="D90" s="116" t="str">
        <x:v>A+</x:v>
      </x:c>
      <x:c r="E90" s="116" t="str">
        <x:v>Arbeitsvermittlung / Reha-Integration</x:v>
      </x:c>
      <x:c r="F90" s="116" t="str">
        <x:v>LTA; Arbeitsplatzsicherung; Jobvermittlung; Bewerbung; Arbeitsplatzanpassung; Berufspotential</x:v>
      </x:c>
      <x:c r="G90" s="116" t="str">
        <x:v>Bundesweiter Rehabilitationsdienst</x:v>
      </x:c>
      <x:c r="H90" s="116" t="str">
        <x:v>Theodor-Heuss-Ring 52</x:v>
      </x:c>
      <x:c r="I90" s="116" t="str">
        <x:v>50668</x:v>
      </x:c>
      <x:c r="J90" s="116" t="str">
        <x:v>Köln</x:v>
      </x:c>
      <x:c r="K90" s="116" t="str">
        <x:v>Nordrhein-Westfalen</x:v>
      </x:c>
      <x:c r="L90" s="116" t="str">
        <x:v>Deutschland</x:v>
      </x:c>
      <x:c r="M90" s="116" t="str">
        <x:v>+49 221 29231-600; +49 221 29231-655</x:v>
      </x:c>
      <x:c r="N90" s="116" t="str"/>
      <x:c r="O90" s="116" t="str">
        <x:v>info@ihr-rehadienst.com</x:v>
      </x:c>
      <x:c r="P90" s="116" t="str">
        <x:v>https://www.ihr-rehadienst.com/</x:v>
      </x:c>
      <x:c r="Q90" s="116" t="str">
        <x:v>Marc Schiffer / Case- und Personenschadenmanagement</x:v>
      </x:c>
      <x:c r="R90" s="116" t="str">
        <x:v>Arbeitsplatzerhalt; Arbeitsplatzsuche; Bewerbung; technische Anpassungen; regionaler Arbeitsmarkt; berufliches Integrationskonzept</x:v>
      </x:c>
      <x:c r="S90" s="116" t="str">
        <x:v>Rehabilitationsdienst für Versicherer/Personenschaden; LTA-Leistungen ausdrücklich beschrieben</x:v>
      </x:c>
      <x:c r="T90" s="116" t="str">
        <x:v>bundesweit</x:v>
      </x:c>
      <x:c r="U90" s="135"/>
      <x:c r="V90" s="135"/>
      <x:c r="W90" s="116" t="str">
        <x:v>Sitzadresse geprüft; bundesweiter Dienst</x:v>
      </x:c>
      <x:c r="X90" s="116" t="str">
        <x:v>Überregionaler Dienst – HQ nicht für Distanz-/Umkreisranking</x:v>
      </x:c>
      <x:c r="Y90" s="116" t="str">
        <x:v>Neuaufnahme 4.4.x Arbeitsvermittlung</x:v>
      </x:c>
      <x:c r="Z90" s="116" t="str"/>
      <x:c r="AA90" s="116" t="str">
        <x:v>https://www.ihr-rehadienst.com/</x:v>
      </x:c>
      <x:c r="AB90" s="116" t="str"/>
      <x:c r="AC90" s="116" t="str">
        <x:v>2026-08-30</x:v>
      </x:c>
      <x:c r="AD90" s="116" t="str"/>
      <x:c r="AE90" s="116" t="str">
        <x:v>A+; umfassender LTA-/Integrationsdienst.</x:v>
      </x:c>
    </x:row>
    <x:row r="91">
      <x:c r="A91" s="116" t="str">
        <x:v>AV44-005</x:v>
      </x:c>
      <x:c r="B91" s="116" t="str">
        <x:v>ReIntra GmbH</x:v>
      </x:c>
      <x:c r="C91" s="116" t="str">
        <x:v>Aufnehmen</x:v>
      </x:c>
      <x:c r="D91" s="116" t="str">
        <x:v>A</x:v>
      </x:c>
      <x:c r="E91" s="116" t="str">
        <x:v>Arbeitsvermittlung / Reha-Integration</x:v>
      </x:c>
      <x:c r="F91" s="116" t="str">
        <x:v>Reha-Management; berufliche Integration; BEM; Berufskunde</x:v>
      </x:c>
      <x:c r="G91" s="116" t="str">
        <x:v>Versicherungsnaher Reha-Management-Dienst</x:v>
      </x:c>
      <x:c r="H91" s="116" t="str">
        <x:v>Bahnhofstraße 16</x:v>
      </x:c>
      <x:c r="I91" s="116" t="str">
        <x:v>85774</x:v>
      </x:c>
      <x:c r="J91" s="116" t="str">
        <x:v>Unterföhring</x:v>
      </x:c>
      <x:c r="K91" s="116" t="str">
        <x:v>Bayern</x:v>
      </x:c>
      <x:c r="L91" s="116" t="str">
        <x:v>Deutschland</x:v>
      </x:c>
      <x:c r="M91" s="116" t="str">
        <x:v>+49 89 9901889-10</x:v>
      </x:c>
      <x:c r="N91" s="116" t="str">
        <x:v>+49 89 9901889-11</x:v>
      </x:c>
      <x:c r="O91" s="116" t="str">
        <x:v>info@reintra.com</x:v>
      </x:c>
      <x:c r="P91" s="116" t="str">
        <x:v>https://www.reintra.com/</x:v>
      </x:c>
      <x:c r="Q91" s="116" t="str">
        <x:v>Matthias Blaschke – Berufskunde</x:v>
      </x:c>
      <x:c r="R91" s="116" t="str">
        <x:v>Berufliche und soziale Reintegration; BEM; Berufskunde; Arbeitsplatz-/Perspektivenklärung</x:v>
      </x:c>
      <x:c r="S91" s="116" t="str">
        <x:v>Reha-Management im Auftrag von Versicherern; konkreter BG-Bezug fallbezogen prüfen</x:v>
      </x:c>
      <x:c r="T91" s="116" t="str">
        <x:v>bundesweit / überregional</x:v>
      </x:c>
      <x:c r="U91" s="135"/>
      <x:c r="V91" s="135"/>
      <x:c r="W91" s="116" t="str">
        <x:v>Sitzadresse geprüft; überregionaler Dienst</x:v>
      </x:c>
      <x:c r="X91" s="116" t="str">
        <x:v>Überregionaler Dienst – HQ nicht für Distanz-/Umkreisranking</x:v>
      </x:c>
      <x:c r="Y91" s="116" t="str">
        <x:v>Neuaufnahme 4.4.x Arbeitsvermittlung</x:v>
      </x:c>
      <x:c r="Z91" s="116" t="str"/>
      <x:c r="AA91" s="116" t="str">
        <x:v>https://www.reintra.com/</x:v>
      </x:c>
      <x:c r="AB91" s="116" t="str"/>
      <x:c r="AC91" s="116" t="str">
        <x:v>2026-08-30</x:v>
      </x:c>
      <x:c r="AD91" s="116" t="str"/>
      <x:c r="AE91" s="116" t="str">
        <x:v>A; versicherungsnah, konkrete UV-/BG-Beauftragung im Einzelfall prüfen.</x:v>
      </x:c>
    </x:row>
    <x:row r="92">
      <x:c r="A92" s="116" t="str">
        <x:v>AV44-006</x:v>
      </x:c>
      <x:c r="B92" s="116" t="str">
        <x:v>Donner + Partner – Karlsruhe</x:v>
      </x:c>
      <x:c r="C92" s="116" t="str">
        <x:v>Aufnehmen</x:v>
      </x:c>
      <x:c r="D92" s="116" t="str">
        <x:v>A</x:v>
      </x:c>
      <x:c r="E92" s="116" t="str">
        <x:v>Arbeitsvermittlung / Jobcoaching</x:v>
      </x:c>
      <x:c r="F92" s="116" t="str">
        <x:v>Jobcoaching; Integration in Arbeit; berufliche Qualifizierung</x:v>
      </x:c>
      <x:c r="G92" s="116" t="str">
        <x:v>Regionaler Integrations-/Bildungsträger</x:v>
      </x:c>
      <x:c r="H92" s="116" t="str">
        <x:v>Benzstraße 15</x:v>
      </x:c>
      <x:c r="I92" s="116" t="str">
        <x:v>76185</x:v>
      </x:c>
      <x:c r="J92" s="116" t="str">
        <x:v>Karlsruhe</x:v>
      </x:c>
      <x:c r="K92" s="116" t="str">
        <x:v>Baden-Württemberg</x:v>
      </x:c>
      <x:c r="L92" s="116" t="str">
        <x:v>Deutschland</x:v>
      </x:c>
      <x:c r="M92" s="116" t="str">
        <x:v>0721 8301044</x:v>
      </x:c>
      <x:c r="N92" s="116" t="str">
        <x:v>0721 8301223</x:v>
      </x:c>
      <x:c r="O92" s="116" t="str">
        <x:v>info.ka@donner-partner.eu</x:v>
      </x:c>
      <x:c r="P92" s="116" t="str">
        <x:v>https://www.donner-partner.de/</x:v>
      </x:c>
      <x:c r="Q92" s="116" t="str"/>
      <x:c r="R92" s="116" t="str">
        <x:v>Coaching; Integration in den Arbeitsmarkt; Qualifizierung</x:v>
      </x:c>
      <x:c r="S92" s="116" t="str">
        <x:v>Kein spezifischer BG-/UV-Nachweis – Beauftragung/Förderweg fallbezogen prüfen</x:v>
      </x:c>
      <x:c r="T92" s="116" t="str">
        <x:v>Karlsruhe / Nordbaden</x:v>
      </x:c>
      <x:c r="U92" s="135" t="n">
        <x:v>48.999878</x:v>
      </x:c>
      <x:c r="V92" s="135" t="n">
        <x:v>8.367066</x:v>
      </x:c>
      <x:c r="W92" s="116" t="str">
        <x:v>Standort und Koordinate auf Anbieter-Standortseite veröffentlicht</x:v>
      </x:c>
      <x:c r="X92" s="116" t="str">
        <x:v>Regionaler Kartenpunkt – Koordinate geprüft</x:v>
      </x:c>
      <x:c r="Y92" s="116" t="str">
        <x:v>Neuaufnahme 4.4.x Arbeitsvermittlung</x:v>
      </x:c>
      <x:c r="Z92" s="116" t="str"/>
      <x:c r="AA92" s="116" t="str">
        <x:v>https://www.donner-partner.de/</x:v>
      </x:c>
      <x:c r="AB92" s="116" t="str">
        <x:v>Anbieter-Standortseite</x:v>
      </x:c>
      <x:c r="AC92" s="116" t="str">
        <x:v>2026-08-30</x:v>
      </x:c>
      <x:c r="AD92" s="116" t="str">
        <x:v>Benzstraße 15, 76185 Karlsruhe, Deutschland</x:v>
      </x:c>
      <x:c r="AE92" s="116" t="str">
        <x:v>A regional; BG-Bezug nicht aus allgemeinem Coaching ableiten.</x:v>
      </x:c>
    </x:row>
    <x:row r="93">
      <x:c r="A93" s="116" t="str">
        <x:v>AV44-007</x:v>
      </x:c>
      <x:c r="B93" s="116" t="str">
        <x:v>Donner + Partner – Heilbronn</x:v>
      </x:c>
      <x:c r="C93" s="116" t="str">
        <x:v>Aufnehmen</x:v>
      </x:c>
      <x:c r="D93" s="116" t="str">
        <x:v>A</x:v>
      </x:c>
      <x:c r="E93" s="116" t="str">
        <x:v>Arbeitsvermittlung / Jobcoaching</x:v>
      </x:c>
      <x:c r="F93" s="116" t="str">
        <x:v>RIA – Rehabilitation und Integration in den Arbeitsmarkt; Jobcoaching; Arbeitserprobung</x:v>
      </x:c>
      <x:c r="G93" s="116" t="str">
        <x:v>Regionaler Integrations-/Bildungsträger</x:v>
      </x:c>
      <x:c r="H93" s="116" t="str">
        <x:v>Wilhelmstraße 23</x:v>
      </x:c>
      <x:c r="I93" s="116" t="str">
        <x:v>74072</x:v>
      </x:c>
      <x:c r="J93" s="116" t="str">
        <x:v>Heilbronn</x:v>
      </x:c>
      <x:c r="K93" s="116" t="str">
        <x:v>Baden-Württemberg</x:v>
      </x:c>
      <x:c r="L93" s="116" t="str">
        <x:v>Deutschland</x:v>
      </x:c>
      <x:c r="M93" s="116" t="str">
        <x:v>07131 38578-0</x:v>
      </x:c>
      <x:c r="N93" s="116" t="str">
        <x:v>07131 38578-19</x:v>
      </x:c>
      <x:c r="O93" s="116" t="str">
        <x:v>info.hn@donner-partner.eu</x:v>
      </x:c>
      <x:c r="P93" s="116" t="str">
        <x:v>https://www.donner-partner.de/</x:v>
      </x:c>
      <x:c r="Q93" s="116" t="str"/>
      <x:c r="R93" s="116" t="str">
        <x:v>RIA; Arbeitsplatzsuche; betriebliche Erprobung unter Berücksichtigung gesundheitlicher/persönlicher Bedingungen</x:v>
      </x:c>
      <x:c r="S93" s="116" t="str">
        <x:v>Reha-/Integrationsleistung vorhanden; kein spezifischer BG-/UV-Nachweis – Förderweg prüfen</x:v>
      </x:c>
      <x:c r="T93" s="116" t="str">
        <x:v>Heilbronn-Franken</x:v>
      </x:c>
      <x:c r="U93" s="135" t="n">
        <x:v>49.13579</x:v>
      </x:c>
      <x:c r="V93" s="135" t="n">
        <x:v>9.219184</x:v>
      </x:c>
      <x:c r="W93" s="116" t="str">
        <x:v>Standort und Koordinate auf Anbieter-Standortseite veröffentlicht</x:v>
      </x:c>
      <x:c r="X93" s="116" t="str">
        <x:v>Regionaler Kartenpunkt – Koordinate geprüft</x:v>
      </x:c>
      <x:c r="Y93" s="116" t="str">
        <x:v>Neuaufnahme 4.4.x Arbeitsvermittlung</x:v>
      </x:c>
      <x:c r="Z93" s="116" t="str"/>
      <x:c r="AA93" s="116" t="str">
        <x:v>https://www.donner-partner.de/</x:v>
      </x:c>
      <x:c r="AB93" s="116" t="str">
        <x:v>Anbieter-Standortseite</x:v>
      </x:c>
      <x:c r="AC93" s="116" t="str">
        <x:v>2026-08-30</x:v>
      </x:c>
      <x:c r="AD93" s="116" t="str">
        <x:v>Wilhelmstraße 23, 74072 Heilbronn, Deutschland</x:v>
      </x:c>
      <x:c r="AE93" s="116" t="str">
        <x:v>A regional; RIA fachlich besonders passend.</x:v>
      </x:c>
    </x:row>
    <x:row r="94">
      <x:c r="A94" s="116" t="str">
        <x:v>AV44-008</x:v>
      </x:c>
      <x:c r="B94" s="116" t="str">
        <x:v>Donner + Partner – Tauberbischofsheim</x:v>
      </x:c>
      <x:c r="C94" s="116" t="str">
        <x:v>Aufnehmen</x:v>
      </x:c>
      <x:c r="D94" s="116" t="str">
        <x:v>A</x:v>
      </x:c>
      <x:c r="E94" s="116" t="str">
        <x:v>Arbeitsvermittlung / Jobcoaching</x:v>
      </x:c>
      <x:c r="F94" s="116" t="str">
        <x:v>Jobcoaching; Integration erster Arbeitsmarkt</x:v>
      </x:c>
      <x:c r="G94" s="116" t="str">
        <x:v>Regionaler Integrations-/Bildungsträger</x:v>
      </x:c>
      <x:c r="H94" s="116" t="str">
        <x:v>Am Wört 1</x:v>
      </x:c>
      <x:c r="I94" s="116" t="str">
        <x:v>97941</x:v>
      </x:c>
      <x:c r="J94" s="116" t="str">
        <x:v>Tauberbischofsheim</x:v>
      </x:c>
      <x:c r="K94" s="116" t="str">
        <x:v>Baden-Württemberg</x:v>
      </x:c>
      <x:c r="L94" s="116" t="str">
        <x:v>Deutschland</x:v>
      </x:c>
      <x:c r="M94" s="116" t="str">
        <x:v>09341 8589680</x:v>
      </x:c>
      <x:c r="N94" s="116" t="str">
        <x:v>09341 8589684</x:v>
      </x:c>
      <x:c r="O94" s="116" t="str">
        <x:v>info.tbb@donner-partner.eu</x:v>
      </x:c>
      <x:c r="P94" s="116" t="str">
        <x:v>https://www.donner-partner.de/</x:v>
      </x:c>
      <x:c r="Q94" s="116" t="str"/>
      <x:c r="R94" s="116" t="str">
        <x:v>Individuelles Coaching; Integration in den ersten Arbeitsmarkt</x:v>
      </x:c>
      <x:c r="S94" s="116" t="str">
        <x:v>Kein spezifischer BG-/UV-Nachweis – Förderweg fallbezogen prüfen</x:v>
      </x:c>
      <x:c r="T94" s="116" t="str">
        <x:v>Main-Tauber / Taubertal</x:v>
      </x:c>
      <x:c r="U94" s="135" t="n">
        <x:v>49.624692116031866</x:v>
      </x:c>
      <x:c r="V94" s="135" t="n">
        <x:v>9.664777588449397</x:v>
      </x:c>
      <x:c r="W94" s="116" t="str">
        <x:v>Standort und Koordinate auf Anbieter-Standortseite veröffentlicht</x:v>
      </x:c>
      <x:c r="X94" s="116" t="str">
        <x:v>Regionaler Kartenpunkt – Koordinate geprüft</x:v>
      </x:c>
      <x:c r="Y94" s="116" t="str">
        <x:v>Neuaufnahme 4.4.x Arbeitsvermittlung</x:v>
      </x:c>
      <x:c r="Z94" s="116" t="str"/>
      <x:c r="AA94" s="116" t="str">
        <x:v>https://www.donner-partner.de/</x:v>
      </x:c>
      <x:c r="AB94" s="116" t="str">
        <x:v>Anbieter-Standortseite</x:v>
      </x:c>
      <x:c r="AC94" s="116" t="str">
        <x:v>2026-08-30</x:v>
      </x:c>
      <x:c r="AD94" s="116" t="str">
        <x:v>Am Wört 1, 97941 Tauberbischofsheim, Deutschland</x:v>
      </x:c>
      <x:c r="AE94" s="116" t="str">
        <x:v>A regional; schließt Taubertal-Lücke.</x:v>
      </x:c>
    </x:row>
    <x:row r="95">
      <x:c r="A95" s="116" t="str">
        <x:v>AV44-009</x:v>
      </x:c>
      <x:c r="B95" s="116" t="str">
        <x:v>Donner + Partner – Wertheim</x:v>
      </x:c>
      <x:c r="C95" s="116" t="str">
        <x:v>Aufnehmen</x:v>
      </x:c>
      <x:c r="D95" s="116" t="str">
        <x:v>A</x:v>
      </x:c>
      <x:c r="E95" s="116" t="str">
        <x:v>Arbeitsvermittlung / Jobcoaching</x:v>
      </x:c>
      <x:c r="F95" s="116" t="str">
        <x:v>Jobcoaching; Integration erster Arbeitsmarkt</x:v>
      </x:c>
      <x:c r="G95" s="116" t="str">
        <x:v>Regionaler Integrations-/Bildungsträger</x:v>
      </x:c>
      <x:c r="H95" s="116" t="str">
        <x:v>John-F.-Kennedy-Straße 4</x:v>
      </x:c>
      <x:c r="I95" s="116" t="str">
        <x:v>97877</x:v>
      </x:c>
      <x:c r="J95" s="116" t="str">
        <x:v>Wertheim</x:v>
      </x:c>
      <x:c r="K95" s="116" t="str">
        <x:v>Baden-Württemberg</x:v>
      </x:c>
      <x:c r="L95" s="116" t="str">
        <x:v>Deutschland</x:v>
      </x:c>
      <x:c r="M95" s="116" t="str">
        <x:v>09342 859932</x:v>
      </x:c>
      <x:c r="N95" s="116" t="str">
        <x:v>09342 917831</x:v>
      </x:c>
      <x:c r="O95" s="116" t="str">
        <x:v>info.wertheim@donner-partner.de</x:v>
      </x:c>
      <x:c r="P95" s="116" t="str">
        <x:v>https://www.donner-partner.de/</x:v>
      </x:c>
      <x:c r="Q95" s="116" t="str"/>
      <x:c r="R95" s="116" t="str">
        <x:v>Coaching; berufliche Orientierung; Integration in Arbeit</x:v>
      </x:c>
      <x:c r="S95" s="116" t="str">
        <x:v>Kein spezifischer BG-/UV-Nachweis – Förderweg fallbezogen prüfen</x:v>
      </x:c>
      <x:c r="T95" s="116" t="str">
        <x:v>Wertheim / Main-Tauber / Unterfranken-Achse</x:v>
      </x:c>
      <x:c r="U95" s="135" t="n">
        <x:v>49.75309</x:v>
      </x:c>
      <x:c r="V95" s="135" t="n">
        <x:v>9.49851</x:v>
      </x:c>
      <x:c r="W95" s="116" t="str">
        <x:v>Standort und Koordinate auf Anbieter-Standortseite veröffentlicht</x:v>
      </x:c>
      <x:c r="X95" s="116" t="str">
        <x:v>Regionaler Kartenpunkt – Koordinate geprüft</x:v>
      </x:c>
      <x:c r="Y95" s="116" t="str">
        <x:v>Neuaufnahme 4.4.x Arbeitsvermittlung</x:v>
      </x:c>
      <x:c r="Z95" s="116" t="str"/>
      <x:c r="AA95" s="116" t="str">
        <x:v>https://www.donner-partner.de/</x:v>
      </x:c>
      <x:c r="AB95" s="116" t="str">
        <x:v>Anbieter-Standortseite</x:v>
      </x:c>
      <x:c r="AC95" s="116" t="str">
        <x:v>2026-08-30</x:v>
      </x:c>
      <x:c r="AD95" s="116" t="str">
        <x:v>John-F.-Kennedy-Straße 4, 97877 Wertheim, Deutschland</x:v>
      </x:c>
      <x:c r="AE95" s="116" t="str">
        <x:v>A regional; relevante Ergänzung an der Unterfranken-Achse.</x:v>
      </x:c>
    </x:row>
    <x:row r="96">
      <x:c r="A96" s="116" t="str">
        <x:v>AV44-010</x:v>
      </x:c>
      <x:c r="B96" s="116" t="str">
        <x:v>Donner + Partner – Ingelheim</x:v>
      </x:c>
      <x:c r="C96" s="116" t="str">
        <x:v>Aufnehmen</x:v>
      </x:c>
      <x:c r="D96" s="116" t="str">
        <x:v>A</x:v>
      </x:c>
      <x:c r="E96" s="116" t="str">
        <x:v>Arbeitsvermittlung / Jobcoaching</x:v>
      </x:c>
      <x:c r="F96" s="116" t="str">
        <x:v>Jobcoaching; Integration; Qualifizierung</x:v>
      </x:c>
      <x:c r="G96" s="116" t="str">
        <x:v>Regionaler Integrations-/Bildungsträger</x:v>
      </x:c>
      <x:c r="H96" s="116" t="str">
        <x:v>Konrad-Adenauer-Straße 30</x:v>
      </x:c>
      <x:c r="I96" s="116" t="str">
        <x:v>55218</x:v>
      </x:c>
      <x:c r="J96" s="116" t="str">
        <x:v>Ingelheim am Rhein</x:v>
      </x:c>
      <x:c r="K96" s="116" t="str">
        <x:v>Rheinland-Pfalz</x:v>
      </x:c>
      <x:c r="L96" s="116" t="str">
        <x:v>Deutschland</x:v>
      </x:c>
      <x:c r="M96" s="116" t="str">
        <x:v>06132 6220060</x:v>
      </x:c>
      <x:c r="N96" s="116" t="str"/>
      <x:c r="O96" s="116" t="str">
        <x:v>info.ing@donner-partner.de</x:v>
      </x:c>
      <x:c r="P96" s="116" t="str">
        <x:v>https://www.donner-partner.de/</x:v>
      </x:c>
      <x:c r="Q96" s="116" t="str"/>
      <x:c r="R96" s="116" t="str">
        <x:v>Integration in den Arbeitsmarkt; Coaching; Qualifizierung</x:v>
      </x:c>
      <x:c r="S96" s="116" t="str">
        <x:v>Kein spezifischer BG-/UV-Nachweis – Förderweg fallbezogen prüfen</x:v>
      </x:c>
      <x:c r="T96" s="116" t="str">
        <x:v>Rheinhessen / Rhein-Main</x:v>
      </x:c>
      <x:c r="U96" s="135" t="n">
        <x:v>49.98168</x:v>
      </x:c>
      <x:c r="V96" s="135" t="n">
        <x:v>8.05281</x:v>
      </x:c>
      <x:c r="W96" s="116" t="str">
        <x:v>Standort und Koordinate auf Anbieter-Standortseite veröffentlicht</x:v>
      </x:c>
      <x:c r="X96" s="116" t="str">
        <x:v>Regionaler Kartenpunkt – Koordinate geprüft</x:v>
      </x:c>
      <x:c r="Y96" s="116" t="str">
        <x:v>Neuaufnahme 4.4.x Arbeitsvermittlung</x:v>
      </x:c>
      <x:c r="Z96" s="116" t="str"/>
      <x:c r="AA96" s="116" t="str">
        <x:v>https://www.donner-partner.de/</x:v>
      </x:c>
      <x:c r="AB96" s="116" t="str">
        <x:v>Anbieter-Standortseite</x:v>
      </x:c>
      <x:c r="AC96" s="116" t="str">
        <x:v>2026-08-30</x:v>
      </x:c>
      <x:c r="AD96" s="116" t="str">
        <x:v>Konrad-Adenauer-Straße 30, 55218 Ingelheim am Rhein, Deutschland</x:v>
      </x:c>
      <x:c r="AE96" s="116" t="str">
        <x:v>A regional; Rheinhessen-Ergänzung.</x:v>
      </x:c>
    </x:row>
    <x:row r="97">
      <x:c r="A97" s="116" t="str">
        <x:v>AV44-011</x:v>
      </x:c>
      <x:c r="B97" s="116" t="str">
        <x:v>WOT Work Opportunities Trainings – Ludwigshafen</x:v>
      </x:c>
      <x:c r="C97" s="116" t="str">
        <x:v>Aufnehmen</x:v>
      </x:c>
      <x:c r="D97" s="116" t="str">
        <x:v>B</x:v>
      </x:c>
      <x:c r="E97" s="116" t="str">
        <x:v>Arbeitsvermittlung / Jobcoaching</x:v>
      </x:c>
      <x:c r="F97" s="116" t="str">
        <x:v>AVGS; Jobcoaching; Bewerbungscoaching; Arbeitsmarktintegration</x:v>
      </x:c>
      <x:c r="G97" s="116" t="str">
        <x:v>Regionaler Coaching-/Integrationsanbieter</x:v>
      </x:c>
      <x:c r="H97" s="116" t="str">
        <x:v>Bismarckstraße 41</x:v>
      </x:c>
      <x:c r="I97" s="116" t="str">
        <x:v>67059</x:v>
      </x:c>
      <x:c r="J97" s="116" t="str">
        <x:v>Ludwigshafen am Rhein</x:v>
      </x:c>
      <x:c r="K97" s="116" t="str">
        <x:v>Rheinland-Pfalz</x:v>
      </x:c>
      <x:c r="L97" s="116" t="str">
        <x:v>Deutschland</x:v>
      </x:c>
      <x:c r="M97" s="116" t="str">
        <x:v>0621 33697020; +49 179 3241446</x:v>
      </x:c>
      <x:c r="N97" s="116" t="str"/>
      <x:c r="O97" s="116" t="str">
        <x:v>info@wot-trainings.com</x:v>
      </x:c>
      <x:c r="P97" s="116" t="str">
        <x:v>https://www.wot-trainings.com/</x:v>
      </x:c>
      <x:c r="Q97" s="116" t="str"/>
      <x:c r="R97" s="116" t="str">
        <x:v>Jobcoaching; Bewerbungscoaching; Arbeitsmarktintegration</x:v>
      </x:c>
      <x:c r="S97" s="116" t="str">
        <x:v>AVGS/Arbeitsagentur-/Jobcenter-Förderung belegt; BG-/UV-Bezug nicht belegt</x:v>
      </x:c>
      <x:c r="T97" s="116" t="str">
        <x:v>Ludwigshafen / Vorderpfalz / Rhein-Neckar</x:v>
      </x:c>
      <x:c r="U97" s="135"/>
      <x:c r="V97" s="135"/>
      <x:c r="W97" s="116" t="str">
        <x:v>Standortadresse geprüft; numerische Hauskoordinate offen</x:v>
      </x:c>
      <x:c r="X97" s="116" t="str">
        <x:v>Regionaler Kartenpunkt – nach Geocode-Freigabe</x:v>
      </x:c>
      <x:c r="Y97" s="116" t="str">
        <x:v>Neuaufnahme 4.4.x Arbeitsvermittlung</x:v>
      </x:c>
      <x:c r="Z97" s="116" t="str"/>
      <x:c r="AA97" s="116" t="str">
        <x:v>https://www.wot-trainings.com/</x:v>
      </x:c>
      <x:c r="AB97" s="116" t="str"/>
      <x:c r="AC97" s="116" t="str">
        <x:v>2026-08-30</x:v>
      </x:c>
      <x:c r="AD97" s="116" t="str">
        <x:v>Bismarckstraße 41, 67059 Ludwigshafen am Rhein, Deutschland</x:v>
      </x:c>
      <x:c r="AE97" s="116" t="str">
        <x:v>B; ergänzender AVGS-/Jobcoaching-Anbieter, nicht als BG-Spezialist darstellen.</x:v>
      </x:c>
    </x:row>
    <x:row r="98">
      <x:c r="A98" s="116" t="str">
        <x:v>AV44-012</x:v>
      </x:c>
      <x:c r="B98" s="116" t="str">
        <x:v>WOT Work Opportunities Trainings – Mannheim</x:v>
      </x:c>
      <x:c r="C98" s="116" t="str">
        <x:v>Aufnehmen</x:v>
      </x:c>
      <x:c r="D98" s="116" t="str">
        <x:v>B</x:v>
      </x:c>
      <x:c r="E98" s="116" t="str">
        <x:v>Arbeitsvermittlung / Jobcoaching</x:v>
      </x:c>
      <x:c r="F98" s="116" t="str">
        <x:v>AVGS; Jobcoaching; Bewerbungscoaching; Arbeitsmarktintegration</x:v>
      </x:c>
      <x:c r="G98" s="116" t="str">
        <x:v>Regionaler Coaching-/Integrationsanbieter</x:v>
      </x:c>
      <x:c r="H98" s="116" t="str">
        <x:v>G7, 22</x:v>
      </x:c>
      <x:c r="I98" s="116" t="str">
        <x:v>68159</x:v>
      </x:c>
      <x:c r="J98" s="116" t="str">
        <x:v>Mannheim</x:v>
      </x:c>
      <x:c r="K98" s="116" t="str">
        <x:v>Baden-Württemberg</x:v>
      </x:c>
      <x:c r="L98" s="116" t="str">
        <x:v>Deutschland</x:v>
      </x:c>
      <x:c r="M98" s="116" t="str">
        <x:v>+49 176 81412342</x:v>
      </x:c>
      <x:c r="N98" s="116" t="str"/>
      <x:c r="O98" s="116" t="str">
        <x:v>info@wot-trainings.com</x:v>
      </x:c>
      <x:c r="P98" s="116" t="str">
        <x:v>https://www.wot-trainings.com/</x:v>
      </x:c>
      <x:c r="Q98" s="116" t="str"/>
      <x:c r="R98" s="116" t="str">
        <x:v>Jobcoaching; Bewerbungscoaching; Arbeitsmarktintegration</x:v>
      </x:c>
      <x:c r="S98" s="116" t="str">
        <x:v>AVGS/Arbeitsagentur-/Jobcenter-Förderung belegt; BG-/UV-Bezug nicht belegt</x:v>
      </x:c>
      <x:c r="T98" s="116" t="str">
        <x:v>Mannheim / Rhein-Neckar</x:v>
      </x:c>
      <x:c r="U98" s="135"/>
      <x:c r="V98" s="135"/>
      <x:c r="W98" s="116" t="str">
        <x:v>Standortadresse geprüft; numerische Hauskoordinate offen</x:v>
      </x:c>
      <x:c r="X98" s="116" t="str">
        <x:v>Regionaler Kartenpunkt – nach Geocode-Freigabe</x:v>
      </x:c>
      <x:c r="Y98" s="116" t="str">
        <x:v>Neuaufnahme 4.4.x Arbeitsvermittlung</x:v>
      </x:c>
      <x:c r="Z98" s="116" t="str"/>
      <x:c r="AA98" s="116" t="str">
        <x:v>https://www.wot-trainings.com/</x:v>
      </x:c>
      <x:c r="AB98" s="116" t="str"/>
      <x:c r="AC98" s="116" t="str">
        <x:v>2026-08-30</x:v>
      </x:c>
      <x:c r="AD98" s="116" t="str">
        <x:v>G7 22, 68159 Mannheim, Deutschland</x:v>
      </x:c>
      <x:c r="AE98" s="116" t="str">
        <x:v>B; zweiter regionaler Standort.</x:v>
      </x:c>
    </x:row>
    <x:row r="99">
      <x:c r="A99" s="116" t="str">
        <x:v>AV44-013</x:v>
      </x:c>
      <x:c r="B99" s="116" t="str">
        <x:v>CBE Rhein-Neckar – Leimen</x:v>
      </x:c>
      <x:c r="C99" s="116" t="str">
        <x:v>Aufnehmen</x:v>
      </x:c>
      <x:c r="D99" s="116" t="str">
        <x:v>B</x:v>
      </x:c>
      <x:c r="E99" s="116" t="str">
        <x:v>Arbeitsvermittlung / Jobcoaching</x:v>
      </x:c>
      <x:c r="F99" s="116" t="str">
        <x:v>Private Arbeitsvermittlung; AVGS; Jobcoaching; Arbeitsmarktintegration</x:v>
      </x:c>
      <x:c r="G99" s="116" t="str">
        <x:v>Regionaler privater Arbeitsvermittler</x:v>
      </x:c>
      <x:c r="H99" s="116" t="str">
        <x:v>Kurpfalzstraße 27</x:v>
      </x:c>
      <x:c r="I99" s="116" t="str">
        <x:v>69181</x:v>
      </x:c>
      <x:c r="J99" s="116" t="str">
        <x:v>Leimen</x:v>
      </x:c>
      <x:c r="K99" s="116" t="str">
        <x:v>Baden-Württemberg</x:v>
      </x:c>
      <x:c r="L99" s="116" t="str">
        <x:v>Deutschland</x:v>
      </x:c>
      <x:c r="M99" s="116" t="str">
        <x:v>0176 34455465</x:v>
      </x:c>
      <x:c r="N99" s="116" t="str"/>
      <x:c r="O99" s="116" t="str">
        <x:v>info@cberheinneckar.de</x:v>
      </x:c>
      <x:c r="P99" s="116" t="str">
        <x:v>https://www.cberheinneckar.de/</x:v>
      </x:c>
      <x:c r="Q99" s="116" t="str"/>
      <x:c r="R99" s="116" t="str">
        <x:v>Private Arbeitsvermittlung; Rückkehr in den Arbeitsmarkt; Coaching</x:v>
      </x:c>
      <x:c r="S99" s="116" t="str">
        <x:v>AVGS/private Arbeitsvermittlung belegt; BG-/UV-Bezug nicht belegt</x:v>
      </x:c>
      <x:c r="T99" s="116" t="str">
        <x:v>Rhein-Neckar / Heidelberg</x:v>
      </x:c>
      <x:c r="U99" s="135"/>
      <x:c r="V99" s="135"/>
      <x:c r="W99" s="116" t="str">
        <x:v>Adresse/Kontakt geprüft; numerische Hauskoordinate offen</x:v>
      </x:c>
      <x:c r="X99" s="116" t="str">
        <x:v>Regionaler Kartenpunkt – nach Geocode-Freigabe</x:v>
      </x:c>
      <x:c r="Y99" s="116" t="str">
        <x:v>Neuaufnahme 4.4.x Arbeitsvermittlung</x:v>
      </x:c>
      <x:c r="Z99" s="116" t="str"/>
      <x:c r="AA99" s="116" t="str">
        <x:v>https://www.cberheinneckar.de/</x:v>
      </x:c>
      <x:c r="AB99" s="116" t="str"/>
      <x:c r="AC99" s="116" t="str">
        <x:v>2026-08-30</x:v>
      </x:c>
      <x:c r="AD99" s="116" t="str">
        <x:v>Kurpfalzstraße 27, 69181 Leimen, Deutschland</x:v>
      </x:c>
      <x:c r="AE99" s="116" t="str">
        <x:v>B; wohnortnahe Ergänzung Heidelberg/Rhein-Neckar.</x:v>
      </x:c>
    </x:row>
    <x:row r="100">
      <x:c r="A100" s="116" t="str">
        <x:v>AV44-014</x:v>
      </x:c>
      <x:c r="B100" s="116" t="str">
        <x:v>INQUA Institut – Mannheim / Online</x:v>
      </x:c>
      <x:c r="C100" s="116" t="str">
        <x:v>Aufnehmen</x:v>
      </x:c>
      <x:c r="D100" s="116" t="str">
        <x:v>B</x:v>
      </x:c>
      <x:c r="E100" s="116" t="str">
        <x:v>Arbeitsvermittlung / Jobcoaching</x:v>
      </x:c>
      <x:c r="F100" s="116" t="str">
        <x:v>AVGS-Karrierecoaching; berufliche Neuorientierung; Online-/Präsenzcoaching</x:v>
      </x:c>
      <x:c r="G100" s="116" t="str">
        <x:v>Coaching-Anbieter mit Mannheim-Angebot</x:v>
      </x:c>
      <x:c r="H100" s="116" t="str"/>
      <x:c r="I100" s="116" t="str"/>
      <x:c r="J100" s="116" t="str">
        <x:v>Mannheim / Online</x:v>
      </x:c>
      <x:c r="K100" s="116" t="str">
        <x:v>Baden-Württemberg</x:v>
      </x:c>
      <x:c r="L100" s="116" t="str">
        <x:v>Deutschland</x:v>
      </x:c>
      <x:c r="M100" s="116" t="str">
        <x:v>0800 1720178</x:v>
      </x:c>
      <x:c r="N100" s="116" t="str"/>
      <x:c r="O100" s="116" t="str">
        <x:v>info@inqua-institut.de</x:v>
      </x:c>
      <x:c r="P100" s="116" t="str">
        <x:v>https://www.inqua-institut.de/</x:v>
      </x:c>
      <x:c r="Q100" s="116" t="str"/>
      <x:c r="R100" s="116" t="str">
        <x:v>AVGS-Karrierecoaching; berufliche Neuorientierung; Präsenz Mannheim und online</x:v>
      </x:c>
      <x:c r="S100" s="116" t="str">
        <x:v>AVGS-Förderung belegt; BG-/UV-Bezug nicht belegt</x:v>
      </x:c>
      <x:c r="T100" s="116" t="str">
        <x:v>Mannheim / Rhein-Neckar + online bundesweit</x:v>
      </x:c>
      <x:c r="U100" s="135"/>
      <x:c r="V100" s="135"/>
      <x:c r="W100" s="116" t="str">
        <x:v>Mannheim-Angebot bestätigt; konkrete öffentliche Mannheim-Hausadresse nicht belastbar übernommen</x:v>
      </x:c>
      <x:c r="X100" s="116" t="str">
        <x:v>Serviceeintrag Mannheim/Online – kein künstlicher Kartenpunkt</x:v>
      </x:c>
      <x:c r="Y100" s="116" t="str">
        <x:v>Neuaufnahme 4.4.x Arbeitsvermittlung</x:v>
      </x:c>
      <x:c r="Z100" s="116" t="str"/>
      <x:c r="AA100" s="116" t="str">
        <x:v>https://www.inqua-institut.de/</x:v>
      </x:c>
      <x:c r="AB100" s="116" t="str"/>
      <x:c r="AC100" s="116" t="str">
        <x:v>2026-08-30</x:v>
      </x:c>
      <x:c r="AD100" s="116" t="str"/>
      <x:c r="AE100" s="116" t="str">
        <x:v>B; keine Berliner HQ-Koordinate für Mannheim-Service verwenden.</x:v>
      </x:c>
    </x:row>
    <x:row r="101">
      <x:c r="A101" s="116" t="str">
        <x:v>AV44-015</x:v>
      </x:c>
      <x:c r="B101" s="116" t="str">
        <x:v>JobCoaching Jetzt! – Reha Coaching</x:v>
      </x:c>
      <x:c r="C101" s="116" t="str">
        <x:v>Aufnehmen</x:v>
      </x:c>
      <x:c r="D101" s="116" t="str">
        <x:v>B</x:v>
      </x:c>
      <x:c r="E101" s="116" t="str">
        <x:v>Arbeitsvermittlung / Jobcoaching</x:v>
      </x:c>
      <x:c r="F101" s="116" t="str">
        <x:v>AVGS; Reha Coaching; beruflicher Neustart; Jobcoaching</x:v>
      </x:c>
      <x:c r="G101" s="116" t="str">
        <x:v>Überregionaler Coaching-Anbieter</x:v>
      </x:c>
      <x:c r="H101" s="116" t="str">
        <x:v>Berliner Straße 145</x:v>
      </x:c>
      <x:c r="I101" s="116" t="str">
        <x:v>14467</x:v>
      </x:c>
      <x:c r="J101" s="116" t="str">
        <x:v>Potsdam</x:v>
      </x:c>
      <x:c r="K101" s="116" t="str">
        <x:v>Brandenburg</x:v>
      </x:c>
      <x:c r="L101" s="116" t="str">
        <x:v>Deutschland</x:v>
      </x:c>
      <x:c r="M101" s="116" t="str">
        <x:v>0331 23700672</x:v>
      </x:c>
      <x:c r="N101" s="116" t="str"/>
      <x:c r="O101" s="116" t="str">
        <x:v>info@jobcoaching-jetzt.de</x:v>
      </x:c>
      <x:c r="P101" s="116" t="str">
        <x:v>https://www.jobcoaching-jetzt.de/</x:v>
      </x:c>
      <x:c r="Q101" s="116" t="str"/>
      <x:c r="R101" s="116" t="str">
        <x:v>Reha Coaching / Reha Neustart; Jobcoaching; AVGS-Maßnahmen</x:v>
      </x:c>
      <x:c r="S101" s="116" t="str">
        <x:v>AZAV/AVGS belegt; spezifischer BG-/UV-Auftrag nicht belegt</x:v>
      </x:c>
      <x:c r="T101" s="116" t="str">
        <x:v>überregional / online</x:v>
      </x:c>
      <x:c r="U101" s="135"/>
      <x:c r="V101" s="135"/>
      <x:c r="W101" s="116" t="str">
        <x:v>Sitzadresse geprüft; überregionaler Dienst</x:v>
      </x:c>
      <x:c r="X101" s="116" t="str">
        <x:v>Überregionaler Dienst – HQ nicht für Distanz-/Umkreisranking</x:v>
      </x:c>
      <x:c r="Y101" s="116" t="str">
        <x:v>Neuaufnahme 4.4.x Arbeitsvermittlung</x:v>
      </x:c>
      <x:c r="Z101" s="116" t="str"/>
      <x:c r="AA101" s="116" t="str">
        <x:v>https://www.jobcoaching-jetzt.de/</x:v>
      </x:c>
      <x:c r="AB101" s="116" t="str"/>
      <x:c r="AC101" s="116" t="str">
        <x:v>2026-08-30</x:v>
      </x:c>
      <x:c r="AD101" s="116" t="str"/>
      <x:c r="AE101" s="116" t="str">
        <x:v>B; als ergänzender Coachingdienst, nicht als BG-Spezialist.</x:v>
      </x:c>
    </x:row>
    <x:row r="102">
      <x:c r="A102" s="116" t="str">
        <x:v>AV-BEST-209</x:v>
      </x:c>
      <x:c r="B102" s="116" t="str">
        <x:v>AWO Mannheim – Arbeit &amp; Migration / Arbeitsvermittlung</x:v>
      </x:c>
      <x:c r="C102" s="116" t="str">
        <x:v>Bestand bestätigen</x:v>
      </x:c>
      <x:c r="D102" s="116" t="str">
        <x:v>A</x:v>
      </x:c>
      <x:c r="E102" s="116" t="str">
        <x:v>Arbeitsvermittlung / Jobakquise</x:v>
      </x:c>
      <x:c r="F102" s="116" t="str">
        <x:v>Zertifizierte private Arbeitsvermittlung; AVGS; Arbeitsmarktintegration</x:v>
      </x:c>
      <x:c r="G102" s="116" t="str">
        <x:v>Regionaler privater Arbeitsvermittler</x:v>
      </x:c>
      <x:c r="H102" s="116" t="str">
        <x:v>Donarstraße 45</x:v>
      </x:c>
      <x:c r="I102" s="116" t="str">
        <x:v>68305</x:v>
      </x:c>
      <x:c r="J102" s="116" t="str">
        <x:v>Mannheim</x:v>
      </x:c>
      <x:c r="K102" s="116" t="str">
        <x:v>Baden-Württemberg</x:v>
      </x:c>
      <x:c r="L102" s="116" t="str">
        <x:v>Deutschland</x:v>
      </x:c>
      <x:c r="M102" s="116" t="str">
        <x:v>0621 17028220</x:v>
      </x:c>
      <x:c r="N102" s="116" t="str"/>
      <x:c r="O102" s="116" t="str">
        <x:v>arbeitsvermittlung@awo-mannheim.de</x:v>
      </x:c>
      <x:c r="P102" s="116" t="str">
        <x:v>https://www.awo-mannheim.de/arbeitsvermittlung</x:v>
      </x:c>
      <x:c r="Q102" s="116" t="str"/>
      <x:c r="R102" s="116" t="str">
        <x:v>Zertifizierte private Arbeitsvermittlung; Vermittlung in sozialversicherungspflichtige Beschäftigung</x:v>
      </x:c>
      <x:c r="S102" s="116" t="str">
        <x:v>Reha-/BG-spezifische Erfahrung vor Einsatz prüfen</x:v>
      </x:c>
      <x:c r="T102" s="116" t="str">
        <x:v>Mannheim / Rhein-Neckar</x:v>
      </x:c>
      <x:c r="U102" s="135"/>
      <x:c r="V102" s="135"/>
      <x:c r="W102" s="116" t="str">
        <x:v>Altbestand adressgenau verifiziert</x:v>
      </x:c>
      <x:c r="X102" s="116" t="str">
        <x:v>Bestehenden Kartenpunkt beibehalten</x:v>
      </x:c>
      <x:c r="Y102" s="116" t="str">
        <x:v>Altbestand – verbindlich erhalten</x:v>
      </x:c>
      <x:c r="Z102" s="116" t="str"/>
      <x:c r="AA102" s="116" t="str">
        <x:v>https://www.awo-mannheim.de/arbeitsvermittlung</x:v>
      </x:c>
      <x:c r="AB102" s="116" t="str"/>
      <x:c r="AC102" s="116" t="str">
        <x:v>2026-08-30</x:v>
      </x:c>
      <x:c r="AD102" s="116" t="str"/>
      <x:c r="AE102" s="116" t="str">
        <x:v>Historischer A-Anbieter; darf beim Merge nicht verloren gehen.</x:v>
      </x:c>
    </x:row>
    <x:row r="103">
      <x:c r="A103" s="116" t="str">
        <x:v>AV-BEST-206</x:v>
      </x:c>
      <x:c r="B103" s="116" t="str">
        <x:v>IFA – Institut für Arbeitsvermittlung und Kommunikation</x:v>
      </x:c>
      <x:c r="C103" s="116" t="str">
        <x:v>Bestand bestätigen</x:v>
      </x:c>
      <x:c r="D103" s="116" t="str">
        <x:v>B</x:v>
      </x:c>
      <x:c r="E103" s="116" t="str">
        <x:v>Arbeitsvermittlung / Jobakquise</x:v>
      </x:c>
      <x:c r="F103" s="116" t="str">
        <x:v>Private Arbeitsvermittlung; berufliche Integration</x:v>
      </x:c>
      <x:c r="G103" s="116" t="str">
        <x:v>Regionaler privater Arbeitsvermittler</x:v>
      </x:c>
      <x:c r="H103" s="116" t="str">
        <x:v>Talstraße 32a</x:v>
      </x:c>
      <x:c r="I103" s="116" t="str">
        <x:v>68259</x:v>
      </x:c>
      <x:c r="J103" s="116" t="str">
        <x:v>Mannheim</x:v>
      </x:c>
      <x:c r="K103" s="116" t="str">
        <x:v>Baden-Württemberg</x:v>
      </x:c>
      <x:c r="L103" s="116" t="str">
        <x:v>Deutschland</x:v>
      </x:c>
      <x:c r="M103" s="116" t="str">
        <x:v>0621 87755180</x:v>
      </x:c>
      <x:c r="N103" s="116" t="str"/>
      <x:c r="O103" s="116" t="str">
        <x:v>info@ifa-arbeit.de</x:v>
      </x:c>
      <x:c r="P103" s="116" t="str">
        <x:v>https://www.ifa-arbeit.de/</x:v>
      </x:c>
      <x:c r="Q103" s="116" t="str"/>
      <x:c r="R103" s="116" t="str">
        <x:v>Private Arbeitsvermittlung; berufliche Integration</x:v>
      </x:c>
      <x:c r="S103" s="116" t="str">
        <x:v>Reha-Kompetenz/BG-Bezug nicht belegt – vor konkretem Einsatz prüfen</x:v>
      </x:c>
      <x:c r="T103" s="116" t="str">
        <x:v>Mannheim / Rhein-Neckar</x:v>
      </x:c>
      <x:c r="U103" s="135"/>
      <x:c r="V103" s="135"/>
      <x:c r="W103" s="116" t="str">
        <x:v>Altbestand adressgenau verifiziert</x:v>
      </x:c>
      <x:c r="X103" s="116" t="str">
        <x:v>Bestehenden Kartenpunkt beibehalten</x:v>
      </x:c>
      <x:c r="Y103" s="116" t="str">
        <x:v>Altbestand – verbindlich erhalten</x:v>
      </x:c>
      <x:c r="Z103" s="116" t="str"/>
      <x:c r="AA103" s="116" t="str">
        <x:v>https://www.ifa-arbeit.de/</x:v>
      </x:c>
      <x:c r="AB103" s="116" t="str"/>
      <x:c r="AC103" s="116" t="str">
        <x:v>2026-08-30</x:v>
      </x:c>
      <x:c r="AD103" s="116" t="str"/>
      <x:c r="AE103" s="116" t="str">
        <x:v>Historischer B-Anbieter; keine Reha-Erfahrung hinzuerfinden.</x:v>
      </x:c>
    </x:row>
    <x:row r="104">
      <x:c r="A104" s="116" t="str">
        <x:v>AV-BEST-210</x:v>
      </x:c>
      <x:c r="B104" s="116" t="str">
        <x:v>fast forward Karriereberatung GmbH</x:v>
      </x:c>
      <x:c r="C104" s="116" t="str">
        <x:v>Bestand bestätigen</x:v>
      </x:c>
      <x:c r="D104" s="116" t="str">
        <x:v>C</x:v>
      </x:c>
      <x:c r="E104" s="116" t="str">
        <x:v>Arbeitsvermittlung / Coaching</x:v>
      </x:c>
      <x:c r="F104" s="116" t="str">
        <x:v>Karriereberatung; Outplacement; berufliche Neuorientierung</x:v>
      </x:c>
      <x:c r="G104" s="116" t="str">
        <x:v>Ergänzungsanbieter Karriere-/Outplacementberatung</x:v>
      </x:c>
      <x:c r="H104" s="116" t="str"/>
      <x:c r="I104" s="116" t="str"/>
      <x:c r="J104" s="116" t="str">
        <x:v>Frankfurt am Main</x:v>
      </x:c>
      <x:c r="K104" s="116" t="str">
        <x:v>Hessen</x:v>
      </x:c>
      <x:c r="L104" s="116" t="str">
        <x:v>Deutschland</x:v>
      </x:c>
      <x:c r="M104" s="116" t="str">
        <x:v>0176 13207158</x:v>
      </x:c>
      <x:c r="N104" s="116" t="str"/>
      <x:c r="O104" s="116" t="str"/>
      <x:c r="P104" s="116" t="str"/>
      <x:c r="Q104" s="116" t="str"/>
      <x:c r="R104" s="116" t="str">
        <x:v>Karriereberatung; Outplacement; berufliche Neuorientierung</x:v>
      </x:c>
      <x:c r="S104" s="116" t="str">
        <x:v>Kein belastbarer Reha-/BG-Bezug – nur Ergänzungsanbieter</x:v>
      </x:c>
      <x:c r="T104" s="116" t="str">
        <x:v>Rhein-Main</x:v>
      </x:c>
      <x:c r="U104" s="135"/>
      <x:c r="V104" s="135"/>
      <x:c r="W104" s="116" t="str">
        <x:v>Altbestand; Standortdetails vor Einsatz erneut prüfen</x:v>
      </x:c>
      <x:c r="X104" s="116" t="str">
        <x:v>Bestand als Ergänzungsanbieter erhalten; nicht priorisieren</x:v>
      </x:c>
      <x:c r="Y104" s="116" t="str">
        <x:v>Altbestand – Reserve/Ergänzung</x:v>
      </x:c>
      <x:c r="Z104" s="116" t="str"/>
      <x:c r="AA104" s="116" t="str"/>
      <x:c r="AB104" s="116" t="str"/>
      <x:c r="AC104" s="116" t="str">
        <x:v>2026-08-30</x:v>
      </x:c>
      <x:c r="AD104" s="116" t="str"/>
      <x:c r="AE104" s="116" t="str">
        <x:v>Nicht löschen, aber klar unterhalb echter Reha-Integrationsdienste priorisieren.</x:v>
      </x:c>
    </x:row>
    <x:row r="105">
      <x:c r="A105" s="116" t="str">
        <x:v>SP44-001</x:v>
      </x:c>
      <x:c r="B105" s="116" t="str">
        <x:v>Fuß-Check GmbH – Saarlouis</x:v>
      </x:c>
      <x:c r="C105" s="116" t="str">
        <x:v>Bestand bestätigen</x:v>
      </x:c>
      <x:c r="D105" s="116" t="str">
        <x:v>A</x:v>
      </x:c>
      <x:c r="E105" s="116" t="str">
        <x:v>Hilfsmittel / Orthopädieschuhtechnik</x:v>
      </x:c>
      <x:c r="F105" s="116" t="str">
        <x:v>Orthopädische Fußversorgung; Einlagen; Sicherheitsschuhe; BG-relevante Versorgung</x:v>
      </x:c>
      <x:c r="G105" s="116" t="str">
        <x:v>Spezialanbieter Fuß-/Schuhversorgung</x:v>
      </x:c>
      <x:c r="H105" s="116" t="str">
        <x:v>Lothringer Straße 3-5</x:v>
      </x:c>
      <x:c r="I105" s="116" t="str">
        <x:v>66740</x:v>
      </x:c>
      <x:c r="J105" s="116" t="str">
        <x:v>Saarlouis</x:v>
      </x:c>
      <x:c r="K105" s="116" t="str">
        <x:v>Saarland</x:v>
      </x:c>
      <x:c r="L105" s="116" t="str">
        <x:v>Deutschland</x:v>
      </x:c>
      <x:c r="M105" s="116" t="str">
        <x:v>+49 6831 73216</x:v>
      </x:c>
      <x:c r="N105" s="116" t="str"/>
      <x:c r="O105" s="116" t="str">
        <x:v>info@fuss-check.de</x:v>
      </x:c>
      <x:c r="P105" s="116" t="str">
        <x:v>https://www.fuss-check.de/</x:v>
      </x:c>
      <x:c r="Q105" s="116" t="str"/>
      <x:c r="R105" s="116" t="str">
        <x:v>Orthopädische Fuß-/Schuhversorgung; Einlagen; Versorgung von Sicherheitsschuhen</x:v>
      </x:c>
      <x:c r="S105" s="116" t="str">
        <x:v>BG-relevante Sicherheitsschuhversorgung; aktuelle Website stellt BG-Informationen bereit</x:v>
      </x:c>
      <x:c r="T105" s="116" t="str">
        <x:v>Saarland; Pfalz; überregional</x:v>
      </x:c>
      <x:c r="U105" s="135"/>
      <x:c r="V105" s="135"/>
      <x:c r="W105" s="116" t="str">
        <x:v>Adresse/Kontakt geprüft; numerische Hauskoordinate in dieser Runde nicht neu gesetzt</x:v>
      </x:c>
      <x:c r="X105" s="116" t="str">
        <x:v>Bestehenden Spezialanbieter beibehalten</x:v>
      </x:c>
      <x:c r="Y105" s="116" t="str">
        <x:v>Alt-/Beschlussbestand – verbindlich erhalten</x:v>
      </x:c>
      <x:c r="Z105" s="116" t="str"/>
      <x:c r="AA105" s="116" t="str">
        <x:v>https://www.fuss-check.de/</x:v>
      </x:c>
      <x:c r="AB105" s="116" t="str"/>
      <x:c r="AC105" s="116" t="str">
        <x:v>2026-08-30</x:v>
      </x:c>
      <x:c r="AD105" s="116" t="str">
        <x:v>Lothringer Straße 3-5, 66740 Saarlouis, Deutschland</x:v>
      </x:c>
      <x:c r="AE105" s="116" t="str">
        <x:v>Die früher besprochene Sprechstunde an der BG Klinik Ludwigshafen erst wieder als Unterdienst führen, wenn aktuell eindeutig bestätigt.</x:v>
      </x:c>
    </x:row>
    <x:row r="106">
      <x:c r="A106" s="116" t="str">
        <x:v>AM44-001</x:v>
      </x:c>
      <x:c r="B106" s="116" t="str">
        <x:v>Arbeitsmedizin Speyer – Dr. med. Stephanie Grabs</x:v>
      </x:c>
      <x:c r="C106" s="116" t="str">
        <x:v>Bestand aktualisieren</x:v>
      </x:c>
      <x:c r="D106" s="116" t="str">
        <x:v>B</x:v>
      </x:c>
      <x:c r="E106" s="116" t="str">
        <x:v>Arbeitsmedizin</x:v>
      </x:c>
      <x:c r="F106" s="116" t="str">
        <x:v>Arbeitsmedizin; DGUV Vorschrift 2; Betriebsmedizin; Verkehrsmedizin; Strahlenschutz; Reisemedizin</x:v>
      </x:c>
      <x:c r="G106" s="116" t="str">
        <x:v>Arbeitsmedizinische Praxis</x:v>
      </x:c>
      <x:c r="H106" s="116" t="str">
        <x:v>Eselsdamm 46</x:v>
      </x:c>
      <x:c r="I106" s="116" t="str">
        <x:v>67346</x:v>
      </x:c>
      <x:c r="J106" s="116" t="str">
        <x:v>Speyer</x:v>
      </x:c>
      <x:c r="K106" s="116" t="str">
        <x:v>Rheinland-Pfalz</x:v>
      </x:c>
      <x:c r="L106" s="116" t="str">
        <x:v>Deutschland</x:v>
      </x:c>
      <x:c r="M106" s="116" t="str">
        <x:v>06232 6875659</x:v>
      </x:c>
      <x:c r="N106" s="116" t="str"/>
      <x:c r="O106" s="116" t="str">
        <x:v>info@arbeitsmedizin-speyer.de</x:v>
      </x:c>
      <x:c r="P106" s="116" t="str">
        <x:v>https://www.arbeitsmedizin-speyer.de/</x:v>
      </x:c>
      <x:c r="Q106" s="116" t="str">
        <x:v>Dr. med. Stephanie Grabs</x:v>
      </x:c>
      <x:c r="R106" s="116" t="str">
        <x:v>Arbeitsmedizinische Betreuung; DGUV Vorschrift 2; Betriebs-/Verkehrsmedizin</x:v>
      </x:c>
      <x:c r="S106" s="116" t="str">
        <x:v>DGUV-Vorschrift-2-Bezug; kein direkter BG-Spezialstatus ableiten</x:v>
      </x:c>
      <x:c r="T106" s="116" t="str">
        <x:v>Speyer / Vorderpfalz / Rhein-Neckar</x:v>
      </x:c>
      <x:c r="U106" s="135" t="n">
        <x:v>49.3217624</x:v>
      </x:c>
      <x:c r="V106" s="135" t="n">
        <x:v>8.4402816</x:v>
      </x:c>
      <x:c r="W106" s="116" t="str">
        <x:v>Adresse und numerische Hauskoordinate geprüft</x:v>
      </x:c>
      <x:c r="X106" s="116" t="str">
        <x:v>Kartenpunkt – Koordinate geprüft</x:v>
      </x:c>
      <x:c r="Y106" s="116" t="str">
        <x:v>Altbestand korrigieren</x:v>
      </x:c>
      <x:c r="Z106" s="116" t="str"/>
      <x:c r="AA106" s="116" t="str">
        <x:v>https://www.arbeitsmedizin-speyer.de/</x:v>
      </x:c>
      <x:c r="AB106" s="116" t="str">
        <x:v>OpenStreetMap/Nominatim; BsAfB e.V.; Bezirksärztekammer Pfalz</x:v>
      </x:c>
      <x:c r="AC106" s="116" t="str">
        <x:v>2026-09-01</x:v>
      </x:c>
      <x:c r="AD106" s="116" t="str">
        <x:v>Eselsdamm 46, 67346 Speyer, Deutschland</x:v>
      </x:c>
      <x:c r="AE106" s="116" t="str">
        <x:v>Verbindlich korrigiert: Dr. med. Stephanie Grabs, Eselsdamm 46; Hauskoordinate geprüft. Keine Dublette.</x:v>
      </x:c>
    </x:row>
    <x:row r="107">
      <x:c r="A107" s="116" t="str">
        <x:v>NP44-008</x:v>
      </x:c>
      <x:c r="B107" s="116" t="str">
        <x:v>Zentrum für Nervenheilkunde Mannheim (ZNS)</x:v>
      </x:c>
      <x:c r="C107" s="116" t="str">
        <x:v>Aufnehmen</x:v>
      </x:c>
      <x:c r="D107" s="116" t="str">
        <x:v>A+</x:v>
      </x:c>
      <x:c r="E107" s="116" t="str">
        <x:v>Neurologisch-psychiatrische Praxen</x:v>
      </x:c>
      <x:c r="F107" s="116" t="str">
        <x:v>Neurologie; Psychiatrie; Psychotherapie</x:v>
      </x:c>
      <x:c r="G107" s="116" t="str">
        <x:v>Großpraxis / Zentrum für Nervenheilkunde</x:v>
      </x:c>
      <x:c r="H107" s="116" t="str">
        <x:v>E2, 15</x:v>
      </x:c>
      <x:c r="I107" s="116" t="str">
        <x:v>68159</x:v>
      </x:c>
      <x:c r="J107" s="116" t="str">
        <x:v>Mannheim</x:v>
      </x:c>
      <x:c r="K107" s="116" t="str">
        <x:v>Baden-Württemberg</x:v>
      </x:c>
      <x:c r="L107" s="116" t="str">
        <x:v>Deutschland</x:v>
      </x:c>
      <x:c r="M107" s="116" t="str">
        <x:v>0621 120270</x:v>
      </x:c>
      <x:c r="N107" s="116" t="str">
        <x:v>0621 1202727</x:v>
      </x:c>
      <x:c r="O107" s="116" t="str">
        <x:v>info@zns-mannheim.de</x:v>
      </x:c>
      <x:c r="P107" s="116" t="str">
        <x:v>https://www.zns-mannheim.de/</x:v>
      </x:c>
      <x:c r="Q107" s="116" t="str"/>
      <x:c r="R107" s="116" t="str">
        <x:v>Umfassendes neurologisches und psychiatrisches Diagnostik-/Behandlungsspektrum</x:v>
      </x:c>
      <x:c r="S107" s="116" t="str"/>
      <x:c r="T107" s="116" t="str">
        <x:v>Mannheim / Rhein-Neckar</x:v>
      </x:c>
      <x:c r="U107" s="135"/>
      <x:c r="V107" s="135"/>
      <x:c r="W107" s="116" t="str">
        <x:v>Adresse/Kontakt geprüft; numerische Hauskoordinate offen</x:v>
      </x:c>
      <x:c r="X107" s="116" t="str">
        <x:v>Neuer Kartenpunkt – nach Geocode-Freigabe</x:v>
      </x:c>
      <x:c r="Y107" s="116" t="str">
        <x:v>Neuaufnahme 4.4.x Neuro-Psych</x:v>
      </x:c>
      <x:c r="Z107" s="116" t="str"/>
      <x:c r="AA107" s="116" t="str">
        <x:v>https://www.zns-mannheim.de/</x:v>
      </x:c>
      <x:c r="AB107" s="116" t="str"/>
      <x:c r="AC107" s="116" t="str">
        <x:v>2026-08-30</x:v>
      </x:c>
      <x:c r="AD107" s="116" t="str">
        <x:v>E2 15, 68159 Mannheim, Deutschland</x:v>
      </x:c>
      <x:c r="AE107" s="116" t="str">
        <x:v>A+; große Mehrarztstruktur, schließt Mannheim-Lücke.</x:v>
      </x:c>
    </x:row>
    <x:row r="108">
      <x:c r="A108" s="116" t="str">
        <x:v>NP44-009</x:v>
      </x:c>
      <x:c r="B108" s="116" t="str">
        <x:v>PiPP – Praxis für Psychiatrie, Psychotherapie und Neurologie Heidelberg</x:v>
      </x:c>
      <x:c r="C108" s="116" t="str">
        <x:v>Aufnehmen</x:v>
      </x:c>
      <x:c r="D108" s="116" t="str">
        <x:v>A</x:v>
      </x:c>
      <x:c r="E108" s="116" t="str">
        <x:v>Neurologisch-psychiatrische Praxen</x:v>
      </x:c>
      <x:c r="F108" s="116" t="str">
        <x:v>Psychiatrie; Psychotherapie; Neurologie</x:v>
      </x:c>
      <x:c r="G108" s="116" t="str">
        <x:v>Mehrarztpraxis / nervenärztliche Versorgung</x:v>
      </x:c>
      <x:c r="H108" s="116" t="str">
        <x:v>Rohrbacher Straße 149</x:v>
      </x:c>
      <x:c r="I108" s="116" t="str">
        <x:v>69126</x:v>
      </x:c>
      <x:c r="J108" s="116" t="str">
        <x:v>Heidelberg</x:v>
      </x:c>
      <x:c r="K108" s="116" t="str">
        <x:v>Baden-Württemberg</x:v>
      </x:c>
      <x:c r="L108" s="116" t="str">
        <x:v>Deutschland</x:v>
      </x:c>
      <x:c r="M108" s="116" t="str">
        <x:v>06221 29710</x:v>
      </x:c>
      <x:c r="N108" s="116" t="str">
        <x:v>06221 160333</x:v>
      </x:c>
      <x:c r="O108" s="116" t="str">
        <x:v>info@pipp-heidelberg.de</x:v>
      </x:c>
      <x:c r="P108" s="116" t="str">
        <x:v>https://www.pipp-heidelberg.de/</x:v>
      </x:c>
      <x:c r="Q108" s="116" t="str"/>
      <x:c r="R108" s="116" t="str">
        <x:v>Psychiatrie; Psychotherapie; Neurologie</x:v>
      </x:c>
      <x:c r="S108" s="116" t="str"/>
      <x:c r="T108" s="116" t="str">
        <x:v>Heidelberg / Rhein-Neckar</x:v>
      </x:c>
      <x:c r="U108" s="135"/>
      <x:c r="V108" s="135"/>
      <x:c r="W108" s="116" t="str">
        <x:v>Praxisadresse geprüft; numerische Hauskoordinate offen</x:v>
      </x:c>
      <x:c r="X108" s="116" t="str">
        <x:v>Neuer Kartenpunkt – nach Geocode-Freigabe</x:v>
      </x:c>
      <x:c r="Y108" s="116" t="str">
        <x:v>Neuaufnahme 4.4.x Neuro-Psych</x:v>
      </x:c>
      <x:c r="Z108" s="116" t="str"/>
      <x:c r="AA108" s="116" t="str">
        <x:v>https://www.pipp-heidelberg.de/</x:v>
      </x:c>
      <x:c r="AB108" s="116" t="str"/>
      <x:c r="AC108" s="116" t="str">
        <x:v>2026-08-30</x:v>
      </x:c>
      <x:c r="AD108" s="116" t="str">
        <x:v>Rohrbacher Straße 149, 69126 Heidelberg, Deutschland</x:v>
      </x:c>
      <x:c r="AE108" s="116" t="str">
        <x:v>A; zweiter Eingang/Geschäftsanschrift teilweise Görresstraße 22 – nicht als zweite Praxis anlegen.</x:v>
      </x:c>
    </x:row>
    <x:row r="109">
      <x:c r="A109" s="116" t="str">
        <x:v>NP44-010</x:v>
      </x:c>
      <x:c r="B109" s="116" t="str">
        <x:v>Praxis Denzel &amp; Ehrmann – Neurologie / Psychiatrie / Psychotherapie</x:v>
      </x:c>
      <x:c r="C109" s="116" t="str">
        <x:v>Aufnehmen</x:v>
      </x:c>
      <x:c r="D109" s="116" t="str">
        <x:v>A</x:v>
      </x:c>
      <x:c r="E109" s="116" t="str">
        <x:v>Neurologisch-psychiatrische Praxen</x:v>
      </x:c>
      <x:c r="F109" s="116" t="str">
        <x:v>Neurologie; Psychiatrie; Psychotherapie</x:v>
      </x:c>
      <x:c r="G109" s="116" t="str">
        <x:v>Nervenärztliche Gemeinschaftspraxis</x:v>
      </x:c>
      <x:c r="H109" s="116" t="str">
        <x:v>Gutenbergstraße 51</x:v>
      </x:c>
      <x:c r="I109" s="116" t="str">
        <x:v>74074</x:v>
      </x:c>
      <x:c r="J109" s="116" t="str">
        <x:v>Heilbronn</x:v>
      </x:c>
      <x:c r="K109" s="116" t="str">
        <x:v>Baden-Württemberg</x:v>
      </x:c>
      <x:c r="L109" s="116" t="str">
        <x:v>Deutschland</x:v>
      </x:c>
      <x:c r="M109" s="116" t="str">
        <x:v>07131 9458-58</x:v>
      </x:c>
      <x:c r="N109" s="116" t="str">
        <x:v>07131 9458-32</x:v>
      </x:c>
      <x:c r="O109" s="116" t="str"/>
      <x:c r="P109" s="116" t="str">
        <x:v>https://www.neurologie-heilbronn.de/</x:v>
      </x:c>
      <x:c r="Q109" s="116" t="str"/>
      <x:c r="R109" s="116" t="str">
        <x:v>Neurologie; Psychiatrie; Psychotherapie</x:v>
      </x:c>
      <x:c r="S109" s="116" t="str"/>
      <x:c r="T109" s="116" t="str">
        <x:v>Heilbronn-Franken</x:v>
      </x:c>
      <x:c r="U109" s="135"/>
      <x:c r="V109" s="135"/>
      <x:c r="W109" s="116" t="str">
        <x:v>Adresse/Kontakt geprüft; numerische Hauskoordinate offen</x:v>
      </x:c>
      <x:c r="X109" s="116" t="str">
        <x:v>Neuer Kartenpunkt – nach Geocode-Freigabe</x:v>
      </x:c>
      <x:c r="Y109" s="116" t="str">
        <x:v>Neuaufnahme 4.4.x Neuro-Psych</x:v>
      </x:c>
      <x:c r="Z109" s="116" t="str"/>
      <x:c r="AA109" s="116" t="str">
        <x:v>https://www.neurologie-heilbronn.de/</x:v>
      </x:c>
      <x:c r="AB109" s="116" t="str"/>
      <x:c r="AC109" s="116" t="str">
        <x:v>2026-08-30</x:v>
      </x:c>
      <x:c r="AD109" s="116" t="str">
        <x:v>Gutenbergstraße 51, 74074 Heilbronn, Deutschland</x:v>
      </x:c>
      <x:c r="AE109" s="116" t="str">
        <x:v>A; schließt die noch offene Heilbronn-Lücke.</x:v>
      </x:c>
    </x:row>
    <x:row r="110">
      <x:c r="A110" s="116" t="str">
        <x:v>NP44-011</x:v>
      </x:c>
      <x:c r="B110" s="116" t="str">
        <x:v>Praxis Dr. Stefan Unglaub et al. – Neurologie &amp; Psychiatrie</x:v>
      </x:c>
      <x:c r="C110" s="116" t="str">
        <x:v>Aufnehmen</x:v>
      </x:c>
      <x:c r="D110" s="116" t="str">
        <x:v>A</x:v>
      </x:c>
      <x:c r="E110" s="116" t="str">
        <x:v>Neurologisch-psychiatrische Praxen</x:v>
      </x:c>
      <x:c r="F110" s="116" t="str">
        <x:v>Neurologie; Psychiatrie</x:v>
      </x:c>
      <x:c r="G110" s="116" t="str">
        <x:v>Größere Mehrarztpraxis</x:v>
      </x:c>
      <x:c r="H110" s="116" t="str">
        <x:v>Pfingstweidstraße 3</x:v>
      </x:c>
      <x:c r="I110" s="116" t="str">
        <x:v>60316</x:v>
      </x:c>
      <x:c r="J110" s="116" t="str">
        <x:v>Frankfurt am Main</x:v>
      </x:c>
      <x:c r="K110" s="116" t="str">
        <x:v>Hessen</x:v>
      </x:c>
      <x:c r="L110" s="116" t="str">
        <x:v>Deutschland</x:v>
      </x:c>
      <x:c r="M110" s="116" t="str">
        <x:v>069 344425</x:v>
      </x:c>
      <x:c r="N110" s="116" t="str"/>
      <x:c r="O110" s="116" t="str"/>
      <x:c r="P110" s="116" t="str">
        <x:v>https://www.neurologie-frankfurt.de/</x:v>
      </x:c>
      <x:c r="Q110" s="116" t="str">
        <x:v>Dr. Stefan Unglaub; Isabella Jonik; Christine Schimmelpfeng-Fuchs; Anna Volgger Garrabou</x:v>
      </x:c>
      <x:c r="R110" s="116" t="str">
        <x:v>Neurologie; Psychiatrie; ambulante Mehrarztversorgung</x:v>
      </x:c>
      <x:c r="S110" s="116" t="str"/>
      <x:c r="T110" s="116" t="str">
        <x:v>Frankfurt / Rhein-Main</x:v>
      </x:c>
      <x:c r="U110" s="135"/>
      <x:c r="V110" s="135"/>
      <x:c r="W110" s="116" t="str">
        <x:v>Hauptstandort geprüft; numerische Hauskoordinate offen</x:v>
      </x:c>
      <x:c r="X110" s="116" t="str">
        <x:v>Neuer Hauptstandort – nach Geocode-Freigabe</x:v>
      </x:c>
      <x:c r="Y110" s="116" t="str">
        <x:v>Neuaufnahme 4.4.x Neuro-Psych</x:v>
      </x:c>
      <x:c r="Z110" s="116" t="str"/>
      <x:c r="AA110" s="116" t="str">
        <x:v>https://www.neurologie-frankfurt.de/</x:v>
      </x:c>
      <x:c r="AB110" s="116" t="str"/>
      <x:c r="AC110" s="116" t="str">
        <x:v>2026-08-30</x:v>
      </x:c>
      <x:c r="AD110" s="116" t="str">
        <x:v>Pfingstweidstraße 3, 60316 Frankfurt am Main, Deutschland</x:v>
      </x:c>
      <x:c r="AE110" s="116" t="str">
        <x:v>A; Hauptstandort Zentrum. Frankfurt-Höchst nicht zusätzlich als Pflichtpunkt angelegt.</x:v>
      </x:c>
    </x:row>
    <x:row r="111" ht="54" customHeight="1">
      <x:c r="A111" s="349" t="str">
        <x:v>RAD44-001</x:v>
      </x:c>
      <x:c r="B111" s="349" t="str">
        <x:v>HP Velotechnik GmbH &amp; Co. KG</x:v>
      </x:c>
      <x:c r="C111" s="349" t="str">
        <x:v>Aufnehmen</x:v>
      </x:c>
      <x:c r="D111" s="349" t="str">
        <x:v>A+</x:v>
      </x:c>
      <x:c r="E111" s="349" t="str">
        <x:v>Mobilität / Fahrrad- &amp; Spezialradanpassung</x:v>
      </x:c>
      <x:c r="F111" s="349" t="str">
        <x:v>Spezialrad; Liegedreirad; Einhandbedienung; Reha-Zubehör; Handbike-Antrieb</x:v>
      </x:c>
      <x:c r="G111" s="349" t="str">
        <x:v>Reha-/Spezialradhersteller</x:v>
      </x:c>
      <x:c r="H111" s="349" t="str">
        <x:v>Kapellenstraße 49</x:v>
      </x:c>
      <x:c r="I111" s="349" t="str">
        <x:v>65830</x:v>
      </x:c>
      <x:c r="J111" s="349" t="str">
        <x:v>Kriftel</x:v>
      </x:c>
      <x:c r="K111" s="349" t="str">
        <x:v>Hessen</x:v>
      </x:c>
      <x:c r="L111" s="349" t="str">
        <x:v>Deutschland</x:v>
      </x:c>
      <x:c r="M111" s="349" t="str">
        <x:v>+49 6192 97992-0</x:v>
      </x:c>
      <x:c r="N111" s="349" t="str">
        <x:v>+49 6192 97992-299</x:v>
      </x:c>
      <x:c r="O111" s="349" t="str">
        <x:v>mail@hpvelotechnik.com</x:v>
      </x:c>
      <x:c r="P111" s="349" t="str">
        <x:v>https://www.hpvelotechnik.com/de/liegeraeder-trikes/liegerad-zubehoer/reha-und-therapie-medizinische-hilfsmittel-und-zubehoer-fuer-besondere-beduerfnisse/</x:v>
      </x:c>
      <x:c r="Q111" s="349"/>
      <x:c r="R111" s="349" t="str">
        <x:v>Einhandbedienung für Schaltung/Bremsen; Reha-/Therapiezubehör; Handauflagen; Handantrieb Hands-On-Cycle; individuell konfigurierbare Trikes.</x:v>
      </x:c>
      <x:c r="S111" s="349" t="str">
        <x:v>Reha-/Hilfsmittelbezug belegt; Kostenträgerklärung fallbezogen</x:v>
      </x:c>
      <x:c r="T111" s="349" t="str">
        <x:v>Rhein-Main + überregional über Fachhändler</x:v>
      </x:c>
      <x:c r="U111" s="349"/>
      <x:c r="V111" s="349"/>
      <x:c r="W111" s="349" t="str">
        <x:v>Adresse/Kontakt geprüft; numerische Hauskoordinate offen</x:v>
      </x:c>
      <x:c r="X111" s="349" t="str">
        <x:v>Hersteller-Kartenpunkt – Bezug für Endkunden über Fachhändler</x:v>
      </x:c>
      <x:c r="Y111" s="349" t="str">
        <x:v>Neuaufnahme 31.08.2026</x:v>
      </x:c>
      <x:c r="Z111" s="349" t="str">
        <x:v>HASE BIKES; regionale Dreirad-Zentren</x:v>
      </x:c>
      <x:c r="AA111" s="349" t="str">
        <x:v>https://www.hpvelotechnik.com/de/ueber-uns/impressum/</x:v>
      </x:c>
      <x:c r="AB111" s="349"/>
      <x:c r="AC111" s="349" t="str">
        <x:v>2026-08-31</x:v>
      </x:c>
      <x:c r="AD111" s="349" t="str">
        <x:v>Kapellenstraße 49, 65830 Kriftel, Deutschland</x:v>
      </x:c>
      <x:c r="AE111" s="349" t="str">
        <x:v>A+ wegen dokumentierter Einhandbedienung und Reha-/Therapieoptionen; Hersteller verkauft Räder primär über Fachhändler.</x:v>
      </x:c>
    </x:row>
    <x:row r="112" ht="54" customHeight="1">
      <x:c r="A112" s="349" t="str">
        <x:v>RAD44-002</x:v>
      </x:c>
      <x:c r="B112" s="349" t="str">
        <x:v>HEIM – Dreiradzentrum Neckaralb</x:v>
      </x:c>
      <x:c r="C112" s="349" t="str">
        <x:v>Aufnehmen</x:v>
      </x:c>
      <x:c r="D112" s="349" t="str">
        <x:v>A+</x:v>
      </x:c>
      <x:c r="E112" s="349" t="str">
        <x:v>Mobilität / Fahrrad- &amp; Spezialradanpassung</x:v>
      </x:c>
      <x:c r="F112" s="349" t="str">
        <x:v>Spezialrad; Therapierad; Dreirad; Rollstuhlfahrrad; individuelle Anpassung</x:v>
      </x:c>
      <x:c r="G112" s="349" t="str">
        <x:v>Regionaler Spezialrad-Fachbetrieb</x:v>
      </x:c>
      <x:c r="H112" s="349" t="str">
        <x:v>Bertha-Benz-Straße 1</x:v>
      </x:c>
      <x:c r="I112" s="349" t="str">
        <x:v>72141</x:v>
      </x:c>
      <x:c r="J112" s="349" t="str">
        <x:v>Walddorfhäslach</x:v>
      </x:c>
      <x:c r="K112" s="349" t="str">
        <x:v>Baden-Württemberg</x:v>
      </x:c>
      <x:c r="L112" s="349" t="str">
        <x:v>Deutschland</x:v>
      </x:c>
      <x:c r="M112" s="349" t="str">
        <x:v>07127 3041</x:v>
      </x:c>
      <x:c r="N112" s="349"/>
      <x:c r="O112" s="349" t="str">
        <x:v>info@dreiradcenter.de</x:v>
      </x:c>
      <x:c r="P112" s="349" t="str">
        <x:v>https://dreiradcenter.de/</x:v>
      </x:c>
      <x:c r="Q112" s="349"/>
      <x:c r="R112" s="349" t="str">
        <x:v>Beratung und Probefahrt; individuelle Anpassung von Sitz, Lenker, Pedalen und Haltesystemen; E-Unterstützung; Umbauten; Werkstatt, Wartung und Service.</x:v>
      </x:c>
      <x:c r="S112" s="349" t="str">
        <x:v>Reha-/Hilfsmittelbezug belegt; Kostenträgerklärung fallbezogen</x:v>
      </x:c>
      <x:c r="T112" s="349" t="str">
        <x:v>Neckar-Alb / Stuttgart / Südwest</x:v>
      </x:c>
      <x:c r="U112" s="349"/>
      <x:c r="V112" s="349"/>
      <x:c r="W112" s="349" t="str">
        <x:v>Adresse/Kontakt geprüft; numerische Hauskoordinate offen</x:v>
      </x:c>
      <x:c r="X112" s="349" t="str">
        <x:v>Regionaler Kartenpunkt – nach Geocode-Freigabe</x:v>
      </x:c>
      <x:c r="Y112" s="349" t="str">
        <x:v>Neuaufnahme 31.08.2026</x:v>
      </x:c>
      <x:c r="Z112" s="349" t="str">
        <x:v>HASE BIKES; vanRaam</x:v>
      </x:c>
      <x:c r="AA112" s="349" t="str">
        <x:v>https://dreiradcenter.de/</x:v>
      </x:c>
      <x:c r="AB112" s="349"/>
      <x:c r="AC112" s="349" t="str">
        <x:v>2026-08-31</x:v>
      </x:c>
      <x:c r="AD112" s="349" t="str">
        <x:v>Bertha-Benz-Straße 1, 72141 Walddorfhäslach, Deutschland</x:v>
      </x:c>
      <x:c r="AE112" s="349" t="str">
        <x:v>A+ als regionaler Fachbetrieb mit ausdrücklich individuellen Anpassungen, Umbauunterstützung und Werkstattservice.</x:v>
      </x:c>
    </x:row>
    <x:row r="113" ht="54" customHeight="1">
      <x:c r="A113" s="349" t="str">
        <x:v>RAD44-003</x:v>
      </x:c>
      <x:c r="B113" s="349" t="str">
        <x:v>Alb-Store – Eislingen</x:v>
      </x:c>
      <x:c r="C113" s="349" t="str">
        <x:v>Aufnehmen</x:v>
      </x:c>
      <x:c r="D113" s="349" t="str">
        <x:v>A</x:v>
      </x:c>
      <x:c r="E113" s="349" t="str">
        <x:v>Mobilität / Fahrrad- &amp; Spezialradanpassung</x:v>
      </x:c>
      <x:c r="F113" s="349" t="str">
        <x:v>Spezialrad; Dreirad; Therapierad; Handbike; Rollstuhl-Zuggerät; individuelle Anpassung</x:v>
      </x:c>
      <x:c r="G113" s="349" t="str">
        <x:v>Spezialrad-/Reha-Fachbetrieb</x:v>
      </x:c>
      <x:c r="H113" s="349" t="str">
        <x:v>Kornbergstraße 6</x:v>
      </x:c>
      <x:c r="I113" s="349" t="str">
        <x:v>73054</x:v>
      </x:c>
      <x:c r="J113" s="349" t="str">
        <x:v>Eislingen/Fils</x:v>
      </x:c>
      <x:c r="K113" s="349" t="str">
        <x:v>Baden-Württemberg</x:v>
      </x:c>
      <x:c r="L113" s="349" t="str">
        <x:v>Deutschland</x:v>
      </x:c>
      <x:c r="M113" s="349" t="str">
        <x:v>07161 87845</x:v>
      </x:c>
      <x:c r="N113" s="349"/>
      <x:c r="O113" s="349" t="str">
        <x:v>info@alb-store.de</x:v>
      </x:c>
      <x:c r="P113" s="349" t="str">
        <x:v>https://www.alb-store.de/produkte/</x:v>
      </x:c>
      <x:c r="Q113" s="349"/>
      <x:c r="R113" s="349" t="str">
        <x:v>Dreiräder für Erwachsene; Handbike-/Rollstuhl-Zubehör; Elektroantriebe; Therapieräder/BerkelBike; Probefahrt; individuelle Konfiguration.</x:v>
      </x:c>
      <x:c r="S113" s="349" t="str">
        <x:v>Reha-/Hilfsmittelbezug belegt; Kostenträgerklärung fallbezogen</x:v>
      </x:c>
      <x:c r="T113" s="349" t="str">
        <x:v>Göppingen / Stuttgart-Ost / überregional</x:v>
      </x:c>
      <x:c r="U113" s="349"/>
      <x:c r="V113" s="349"/>
      <x:c r="W113" s="349" t="str">
        <x:v>Leistungsangebot primär geprüft; Adresse über Fachhändlerverzeichnis bestätigt; numerische Hauskoordinate offen</x:v>
      </x:c>
      <x:c r="X113" s="349" t="str">
        <x:v>Regionaler Kartenpunkt – nach Geocode-Freigabe</x:v>
      </x:c>
      <x:c r="Y113" s="349" t="str">
        <x:v>Neuaufnahme 31.08.2026</x:v>
      </x:c>
      <x:c r="Z113" s="349" t="str">
        <x:v>PRO ACTIV</x:v>
      </x:c>
      <x:c r="AA113" s="349" t="str">
        <x:v>https://www.alb-store.de/produkte/</x:v>
      </x:c>
      <x:c r="AB113" s="349"/>
      <x:c r="AC113" s="349" t="str">
        <x:v>2026-08-31</x:v>
      </x:c>
      <x:c r="AD113" s="349" t="str">
        <x:v>Kornbergstraße 6, 73054 Eislingen/Fils, Deutschland</x:v>
      </x:c>
      <x:c r="AE113" s="349" t="str">
        <x:v>Keine normale Fahrradhandlung als Füllpunkt: Aufnahme wegen ausgewiesenem Handicap-/Therapierad-, Handbike- und Rollstuhl-Zubehörangebot.</x:v>
      </x:c>
    </x:row>
    <x:row r="114" ht="54" customHeight="1">
      <x:c r="A114" s="349" t="str">
        <x:v>RAD44-004</x:v>
      </x:c>
      <x:c r="B114" s="349" t="str">
        <x:v>Dreirad-Zentrum Heidelberg</x:v>
      </x:c>
      <x:c r="C114" s="349" t="str">
        <x:v>Aufnehmen</x:v>
      </x:c>
      <x:c r="D114" s="349" t="str">
        <x:v>A</x:v>
      </x:c>
      <x:c r="E114" s="349" t="str">
        <x:v>Mobilität / Fahrrad- &amp; Spezialradanpassung</x:v>
      </x:c>
      <x:c r="F114" s="349" t="str">
        <x:v>Dreirad; Elektro-Dreirad; Spezialrad; individuelle Ausstattung; Werkstatt</x:v>
      </x:c>
      <x:c r="G114" s="349" t="str">
        <x:v>Regionaler Dreirad-Spezialist</x:v>
      </x:c>
      <x:c r="H114" s="349" t="str">
        <x:v>Am Taubenfeld 31</x:v>
      </x:c>
      <x:c r="I114" s="349" t="str">
        <x:v>69123</x:v>
      </x:c>
      <x:c r="J114" s="349" t="str">
        <x:v>Heidelberg</x:v>
      </x:c>
      <x:c r="K114" s="349" t="str">
        <x:v>Baden-Württemberg</x:v>
      </x:c>
      <x:c r="L114" s="349" t="str">
        <x:v>Deutschland</x:v>
      </x:c>
      <x:c r="M114" s="349" t="str">
        <x:v>06221 7538221</x:v>
      </x:c>
      <x:c r="N114" s="349" t="str">
        <x:v>06221 7538222</x:v>
      </x:c>
      <x:c r="O114" s="349" t="str">
        <x:v>heidelberg@dreirad-zentrum.de</x:v>
      </x:c>
      <x:c r="P114" s="349" t="str">
        <x:v>https://dreirad-zentrum.de/heidelberg/</x:v>
      </x:c>
      <x:c r="Q114" s="349"/>
      <x:c r="R114" s="349" t="str">
        <x:v>Bedarfsorientierte Dreiradauswahl; Probefahrt; individuelle Zubehör-/Ausstattungsanpassung; Werkstatt und Service; Abhol-/Lieferservice.</x:v>
      </x:c>
      <x:c r="S114" s="349" t="str">
        <x:v>Hilfsmittel-/Reha-Eignung modell- und fallbezogen</x:v>
      </x:c>
      <x:c r="T114" s="349" t="str">
        <x:v>Rhein-Neckar</x:v>
      </x:c>
      <x:c r="U114" s="349"/>
      <x:c r="V114" s="349"/>
      <x:c r="W114" s="349" t="str">
        <x:v>Standortadresse/Kontakt geprüft; numerische Hauskoordinate offen</x:v>
      </x:c>
      <x:c r="X114" s="349" t="str">
        <x:v>Regionaler Kartenpunkt – nach Geocode-Freigabe</x:v>
      </x:c>
      <x:c r="Y114" s="349" t="str">
        <x:v>Neuaufnahme 31.08.2026</x:v>
      </x:c>
      <x:c r="Z114" s="349" t="str">
        <x:v>HASE BIKES; vanRaam; pfautec</x:v>
      </x:c>
      <x:c r="AA114" s="349" t="str">
        <x:v>https://dreirad-zentrum.de/heidelberg/</x:v>
      </x:c>
      <x:c r="AB114" s="349"/>
      <x:c r="AC114" s="349" t="str">
        <x:v>2026-08-31</x:v>
      </x:c>
      <x:c r="AD114" s="349" t="str">
        <x:v>Am Taubenfeld 31, 69123 Heidelberg, Deutschland</x:v>
      </x:c>
      <x:c r="AE114" s="349" t="str">
        <x:v>Gezielter Spezialradpunkt; nicht als allgemeiner Fahrradladen kategorisieren.</x:v>
      </x:c>
    </x:row>
    <x:row r="115" ht="54" customHeight="1">
      <x:c r="A115" s="349" t="str">
        <x:v>RAD44-005</x:v>
      </x:c>
      <x:c r="B115" s="349" t="str">
        <x:v>Dreirad-Zentrum Landau</x:v>
      </x:c>
      <x:c r="C115" s="349" t="str">
        <x:v>Aufnehmen</x:v>
      </x:c>
      <x:c r="D115" s="349" t="str">
        <x:v>A</x:v>
      </x:c>
      <x:c r="E115" s="349" t="str">
        <x:v>Mobilität / Fahrrad- &amp; Spezialradanpassung</x:v>
      </x:c>
      <x:c r="F115" s="349" t="str">
        <x:v>Dreirad; Elektro-Dreirad; Spezialrad; Handicap-Mobilität; Werkstatt</x:v>
      </x:c>
      <x:c r="G115" s="349" t="str">
        <x:v>Regionaler Dreirad-Spezialist</x:v>
      </x:c>
      <x:c r="H115" s="349" t="str">
        <x:v>Albert-Einstein-Straße 18 a</x:v>
      </x:c>
      <x:c r="I115" s="349" t="str">
        <x:v>76829</x:v>
      </x:c>
      <x:c r="J115" s="349" t="str">
        <x:v>Landau in der Pfalz</x:v>
      </x:c>
      <x:c r="K115" s="349" t="str">
        <x:v>Rheinland-Pfalz</x:v>
      </x:c>
      <x:c r="L115" s="349" t="str">
        <x:v>Deutschland</x:v>
      </x:c>
      <x:c r="M115" s="349" t="str">
        <x:v>06341 9677866</x:v>
      </x:c>
      <x:c r="N115" s="349" t="str">
        <x:v>06341 9685513</x:v>
      </x:c>
      <x:c r="O115" s="349" t="str">
        <x:v>landau@dreirad-zentrum.de</x:v>
      </x:c>
      <x:c r="P115" s="349" t="str">
        <x:v>https://dreirad-zentrum.de/landau/</x:v>
      </x:c>
      <x:c r="Q115" s="349"/>
      <x:c r="R115" s="349" t="str">
        <x:v>Dreiradberatung für Menschen mit Einschränkungen; Probefahrt; individuelle Zubehör-/Ausstattungsoptionen; Werkstatt und Service; Abhol-/Lieferservice.</x:v>
      </x:c>
      <x:c r="S115" s="349" t="str">
        <x:v>Hilfsmittel-/Reha-Eignung modell- und fallbezogen</x:v>
      </x:c>
      <x:c r="T115" s="349" t="str">
        <x:v>Südpfalz / Vorderpfalz</x:v>
      </x:c>
      <x:c r="U115" s="349"/>
      <x:c r="V115" s="349"/>
      <x:c r="W115" s="349" t="str">
        <x:v>Standortadresse/Kontakt geprüft; numerische Hauskoordinate offen</x:v>
      </x:c>
      <x:c r="X115" s="349" t="str">
        <x:v>Regionaler Kartenpunkt – nach Geocode-Freigabe</x:v>
      </x:c>
      <x:c r="Y115" s="349" t="str">
        <x:v>Neuaufnahme 31.08.2026</x:v>
      </x:c>
      <x:c r="Z115" s="349" t="str">
        <x:v>HASE BIKES; vanRaam; pfautec</x:v>
      </x:c>
      <x:c r="AA115" s="349" t="str">
        <x:v>https://dreirad-zentrum.de/landau/</x:v>
      </x:c>
      <x:c r="AB115" s="349"/>
      <x:c r="AC115" s="349" t="str">
        <x:v>2026-08-31</x:v>
      </x:c>
      <x:c r="AD115" s="349" t="str">
        <x:v>Albert-Einstein-Straße 18 a, 76829 Landau in der Pfalz, Deutschland</x:v>
      </x:c>
      <x:c r="AE115" s="349" t="str">
        <x:v>Regionale Spezialrad-Ergänzung Südpfalz.</x:v>
      </x:c>
    </x:row>
    <x:row r="116" ht="54" customHeight="1">
      <x:c r="A116" s="349" t="str">
        <x:v>RAD44-006</x:v>
      </x:c>
      <x:c r="B116" s="349" t="str">
        <x:v>Dreirad-Zentrum Karlsruhe</x:v>
      </x:c>
      <x:c r="C116" s="349" t="str">
        <x:v>Aufnehmen</x:v>
      </x:c>
      <x:c r="D116" s="349" t="str">
        <x:v>A</x:v>
      </x:c>
      <x:c r="E116" s="349" t="str">
        <x:v>Mobilität / Fahrrad- &amp; Spezialradanpassung</x:v>
      </x:c>
      <x:c r="F116" s="349" t="str">
        <x:v>Dreirad; Elektro-Dreirad; Spezialrad; individuelle Ausstattung; Werkstatt</x:v>
      </x:c>
      <x:c r="G116" s="349" t="str">
        <x:v>Regionaler Dreirad-Spezialist</x:v>
      </x:c>
      <x:c r="H116" s="349" t="str">
        <x:v>Siemensstraße 2b</x:v>
      </x:c>
      <x:c r="I116" s="349" t="str">
        <x:v>76287</x:v>
      </x:c>
      <x:c r="J116" s="349" t="str">
        <x:v>Rheinstetten</x:v>
      </x:c>
      <x:c r="K116" s="349" t="str">
        <x:v>Baden-Württemberg</x:v>
      </x:c>
      <x:c r="L116" s="349" t="str">
        <x:v>Deutschland</x:v>
      </x:c>
      <x:c r="M116" s="349" t="str">
        <x:v>07242 9397911</x:v>
      </x:c>
      <x:c r="N116" s="349"/>
      <x:c r="O116" s="349" t="str">
        <x:v>karlsruhe@dreirad-zentrum.de</x:v>
      </x:c>
      <x:c r="P116" s="349" t="str">
        <x:v>https://dreirad-zentrum.de/karlsruhe/</x:v>
      </x:c>
      <x:c r="Q116" s="349"/>
      <x:c r="R116" s="349" t="str">
        <x:v>Dreiradberatung; Probefahrt; individuelle Zubehör-/Ausstattungsanpassungen; Werkstatt/Service; Abhol-/Lieferservice.</x:v>
      </x:c>
      <x:c r="S116" s="349" t="str">
        <x:v>Hilfsmittel-/Reha-Eignung modell- und fallbezogen</x:v>
      </x:c>
      <x:c r="T116" s="349" t="str">
        <x:v>Karlsruhe / Nordbaden</x:v>
      </x:c>
      <x:c r="U116" s="349"/>
      <x:c r="V116" s="349"/>
      <x:c r="W116" s="349" t="str">
        <x:v>Standortadresse/Kontakt geprüft; numerische Hauskoordinate offen</x:v>
      </x:c>
      <x:c r="X116" s="349" t="str">
        <x:v>Regionaler Kartenpunkt – nach Geocode-Freigabe</x:v>
      </x:c>
      <x:c r="Y116" s="349" t="str">
        <x:v>Neuaufnahme 31.08.2026</x:v>
      </x:c>
      <x:c r="Z116" s="349" t="str">
        <x:v>HASE BIKES; vanRaam; pfautec</x:v>
      </x:c>
      <x:c r="AA116" s="349" t="str">
        <x:v>https://dreirad-zentrum.de/karlsruhe/</x:v>
      </x:c>
      <x:c r="AB116" s="349"/>
      <x:c r="AC116" s="349" t="str">
        <x:v>2026-08-31</x:v>
      </x:c>
      <x:c r="AD116" s="349" t="str">
        <x:v>Siemensstraße 2b, 76287 Rheinstetten, Deutschland</x:v>
      </x:c>
      <x:c r="AE116" s="349" t="str">
        <x:v>Kartenname Karlsruhe beibehalten; tatsächlicher Standort Rheinstetten.</x:v>
      </x:c>
    </x:row>
    <x:row r="117" ht="54" customHeight="1">
      <x:c r="A117" s="349" t="str">
        <x:v>RAD44-007</x:v>
      </x:c>
      <x:c r="B117" s="349" t="str">
        <x:v>Dreirad-Zentrum Heilbronn</x:v>
      </x:c>
      <x:c r="C117" s="349" t="str">
        <x:v>Aufnehmen</x:v>
      </x:c>
      <x:c r="D117" s="349" t="str">
        <x:v>A</x:v>
      </x:c>
      <x:c r="E117" s="349" t="str">
        <x:v>Mobilität / Fahrrad- &amp; Spezialradanpassung</x:v>
      </x:c>
      <x:c r="F117" s="349" t="str">
        <x:v>Dreirad; Elektro-Dreirad; Spezialrad; individuelle Ausstattung; Werkstatt</x:v>
      </x:c>
      <x:c r="G117" s="349" t="str">
        <x:v>Regionaler Dreirad-Spezialist</x:v>
      </x:c>
      <x:c r="H117" s="349" t="str">
        <x:v>Silcherstraße 23</x:v>
      </x:c>
      <x:c r="I117" s="349" t="str">
        <x:v>74172</x:v>
      </x:c>
      <x:c r="J117" s="349" t="str">
        <x:v>Neckarsulm</x:v>
      </x:c>
      <x:c r="K117" s="349" t="str">
        <x:v>Baden-Württemberg</x:v>
      </x:c>
      <x:c r="L117" s="349" t="str">
        <x:v>Deutschland</x:v>
      </x:c>
      <x:c r="M117" s="349" t="str">
        <x:v>07132 3406672</x:v>
      </x:c>
      <x:c r="N117" s="349"/>
      <x:c r="O117" s="349" t="str">
        <x:v>heilbronn@emotion-technologies.de</x:v>
      </x:c>
      <x:c r="P117" s="349" t="str">
        <x:v>https://dreirad-zentrum.de/heilbronn/</x:v>
      </x:c>
      <x:c r="Q117" s="349"/>
      <x:c r="R117" s="349" t="str">
        <x:v>Dreiradberatung; Probefahrt; Anpassung über Zubehör/Ausstattung; Werkstatt, Wartung, Reparatur und Inspektion.</x:v>
      </x:c>
      <x:c r="S117" s="349" t="str">
        <x:v>Hilfsmittel-/Reha-Eignung modell- und fallbezogen</x:v>
      </x:c>
      <x:c r="T117" s="349" t="str">
        <x:v>Heilbronn-Franken</x:v>
      </x:c>
      <x:c r="U117" s="349"/>
      <x:c r="V117" s="349"/>
      <x:c r="W117" s="349" t="str">
        <x:v>Standortadresse/Kontakt geprüft; numerische Hauskoordinate offen</x:v>
      </x:c>
      <x:c r="X117" s="349" t="str">
        <x:v>Regionaler Kartenpunkt – nach Geocode-Freigabe</x:v>
      </x:c>
      <x:c r="Y117" s="349" t="str">
        <x:v>Neuaufnahme 31.08.2026</x:v>
      </x:c>
      <x:c r="Z117" s="349" t="str">
        <x:v>HASE BIKES</x:v>
      </x:c>
      <x:c r="AA117" s="349" t="str">
        <x:v>https://dreirad-zentrum.de/heilbronn/</x:v>
      </x:c>
      <x:c r="AB117" s="349"/>
      <x:c r="AC117" s="349" t="str">
        <x:v>2026-08-31</x:v>
      </x:c>
      <x:c r="AD117" s="349" t="str">
        <x:v>Silcherstraße 23, 74172 Neckarsulm, Deutschland</x:v>
      </x:c>
      <x:c r="AE117" s="349" t="str">
        <x:v>Kartenname Heilbronn; Standort Neckarsulm-Obereisesheim.</x:v>
      </x:c>
    </x:row>
    <x:row r="118" ht="54" customHeight="1">
      <x:c r="A118" s="349" t="str">
        <x:v>RAD44-008</x:v>
      </x:c>
      <x:c r="B118" s="349" t="str">
        <x:v>Dreirad-Zentrum Frankfurt</x:v>
      </x:c>
      <x:c r="C118" s="349" t="str">
        <x:v>Aufnehmen</x:v>
      </x:c>
      <x:c r="D118" s="349" t="str">
        <x:v>A</x:v>
      </x:c>
      <x:c r="E118" s="349" t="str">
        <x:v>Mobilität / Fahrrad- &amp; Spezialradanpassung</x:v>
      </x:c>
      <x:c r="F118" s="349" t="str">
        <x:v>Dreirad; Elektro-Dreirad; Spezialrad; individuelle Ausstattung; Werkstatt</x:v>
      </x:c>
      <x:c r="G118" s="349" t="str">
        <x:v>Regionaler Dreirad-Spezialist</x:v>
      </x:c>
      <x:c r="H118" s="349" t="str">
        <x:v>Berner Straße 107a</x:v>
      </x:c>
      <x:c r="I118" s="349" t="str">
        <x:v>60437</x:v>
      </x:c>
      <x:c r="J118" s="349" t="str">
        <x:v>Frankfurt am Main</x:v>
      </x:c>
      <x:c r="K118" s="349" t="str">
        <x:v>Hessen</x:v>
      </x:c>
      <x:c r="L118" s="349" t="str">
        <x:v>Deutschland</x:v>
      </x:c>
      <x:c r="M118" s="349" t="str">
        <x:v>069 247522570</x:v>
      </x:c>
      <x:c r="N118" s="349"/>
      <x:c r="O118" s="349" t="str">
        <x:v>frankfurt@dreirad-zentrum.de</x:v>
      </x:c>
      <x:c r="P118" s="349" t="str">
        <x:v>https://dreirad-zentrum.de/frankfurt/</x:v>
      </x:c>
      <x:c r="Q118" s="349"/>
      <x:c r="R118" s="349" t="str">
        <x:v>Dreiradberatung; Probefahrt; individuelle Ausstattung; Werkstattservice; Abhol-/Lieferservice.</x:v>
      </x:c>
      <x:c r="S118" s="349" t="str">
        <x:v>Hilfsmittel-/Reha-Eignung modell- und fallbezogen</x:v>
      </x:c>
      <x:c r="T118" s="349" t="str">
        <x:v>Frankfurt / Rhein-Main</x:v>
      </x:c>
      <x:c r="U118" s="349"/>
      <x:c r="V118" s="349"/>
      <x:c r="W118" s="349" t="str">
        <x:v>Standortadresse/Kontakt geprüft; numerische Hauskoordinate offen</x:v>
      </x:c>
      <x:c r="X118" s="349" t="str">
        <x:v>Regionaler Kartenpunkt – nach Geocode-Freigabe</x:v>
      </x:c>
      <x:c r="Y118" s="349" t="str">
        <x:v>Neuaufnahme 31.08.2026</x:v>
      </x:c>
      <x:c r="Z118" s="349" t="str">
        <x:v>HASE BIKES; vanRaam; pfautec</x:v>
      </x:c>
      <x:c r="AA118" s="349" t="str">
        <x:v>https://dreirad-zentrum.de/frankfurt/</x:v>
      </x:c>
      <x:c r="AB118" s="349"/>
      <x:c r="AC118" s="349" t="str">
        <x:v>2026-08-31</x:v>
      </x:c>
      <x:c r="AD118" s="349" t="str">
        <x:v>Berner Straße 107a, 60437 Frankfurt am Main, Deutschland</x:v>
      </x:c>
      <x:c r="AE118" s="349" t="str">
        <x:v>Regionaler Rhein-Main-Punkt; Frankfurt-Nieder-Eschbach.</x:v>
      </x:c>
    </x:row>
    <x:row r="119" ht="54" customHeight="1">
      <x:c r="A119" s="349" t="str">
        <x:v>RAD44-009</x:v>
      </x:c>
      <x:c r="B119" s="349" t="str">
        <x:v>PRO ACTIV Reha-Technik GmbH</x:v>
      </x:c>
      <x:c r="C119" s="349" t="str">
        <x:v>Aufnehmen</x:v>
      </x:c>
      <x:c r="D119" s="349" t="str">
        <x:v>A+</x:v>
      </x:c>
      <x:c r="E119" s="349" t="str">
        <x:v>Mobilität / Fahrrad- &amp; Spezialradanpassung</x:v>
      </x:c>
      <x:c r="F119" s="349" t="str">
        <x:v>Handbike; Adaptivbike; Rollstuhl-Zuggerät; Pedelec; Reha-Technik; Sonderausstattung</x:v>
      </x:c>
      <x:c r="G119" s="349" t="str">
        <x:v>Reha-Technik-Hersteller</x:v>
      </x:c>
      <x:c r="H119" s="349" t="str">
        <x:v>Im Hofstätt 11</x:v>
      </x:c>
      <x:c r="I119" s="349" t="str">
        <x:v>72359</x:v>
      </x:c>
      <x:c r="J119" s="349" t="str">
        <x:v>Dotternhausen</x:v>
      </x:c>
      <x:c r="K119" s="349" t="str">
        <x:v>Baden-Württemberg</x:v>
      </x:c>
      <x:c r="L119" s="349" t="str">
        <x:v>Deutschland</x:v>
      </x:c>
      <x:c r="M119" s="349" t="str">
        <x:v>+49 7427 9480-0</x:v>
      </x:c>
      <x:c r="N119" s="349"/>
      <x:c r="O119" s="349" t="str">
        <x:v>info@proactiv-gmbh.de</x:v>
      </x:c>
      <x:c r="P119" s="349" t="str">
        <x:v>https://www.proactiv-gmbh.de/</x:v>
      </x:c>
      <x:c r="Q119" s="349"/>
      <x:c r="R119" s="349" t="str">
        <x:v>Adaptiv- und Kompakthandbikes; Rollstuhl-Zug-/Vorsatzgeräte; individuell konfigurierte Reha-Technik; funktionseingeschränkten-gerechte Pedelec-Optionen; Sondergriffe/-stützen.</x:v>
      </x:c>
      <x:c r="S119" s="349" t="str">
        <x:v>Reha-Technikbezug eindeutig; Kostenträgerklärung fallbezogen</x:v>
      </x:c>
      <x:c r="T119" s="349" t="str">
        <x:v>Baden-Württemberg + überregional</x:v>
      </x:c>
      <x:c r="U119" s="349"/>
      <x:c r="V119" s="349"/>
      <x:c r="W119" s="349" t="str">
        <x:v>Adresse/Kontakt geprüft; numerische Hauskoordinate offen</x:v>
      </x:c>
      <x:c r="X119" s="349" t="str">
        <x:v>Hersteller-/Fachkartenpunkt – nach Geocode-Freigabe</x:v>
      </x:c>
      <x:c r="Y119" s="349" t="str">
        <x:v>Neuaufnahme 31.08.2026</x:v>
      </x:c>
      <x:c r="Z119" s="349" t="str">
        <x:v>Alb-Store</x:v>
      </x:c>
      <x:c r="AA119" s="349" t="str">
        <x:v>https://www.proactiv-gmbh.de/</x:v>
      </x:c>
      <x:c r="AB119" s="349"/>
      <x:c r="AC119" s="349" t="str">
        <x:v>2026-08-31</x:v>
      </x:c>
      <x:c r="AD119" s="349" t="str">
        <x:v>Im Hofstätt 11, 72359 Dotternhausen, Deutschland</x:v>
      </x:c>
      <x:c r="AE119" s="349" t="str">
        <x:v>A+ für Handbike/Adaptivebike und individuelle Reha-Technik.</x:v>
      </x:c>
    </x:row>
    <x:row r="120" ht="54" customHeight="1">
      <x:c r="A120" s="349" t="str">
        <x:v>RAD44-010</x:v>
      </x:c>
      <x:c r="B120" s="349" t="str">
        <x:v>HASE BIKES GmbH</x:v>
      </x:c>
      <x:c r="C120" s="349" t="str">
        <x:v>Aufnehmen (Technikverweis)</x:v>
      </x:c>
      <x:c r="D120" s="349" t="str">
        <x:v>A+</x:v>
      </x:c>
      <x:c r="E120" s="349" t="str">
        <x:v>Mobilität / Fahrrad- &amp; Spezialradanpassung</x:v>
      </x:c>
      <x:c r="F120" s="349" t="str">
        <x:v>Einhandbedienung; Therapierad; Dreirad; Reha-Zubehör; Handicap-Mobilität</x:v>
      </x:c>
      <x:c r="G120" s="349" t="str">
        <x:v>Überregionaler Technik-/Herstellerverweis</x:v>
      </x:c>
      <x:c r="H120" s="349" t="str">
        <x:v>Hiberniastraße 2</x:v>
      </x:c>
      <x:c r="I120" s="349" t="str">
        <x:v>45731</x:v>
      </x:c>
      <x:c r="J120" s="349" t="str">
        <x:v>Waltrop</x:v>
      </x:c>
      <x:c r="K120" s="349" t="str">
        <x:v>Nordrhein-Westfalen</x:v>
      </x:c>
      <x:c r="L120" s="349" t="str">
        <x:v>Deutschland</x:v>
      </x:c>
      <x:c r="M120" s="349" t="str">
        <x:v>+49 2309 9377 220</x:v>
      </x:c>
      <x:c r="N120" s="349"/>
      <x:c r="O120" s="349" t="str">
        <x:v>order@hasebikes.com</x:v>
      </x:c>
      <x:c r="P120" s="349" t="str">
        <x:v>https://www.hasebikes.com/service/faq</x:v>
      </x:c>
      <x:c r="Q120" s="349"/>
      <x:c r="R120" s="349" t="str">
        <x:v>Dokumentierte Einhandbedienung: Bremsen, Schaltung und Motorsteuerung auf einer Lenkerseite; ausdrücklich für Arm-/Handausfall, Hemiparese und Amputation; weiteres Reha-Zubehör.</x:v>
      </x:c>
      <x:c r="S120" s="349" t="str">
        <x:v>Reha-/Hilfsmittelbezug eindeutig; Kostenträgerklärung fallbezogen</x:v>
      </x:c>
      <x:c r="T120" s="349" t="str">
        <x:v>überregional</x:v>
      </x:c>
      <x:c r="U120" s="349"/>
      <x:c r="V120" s="349"/>
      <x:c r="W120" s="349" t="str">
        <x:v>Herstelleradresse geprüft; kein Regional-Geocode erforderlich</x:v>
      </x:c>
      <x:c r="X120" s="349" t="str">
        <x:v>Kein Regionalpin – überregionaler Technikverweis</x:v>
      </x:c>
      <x:c r="Y120" s="349" t="str">
        <x:v>Neuaufnahme 31.08.2026</x:v>
      </x:c>
      <x:c r="Z120" s="349" t="str">
        <x:v>HP Velotechnik; HEIM; regionale Dreirad-Zentren</x:v>
      </x:c>
      <x:c r="AA120" s="349" t="str">
        <x:v>https://www.hasebikes.com/about/kontakt</x:v>
      </x:c>
      <x:c r="AB120" s="349"/>
      <x:c r="AC120" s="349" t="str">
        <x:v>2026-08-31</x:v>
      </x:c>
      <x:c r="AD120" s="349" t="str">
        <x:v>Hiberniastraße 2, 45731 Waltrop, Deutschland</x:v>
      </x:c>
      <x:c r="AE120" s="349" t="str">
        <x:v>Bewusst ohne Regionalpin; zentraler Techniknachweis für Armamputation/Einhandbedienung.</x:v>
      </x:c>
    </x:row>
    <x:row r="121" ht="54" customHeight="1">
      <x:c r="A121" s="350" t="str">
        <x:v>LIFT44-001</x:v>
      </x:c>
      <x:c r="B121" s="350" t="str">
        <x:v>Rabe Lifte GmbH</x:v>
      </x:c>
      <x:c r="C121" s="350" t="str">
        <x:v>Aufnehmen</x:v>
      </x:c>
      <x:c r="D121" s="350" t="str">
        <x:v>A+</x:v>
      </x:c>
      <x:c r="E121" s="350" t="str">
        <x:v>Wohnen / technische Wohnraumanpassung</x:v>
      </x:c>
      <x:c r="F121" s="350" t="str">
        <x:v>Treppenlift; Plattformlift; Rollstuhllift; Hublift; Barrierefreiheit</x:v>
      </x:c>
      <x:c r="G121" s="350" t="str">
        <x:v>Liftfachbetrieb / Planung, Montage &amp; Service</x:v>
      </x:c>
      <x:c r="H121" s="350" t="str">
        <x:v>Wormser Landstraße 83A</x:v>
      </x:c>
      <x:c r="I121" s="350" t="str">
        <x:v>67346</x:v>
      </x:c>
      <x:c r="J121" s="350" t="str">
        <x:v>Speyer</x:v>
      </x:c>
      <x:c r="K121" s="350" t="str">
        <x:v>Rheinland-Pfalz</x:v>
      </x:c>
      <x:c r="L121" s="350" t="str">
        <x:v>Deutschland</x:v>
      </x:c>
      <x:c r="M121" s="350" t="str">
        <x:v>06232 601550</x:v>
      </x:c>
      <x:c r="N121" s="350"/>
      <x:c r="O121" s="350" t="str">
        <x:v>info@rabe-lifte.de</x:v>
      </x:c>
      <x:c r="P121" s="350" t="str">
        <x:v>https://www.rabe-lifte.de/</x:v>
      </x:c>
      <x:c r="Q121" s="350"/>
      <x:c r="R121" s="350" t="str">
        <x:v>Beratung vor Ort; maßgeschneiderte Liftlösung; Treppen-, Plattform- und Hublifte; Installation; Betreuung nach Kauf/Service.</x:v>
      </x:c>
      <x:c r="S121" s="350" t="str">
        <x:v>Wohnraumanpassung; Kostenträgerklärung fallbezogen</x:v>
      </x:c>
      <x:c r="T121" s="350" t="str">
        <x:v>Speyer / Vorderpfalz / Rhein-Neckar</x:v>
      </x:c>
      <x:c r="U121" s="350"/>
      <x:c r="V121" s="350"/>
      <x:c r="W121" s="350" t="str">
        <x:v>Adresse/Kontakt geprüft; numerische Hauskoordinate offen</x:v>
      </x:c>
      <x:c r="X121" s="350" t="str">
        <x:v>Regionaler Kartenpunkt – nach Geocode-Freigabe</x:v>
      </x:c>
      <x:c r="Y121" s="350" t="str">
        <x:v>Neuaufnahme 31.08.2026</x:v>
      </x:c>
      <x:c r="Z121" s="350"/>
      <x:c r="AA121" s="350" t="str">
        <x:v>https://rabe-lifte.de/impressum</x:v>
      </x:c>
      <x:c r="AB121" s="350"/>
      <x:c r="AC121" s="350" t="str">
        <x:v>2026-08-31</x:v>
      </x:c>
      <x:c r="AD121" s="350" t="str">
        <x:v>Wormser Landstraße 83A, 67346 Speyer, Deutschland</x:v>
      </x:c>
      <x:c r="AE121" s="350" t="str">
        <x:v>A+ regionaler Vollanbieter; keine reine Vermittlungsplattform.</x:v>
      </x:c>
    </x:row>
    <x:row r="122" ht="54" customHeight="1">
      <x:c r="A122" s="350" t="str">
        <x:v>LIFT44-002</x:v>
      </x:c>
      <x:c r="B122" s="350" t="str">
        <x:v>Rüdiger Schmitt Treppenlifte GmbH</x:v>
      </x:c>
      <x:c r="C122" s="350" t="str">
        <x:v>Aufnehmen – Betriebsstatus prüfen</x:v>
      </x:c>
      <x:c r="D122" s="350" t="str">
        <x:v>A+</x:v>
      </x:c>
      <x:c r="E122" s="350" t="str">
        <x:v>Wohnen / technische Wohnraumanpassung</x:v>
      </x:c>
      <x:c r="F122" s="350" t="str">
        <x:v>Treppenlift; Sitzlift; Hublift; Senkrechtlift; Barrierefreiheit</x:v>
      </x:c>
      <x:c r="G122" s="350" t="str">
        <x:v>Liftfachbetrieb / herstellerunabhängige Planung, Montage &amp; Service</x:v>
      </x:c>
      <x:c r="H122" s="350" t="str">
        <x:v>Opelstraße 14</x:v>
      </x:c>
      <x:c r="I122" s="350" t="str">
        <x:v>68789</x:v>
      </x:c>
      <x:c r="J122" s="350" t="str">
        <x:v>St. Leon-Rot</x:v>
      </x:c>
      <x:c r="K122" s="350" t="str">
        <x:v>Baden-Württemberg</x:v>
      </x:c>
      <x:c r="L122" s="350" t="str">
        <x:v>Deutschland</x:v>
      </x:c>
      <x:c r="M122" s="350" t="str">
        <x:v>06227 8994960</x:v>
      </x:c>
      <x:c r="N122" s="350" t="str">
        <x:v>06227 8994989</x:v>
      </x:c>
      <x:c r="O122" s="350" t="str">
        <x:v>info@rs-treppenlifte.de</x:v>
      </x:c>
      <x:c r="P122" s="350" t="str">
        <x:v>https://www.rs-treppenlifte.de/</x:v>
      </x:c>
      <x:c r="Q122" s="350"/>
      <x:c r="R122" s="350" t="str">
        <x:v>Kostenlose Vor-Ort-Beratung; herstellerunabhängige Auswahl; genaue Planung; zertifizierte Montage; Serviceeinsätze; Sitz-/Hub- und fallbezogen Senkrechtlift-Lösungen.</x:v>
      </x:c>
      <x:c r="S122" s="350" t="str">
        <x:v>Wohnraumanpassung; Kostenträgerklärung fallbezogen</x:v>
      </x:c>
      <x:c r="T122" s="350" t="str">
        <x:v>Rhein-Neckar / Heidelberg</x:v>
      </x:c>
      <x:c r="U122" s="350"/>
      <x:c r="V122" s="350"/>
      <x:c r="W122" s="350" t="str">
        <x:v>Büro-/Kontaktadresse geprüft; aktuelle Betriebsfähigkeit vor Beauftragung zusätzlich verifizieren</x:v>
      </x:c>
      <x:c r="X122" s="350" t="str">
        <x:v>Regionaler Kartenpunkt – Aktivstatus vor Freischaltung prüfen</x:v>
      </x:c>
      <x:c r="Y122" s="350" t="str">
        <x:v>Neuaufnahme 31.08.2026</x:v>
      </x:c>
      <x:c r="Z122" s="350"/>
      <x:c r="AA122" s="350" t="str">
        <x:v>https://www.rs-treppenlifte.de/kontakt.html</x:v>
      </x:c>
      <x:c r="AB122" s="350"/>
      <x:c r="AC122" s="350" t="str">
        <x:v>2026-08-31</x:v>
      </x:c>
      <x:c r="AD122" s="350" t="str">
        <x:v>68789 St. Leon-Rot, Opelstraße 14, Deutschland</x:v>
      </x:c>
      <x:c r="AE122" s="350" t="str">
        <x:v>Fachlich A+; öffentliche Registerhinweise zum Unternehmensstatus sind uneinheitlich – deshalb Betriebsstatus vor Aktivschaltung prüfen.</x:v>
      </x:c>
    </x:row>
    <x:row r="123" ht="54" customHeight="1">
      <x:c r="A123" s="350" t="str">
        <x:v>LIFT44-003</x:v>
      </x:c>
      <x:c r="B123" s="350" t="str">
        <x:v>STUFENLOS Mobilität nach Maß GmbH – Lift-Zentrum Karlsruhe</x:v>
      </x:c>
      <x:c r="C123" s="350" t="str">
        <x:v>Aufnehmen</x:v>
      </x:c>
      <x:c r="D123" s="350" t="str">
        <x:v>A+</x:v>
      </x:c>
      <x:c r="E123" s="350" t="str">
        <x:v>Wohnen / technische Wohnraumanpassung</x:v>
      </x:c>
      <x:c r="F123" s="350" t="str">
        <x:v>Treppenlift; Plattformlift; Rollstuhllift; Hublift; Kleinaufzug; Homelift</x:v>
      </x:c>
      <x:c r="G123" s="350" t="str">
        <x:v>Liftzentrum / Beratung, Planung, Montage &amp; Langzeitservice</x:v>
      </x:c>
      <x:c r="H123" s="350" t="str">
        <x:v>Lorbeerweg 20</x:v>
      </x:c>
      <x:c r="I123" s="350" t="str">
        <x:v>76149</x:v>
      </x:c>
      <x:c r="J123" s="350" t="str">
        <x:v>Karlsruhe</x:v>
      </x:c>
      <x:c r="K123" s="350" t="str">
        <x:v>Baden-Württemberg</x:v>
      </x:c>
      <x:c r="L123" s="350" t="str">
        <x:v>Deutschland</x:v>
      </x:c>
      <x:c r="M123" s="350" t="str">
        <x:v>0721 7831240</x:v>
      </x:c>
      <x:c r="N123" s="350"/>
      <x:c r="O123" s="350" t="str">
        <x:v>info@stufen-los.de</x:v>
      </x:c>
      <x:c r="P123" s="350" t="str">
        <x:v>https://www.stufen-los.de/</x:v>
      </x:c>
      <x:c r="Q123" s="350"/>
      <x:c r="R123" s="350" t="str">
        <x:v>Ausstellung und Probefahrt; Vor-Ort-Aufmaß/Beratung; individuelle Konzeption; Treppen-, Rollstuhl-/Plattform-, Hebe-/Hublifte und Kleinaufzüge/Homelifte; fachgerechte Montage und langfristiger Service.</x:v>
      </x:c>
      <x:c r="S123" s="350" t="str">
        <x:v>Wohnraumanpassung; Kostenträgerklärung fallbezogen</x:v>
      </x:c>
      <x:c r="T123" s="350" t="str">
        <x:v>Karlsruhe / Nordbaden / Pfalz</x:v>
      </x:c>
      <x:c r="U123" s="350"/>
      <x:c r="V123" s="350"/>
      <x:c r="W123" s="350" t="str">
        <x:v>Adresse/Kontakt geprüft; numerische Hauskoordinate offen</x:v>
      </x:c>
      <x:c r="X123" s="350" t="str">
        <x:v>Regionaler Kartenpunkt – nach Geocode-Freigabe</x:v>
      </x:c>
      <x:c r="Y123" s="350" t="str">
        <x:v>Neuaufnahme 31.08.2026</x:v>
      </x:c>
      <x:c r="Z123" s="350"/>
      <x:c r="AA123" s="350" t="str">
        <x:v>https://treppenlift-karlsruhe.info/ablauf/</x:v>
      </x:c>
      <x:c r="AB123" s="350"/>
      <x:c r="AC123" s="350" t="str">
        <x:v>2026-08-31</x:v>
      </x:c>
      <x:c r="AD123" s="350" t="str">
        <x:v>Lorbeerweg 20, 76149 Karlsruhe, Deutschland</x:v>
      </x:c>
      <x:c r="AE123" s="350" t="str">
        <x:v>A+ mit breitem Liftportfolio, Ausstellung, Aufmaß, Montage und Service.</x:v>
      </x:c>
    </x:row>
    <x:row r="124" ht="54" customHeight="1">
      <x:c r="A124" s="350" t="str">
        <x:v>LIFT44-004</x:v>
      </x:c>
      <x:c r="B124" s="350" t="str">
        <x:v>CAMA Lift GmbH</x:v>
      </x:c>
      <x:c r="C124" s="350" t="str">
        <x:v>Aufnehmen</x:v>
      </x:c>
      <x:c r="D124" s="350" t="str">
        <x:v>A+</x:v>
      </x:c>
      <x:c r="E124" s="350" t="str">
        <x:v>Wohnen / technische Wohnraumanpassung</x:v>
      </x:c>
      <x:c r="F124" s="350" t="str">
        <x:v>Aufzug; Homelift; Plattformlift; Treppenlift; Hubbühne; Barrierefreiheit</x:v>
      </x:c>
      <x:c r="G124" s="350" t="str">
        <x:v>Lift-/Aufzugsfachbetrieb / Planung, Montage &amp; Service</x:v>
      </x:c>
      <x:c r="H124" s="350" t="str">
        <x:v>Max-Planck-Straße 5</x:v>
      </x:c>
      <x:c r="I124" s="350" t="str">
        <x:v>65719</x:v>
      </x:c>
      <x:c r="J124" s="350" t="str">
        <x:v>Hofheim-Wallau</x:v>
      </x:c>
      <x:c r="K124" s="350" t="str">
        <x:v>Hessen</x:v>
      </x:c>
      <x:c r="L124" s="350" t="str">
        <x:v>Deutschland</x:v>
      </x:c>
      <x:c r="M124" s="350" t="str">
        <x:v>06122 534750</x:v>
      </x:c>
      <x:c r="N124" s="350" t="str">
        <x:v>06122 5347511</x:v>
      </x:c>
      <x:c r="O124" s="350" t="str">
        <x:v>info@cama.de</x:v>
      </x:c>
      <x:c r="P124" s="350" t="str">
        <x:v>https://www.cama.de/</x:v>
      </x:c>
      <x:c r="Q124" s="350"/>
      <x:c r="R124" s="350" t="str">
        <x:v>Kostenfreie Vor-Ort-Beratung; individuelle Planung/Zeichnungen; Förderhinweise; Abstimmung mit Gewerken; Aufzüge, Homelifte, Plattform-/Treppenlifte und Hubbühnen; Montage und Service durch werkgeschultes Personal.</x:v>
      </x:c>
      <x:c r="S124" s="350" t="str">
        <x:v>Wohnraumanpassung; Kostenträgerklärung fallbezogen</x:v>
      </x:c>
      <x:c r="T124" s="350" t="str">
        <x:v>Rhein-Main / Hessen</x:v>
      </x:c>
      <x:c r="U124" s="350"/>
      <x:c r="V124" s="350"/>
      <x:c r="W124" s="350" t="str">
        <x:v>Adresse/Kontakt geprüft; numerische Hauskoordinate offen</x:v>
      </x:c>
      <x:c r="X124" s="350" t="str">
        <x:v>Regionaler Kartenpunkt – nach Geocode-Freigabe</x:v>
      </x:c>
      <x:c r="Y124" s="350" t="str">
        <x:v>Neuaufnahme 31.08.2026</x:v>
      </x:c>
      <x:c r="Z124" s="350"/>
      <x:c r="AA124" s="350" t="str">
        <x:v>https://www.cama.de/</x:v>
      </x:c>
      <x:c r="AB124" s="350"/>
      <x:c r="AC124" s="350" t="str">
        <x:v>2026-08-31</x:v>
      </x:c>
      <x:c r="AD124" s="350" t="str">
        <x:v>Max-Planck-Straße 5, 65719 Hofheim-Wallau, Deutschland</x:v>
      </x:c>
      <x:c r="AE124" s="350" t="str">
        <x:v>A+ Rhein-Main-Vollanbieter mit Planung, Montage und Service aus einer Hand.</x:v>
      </x:c>
    </x:row>
    <x:row r="125" ht="54" customHeight="1">
      <x:c r="A125" s="350" t="str">
        <x:v>LIFT44-005</x:v>
      </x:c>
      <x:c r="B125" s="350" t="str">
        <x:v>Lift Technik Franken – Peter Czieschowitz</x:v>
      </x:c>
      <x:c r="C125" s="350" t="str">
        <x:v>Aufnehmen</x:v>
      </x:c>
      <x:c r="D125" s="350" t="str">
        <x:v>A</x:v>
      </x:c>
      <x:c r="E125" s="350" t="str">
        <x:v>Wohnen / technische Wohnraumanpassung</x:v>
      </x:c>
      <x:c r="F125" s="350" t="str">
        <x:v>Treppenlift; Sitzlift; Hublift; Rollstuhlhebebühne; Plattformlift; Senkrechtlift</x:v>
      </x:c>
      <x:c r="G125" s="350" t="str">
        <x:v>Liftfachbetrieb / Montage, Wartung &amp; Reparatur</x:v>
      </x:c>
      <x:c r="H125" s="350" t="str">
        <x:v>Karlstraße 36</x:v>
      </x:c>
      <x:c r="I125" s="350" t="str">
        <x:v>90763</x:v>
      </x:c>
      <x:c r="J125" s="350" t="str">
        <x:v>Fürth</x:v>
      </x:c>
      <x:c r="K125" s="350" t="str">
        <x:v>Bayern</x:v>
      </x:c>
      <x:c r="L125" s="350" t="str">
        <x:v>Deutschland</x:v>
      </x:c>
      <x:c r="M125" s="350" t="str">
        <x:v>0911 30006100</x:v>
      </x:c>
      <x:c r="N125" s="350" t="str">
        <x:v>0911 30006088</x:v>
      </x:c>
      <x:c r="O125" s="350" t="str">
        <x:v>info@lifttechnik-franken.de</x:v>
      </x:c>
      <x:c r="P125" s="350" t="str">
        <x:v>https://lifttechnik-franken.de/</x:v>
      </x:c>
      <x:c r="Q125" s="350" t="str">
        <x:v>Peter Czieschowitz</x:v>
      </x:c>
      <x:c r="R125" s="350" t="str">
        <x:v>Beratung vor Ort; Lieferung und Eigenmontage; Wartung, Reparatur und Demontage; Treppen-/Sitzlifte, Hublifte, Rollstuhlhebebühnen, Plattform-/Vertikal- und Senkrechtlifte.</x:v>
      </x:c>
      <x:c r="S125" s="350" t="str">
        <x:v>Wohnraumanpassung; Kostenträgerklärung fallbezogen</x:v>
      </x:c>
      <x:c r="T125" s="350" t="str">
        <x:v>Würzburg / Unterfranken / Franken / Bayern</x:v>
      </x:c>
      <x:c r="U125" s="350"/>
      <x:c r="V125" s="350"/>
      <x:c r="W125" s="350" t="str">
        <x:v>Adresse/Kontakt geprüft; numerische Hauskoordinate offen</x:v>
      </x:c>
      <x:c r="X125" s="350" t="str">
        <x:v>Regionaler/überregionaler Kartenpunkt – nach Geocode-Freigabe</x:v>
      </x:c>
      <x:c r="Y125" s="350" t="str">
        <x:v>Neuaufnahme 31.08.2026</x:v>
      </x:c>
      <x:c r="Z125" s="350"/>
      <x:c r="AA125" s="350" t="str">
        <x:v>https://lifttechnik-franken.de/</x:v>
      </x:c>
      <x:c r="AB125" s="350"/>
      <x:c r="AC125" s="350" t="str">
        <x:v>2026-08-31</x:v>
      </x:c>
      <x:c r="AD125" s="350" t="str">
        <x:v>Karlstraße 36, 90763 Fürth, Deutschland</x:v>
      </x:c>
      <x:c r="AE125" s="350" t="str">
        <x:v>A wegen größerer Distanz, aber gezielt relevant für Würzburg/Unterfranken; Montage, Wartung und Reparatur selbst.</x:v>
      </x:c>
    </x:row>
  </x:sheetData>
  <x:mergeCells>
    <x:mergeCell ref="A1:AE1"/>
    <x:mergeCell ref="A2:AE2"/>
  </x:mergeCells>
  <x:conditionalFormatting sqref="C5:C110">
    <x:cfRule type="expression" dxfId="23" priority="1">
      <x:formula>C5="Aufnehmen"</x:formula>
    </x:cfRule>
    <x:cfRule type="expression" dxfId="24" priority="2">
      <x:formula>LEFT(C5,7)="Bestand"</x:formula>
    </x:cfRule>
  </x:conditionalFormatting>
  <x:conditionalFormatting sqref="D5:D110">
    <x:cfRule type="expression" dxfId="25" priority="3">
      <x:formula>D5="A+"</x:formula>
    </x:cfRule>
  </x:conditionalFormatting>
  <x:pageMargins left="0.7" right="0.7" top="0.75" bottom="0.75" header="0.3" footer="0.3"/>
  <x:tableParts count="1">
    <x:tablePart xmlns:r="http://schemas.openxmlformats.org/officeDocument/2006/relationships" r:id="R136001c7c9a5444b"/>
  </x:tableParts>
</x:worksheet>
</file>

<file path=xl/worksheets/sheet31.xml><?xml version="1.0" encoding="utf-8"?>
<x:worksheet xmlns:x="http://schemas.openxmlformats.org/spreadsheetml/2006/main">
  <x:sheetFormatPr defaultRowHeight="15"/>
  <x:cols>
    <x:col min="1" max="1" width="10" hidden="0" customWidth="1"/>
    <x:col min="2" max="2" width="20" hidden="0" customWidth="1"/>
    <x:col min="3" max="3" width="36" hidden="0" customWidth="1"/>
    <x:col min="4" max="4" width="29" hidden="0" customWidth="1"/>
    <x:col min="5" max="5" width="28" hidden="0" customWidth="1"/>
    <x:col min="6" max="6" width="40" hidden="0" customWidth="1"/>
    <x:col min="7" max="7" width="46" hidden="0" customWidth="1"/>
    <x:col min="8" max="8" width="30" hidden="0" customWidth="1"/>
    <x:col min="9" max="9" width="28" hidden="0" customWidth="1"/>
    <x:col min="10" max="10" width="10" hidden="0" customWidth="1"/>
    <x:col min="11" max="11" width="22" hidden="0" customWidth="1"/>
    <x:col min="12" max="12" width="22" hidden="0" customWidth="1"/>
    <x:col min="13" max="13" width="30" hidden="0" customWidth="1"/>
    <x:col min="14" max="14" width="48" hidden="0" customWidth="1"/>
    <x:col min="15" max="15" width="34" hidden="0" customWidth="1"/>
    <x:col min="16" max="16" width="35" hidden="0" customWidth="1"/>
    <x:col min="17" max="17" width="42" hidden="0" customWidth="1"/>
  </x:cols>
  <x:sheetData>
    <x:row r="1" ht="28" customHeight="1">
      <x:c r="A1" s="163" t="str">
        <x:v>Pflegeberatung / Pflegegutachten – geprüfter Zielbestand 4.4.x</x:v>
      </x:c>
      <x:c r="B1" s="163"/>
      <x:c r="C1" s="163"/>
      <x:c r="D1" s="163"/>
      <x:c r="E1" s="163"/>
      <x:c r="F1" s="163"/>
      <x:c r="G1" s="163"/>
      <x:c r="H1" s="163"/>
      <x:c r="I1" s="163"/>
      <x:c r="J1" s="163"/>
      <x:c r="K1" s="163"/>
      <x:c r="L1" s="163"/>
      <x:c r="M1" s="163"/>
      <x:c r="N1" s="163"/>
      <x:c r="O1" s="163"/>
      <x:c r="P1" s="163"/>
      <x:c r="Q1" s="163"/>
    </x:row>
    <x:row r="2">
      <x:c r="A2" s="170" t="str">
        <x:v>Struktur: Pflegefachberatung / Versorgungssteuerung · Pflegegutachten / Pflegebedarf § 44 SGB VII · Pflegeorganisation / Case Management. BG-Klinik-Leistungen als Subservice, bundesweite Dienste ohne irreführendes Distanzranking.</x:v>
      </x:c>
      <x:c r="B2" s="170"/>
      <x:c r="C2" s="170"/>
      <x:c r="D2" s="170"/>
      <x:c r="E2" s="170"/>
      <x:c r="F2" s="170"/>
      <x:c r="G2" s="170"/>
      <x:c r="H2" s="170"/>
      <x:c r="I2" s="170"/>
      <x:c r="J2" s="170"/>
      <x:c r="K2" s="170"/>
      <x:c r="L2" s="170"/>
      <x:c r="M2" s="170"/>
      <x:c r="N2" s="170"/>
      <x:c r="O2" s="170"/>
      <x:c r="P2" s="170"/>
      <x:c r="Q2" s="170"/>
    </x:row>
    <x:row r="3">
      <x:c r="A3" s="113"/>
      <x:c r="B3" s="113"/>
      <x:c r="C3" s="113"/>
      <x:c r="D3" s="113"/>
      <x:c r="E3" s="113"/>
      <x:c r="F3" s="113"/>
      <x:c r="G3" s="113"/>
      <x:c r="H3" s="113"/>
      <x:c r="I3" s="113"/>
      <x:c r="J3" s="113"/>
      <x:c r="K3" s="113"/>
      <x:c r="L3" s="113"/>
      <x:c r="M3" s="113"/>
      <x:c r="N3" s="113"/>
      <x:c r="O3" s="113"/>
      <x:c r="P3" s="113"/>
      <x:c r="Q3" s="113"/>
    </x:row>
    <x:row r="4" ht="30" customHeight="1">
      <x:c r="A4" s="166" t="str">
        <x:v>Priorität</x:v>
      </x:c>
      <x:c r="B4" s="166" t="str">
        <x:v>Status</x:v>
      </x:c>
      <x:c r="C4" s="166" t="str">
        <x:v>Anbieter</x:v>
      </x:c>
      <x:c r="D4" s="166" t="str">
        <x:v>Typ</x:v>
      </x:c>
      <x:c r="E4" s="166" t="str">
        <x:v>Ort / Servicegebiet</x:v>
      </x:c>
      <x:c r="F4" s="166" t="str">
        <x:v>SGB-VII-/BG-Bezug</x:v>
      </x:c>
      <x:c r="G4" s="166" t="str">
        <x:v>Leistungen</x:v>
      </x:c>
      <x:c r="H4" s="166" t="str">
        <x:v>Ansprechpartner</x:v>
      </x:c>
      <x:c r="I4" s="166" t="str">
        <x:v>Straße</x:v>
      </x:c>
      <x:c r="J4" s="166" t="str">
        <x:v>PLZ</x:v>
      </x:c>
      <x:c r="K4" s="166" t="str">
        <x:v>Ort</x:v>
      </x:c>
      <x:c r="L4" s="166" t="str">
        <x:v>Telefon</x:v>
      </x:c>
      <x:c r="M4" s="166" t="str">
        <x:v>E-Mail</x:v>
      </x:c>
      <x:c r="N4" s="166" t="str">
        <x:v>Website</x:v>
      </x:c>
      <x:c r="O4" s="166" t="str">
        <x:v>Kartenmodus</x:v>
      </x:c>
      <x:c r="P4" s="166" t="str">
        <x:v>Geo-Status</x:v>
      </x:c>
      <x:c r="Q4" s="166" t="str">
        <x:v>Hinweis</x:v>
      </x:c>
    </x:row>
    <x:row r="5">
      <x:c r="A5" s="116" t="str">
        <x:v>A+</x:v>
      </x:c>
      <x:c r="B5" s="116" t="str">
        <x:v>Neuaufnahme 4.4.x</x:v>
      </x:c>
      <x:c r="C5" s="116" t="str">
        <x:v>reha assist GmbH</x:v>
      </x:c>
      <x:c r="D5" s="116" t="str">
        <x:v>Pflegefachberatung / Reha-Management</x:v>
      </x:c>
      <x:c r="E5" s="116" t="str">
        <x:v>bundesweit</x:v>
      </x:c>
      <x:c r="F5" s="116" t="str">
        <x:v>Pflegegutachten versicherungsübergreifend; Reha-/Pflege-Management</x:v>
      </x:c>
      <x:c r="G5" s="116" t="str">
        <x:v>Pflegeberatung; Pflegegutachten; Hilfsmittel; Barrierefreiheit; Mobilität; berufliche Perspektive</x:v>
      </x:c>
      <x:c r="H5" s="116" t="str">
        <x:v>Pflegeberatung / Reha-Management</x:v>
      </x:c>
      <x:c r="I5" s="116" t="str">
        <x:v>Kleinbahnstraße 27</x:v>
      </x:c>
      <x:c r="J5" s="116" t="str">
        <x:v>59759</x:v>
      </x:c>
      <x:c r="K5" s="116" t="str">
        <x:v>Arnsberg</x:v>
      </x:c>
      <x:c r="L5" s="116" t="str">
        <x:v>+49 2932 9397-0</x:v>
      </x:c>
      <x:c r="M5" s="116" t="str">
        <x:v>kontakt@reha-assist.com</x:v>
      </x:c>
      <x:c r="N5" s="116" t="str">
        <x:v>https://www.reha-assist.com/</x:v>
      </x:c>
      <x:c r="O5" s="116" t="str">
        <x:v>HQ-Pin vorhanden + bundesweites Servicegebiet</x:v>
      </x:c>
      <x:c r="P5" s="116" t="str">
        <x:v>Gebäudekoordinate im Bestand verifiziert</x:v>
      </x:c>
      <x:c r="Q5" s="116" t="str">
        <x:v>Priorität von A auf A+ angehoben.</x:v>
      </x:c>
    </x:row>
    <x:row r="6">
      <x:c r="A6" s="116" t="str">
        <x:v>A+</x:v>
      </x:c>
      <x:c r="B6" s="116" t="str">
        <x:v>Neuaufnahme</x:v>
      </x:c>
      <x:c r="C6" s="116" t="str">
        <x:v>Pflegesachverständige Kristina Braun</x:v>
      </x:c>
      <x:c r="D6" s="116" t="str">
        <x:v>Unabhängige Pflegesachverständige</x:v>
      </x:c>
      <x:c r="E6" s="116" t="str">
        <x:v>Worms / RP-BW-HE</x:v>
      </x:c>
      <x:c r="F6" s="116" t="str">
        <x:v>SGB VII und Berufsgenossenschaften/Unfallversicherungen ausdrücklich genannt</x:v>
      </x:c>
      <x:c r="G6" s="116" t="str">
        <x:v>Pflegegutachten; Pflegebedarf; SGB V/VII/XI</x:v>
      </x:c>
      <x:c r="H6" s="116" t="str">
        <x:v>Kristina Braun</x:v>
      </x:c>
      <x:c r="I6" s="116" t="str">
        <x:v>In den Hofgärten 2</x:v>
      </x:c>
      <x:c r="J6" s="116" t="str">
        <x:v>67551</x:v>
      </x:c>
      <x:c r="K6" s="116" t="str">
        <x:v>Worms</x:v>
      </x:c>
      <x:c r="L6" s="116" t="str">
        <x:v>01512 8510770</x:v>
      </x:c>
      <x:c r="M6" s="116" t="str">
        <x:v>kontakt@pflegesachverstaendige-braun.de</x:v>
      </x:c>
      <x:c r="N6" s="116" t="str">
        <x:v>https://www.pflegesachverstaendige-braun.de/</x:v>
      </x:c>
      <x:c r="O6" s="116" t="str">
        <x:v>regionaler Kartenpunkt nach Geocode-Freigabe</x:v>
      </x:c>
      <x:c r="P6" s="116" t="str">
        <x:v>Hausadresse geprüft; Lat/Lon offen</x:v>
      </x:c>
      <x:c r="Q6" s="116" t="str">
        <x:v>A+ regionaler GUV-Spezialist.</x:v>
      </x:c>
    </x:row>
    <x:row r="7">
      <x:c r="A7" s="116" t="str">
        <x:v>A+</x:v>
      </x:c>
      <x:c r="B7" s="116" t="str">
        <x:v>Bestand erweitern</x:v>
      </x:c>
      <x:c r="C7" s="116" t="str">
        <x:v>BG Klinik Ludwigshafen – Pflegefachberatung</x:v>
      </x:c>
      <x:c r="D7" s="116" t="str">
        <x:v>BG-Klinik-Pflegefachberatung</x:v>
      </x:c>
      <x:c r="E7" s="116" t="str">
        <x:v>Ludwigshafen / bundesweite UVT-Beauftragung</x:v>
      </x:c>
      <x:c r="F7" s="116" t="str">
        <x:v>Direktes Angebot für Unfallversicherungsträger</x:v>
      </x:c>
      <x:c r="G7" s="116" t="str">
        <x:v>Pflegegutachten; Pflegefachberatung; Pflegetraining</x:v>
      </x:c>
      <x:c r="H7" s="116" t="str">
        <x:v>Julia Reiser</x:v>
      </x:c>
      <x:c r="I7" s="116" t="str">
        <x:v>Ludwig-Guttmann-Straße 13</x:v>
      </x:c>
      <x:c r="J7" s="116" t="str">
        <x:v>67071</x:v>
      </x:c>
      <x:c r="K7" s="116" t="str">
        <x:v>Ludwigshafen am Rhein</x:v>
      </x:c>
      <x:c r="L7" s="116" t="str">
        <x:v>0621 6810-0</x:v>
      </x:c>
      <x:c r="M7" s="116" t="str"/>
      <x:c r="N7" s="116" t="str">
        <x:v>https://www.bg-kliniken.de/klinik-ludwigshafen/unfallversicherungstraeger/pflegefachberatung/</x:v>
      </x:c>
      <x:c r="O7" s="116" t="str">
        <x:v>Subservice am bestehenden Klinik-Pin</x:v>
      </x:c>
      <x:c r="P7" s="116" t="str">
        <x:v>bestehender Klinikstandort</x:v>
      </x:c>
      <x:c r="Q7" s="116" t="str">
        <x:v>Kein Doppel-Pin.</x:v>
      </x:c>
    </x:row>
    <x:row r="8">
      <x:c r="A8" s="116" t="str">
        <x:v>A+</x:v>
      </x:c>
      <x:c r="B8" s="116" t="str">
        <x:v>Bestand erweitern</x:v>
      </x:c>
      <x:c r="C8" s="116" t="str">
        <x:v>BG Unfallklinik Frankfurt – Pflegefachberatung</x:v>
      </x:c>
      <x:c r="D8" s="116" t="str">
        <x:v>BG-Klinik-Pflegebegutachtung</x:v>
      </x:c>
      <x:c r="E8" s="116" t="str">
        <x:v>Frankfurt / überregional</x:v>
      </x:c>
      <x:c r="F8" s="116" t="str">
        <x:v>Pflegebegutachtung im direkten Auftrag des UV-Trägers</x:v>
      </x:c>
      <x:c r="G8" s="116" t="str">
        <x:v>Hausbesuch; Pflegebegutachtung; Bericht/Empfehlungen</x:v>
      </x:c>
      <x:c r="H8" s="116" t="str">
        <x:v>Anne Hübner</x:v>
      </x:c>
      <x:c r="I8" s="116" t="str">
        <x:v>Friedberger Landstraße 430</x:v>
      </x:c>
      <x:c r="J8" s="116" t="str">
        <x:v>60389</x:v>
      </x:c>
      <x:c r="K8" s="116" t="str">
        <x:v>Frankfurt am Main</x:v>
      </x:c>
      <x:c r="L8" s="116" t="str">
        <x:v>069 475-3300</x:v>
      </x:c>
      <x:c r="M8" s="116" t="str">
        <x:v>anne.huebner@bgu-frankfurt.de</x:v>
      </x:c>
      <x:c r="N8" s="116" t="str">
        <x:v>https://www.bg-kliniken.de/unfallklinik-frankfurt/uvt-servicezentrum/pflegefachberatung/</x:v>
      </x:c>
      <x:c r="O8" s="116" t="str">
        <x:v>Subservice am bestehenden Klinik-Pin</x:v>
      </x:c>
      <x:c r="P8" s="116" t="str">
        <x:v>bestehender Klinikstandort</x:v>
      </x:c>
      <x:c r="Q8" s="116" t="str">
        <x:v>Kein Doppel-Pin.</x:v>
      </x:c>
    </x:row>
    <x:row r="9">
      <x:c r="A9" s="116" t="str">
        <x:v>A+</x:v>
      </x:c>
      <x:c r="B9" s="116" t="str">
        <x:v>Bestand erweitern</x:v>
      </x:c>
      <x:c r="C9" s="116" t="str">
        <x:v>BG Klinik Tübingen – Pflegefachberatung</x:v>
      </x:c>
      <x:c r="D9" s="116" t="str">
        <x:v>BG-Klinik-Pflegefachberatung</x:v>
      </x:c>
      <x:c r="E9" s="116" t="str">
        <x:v>Tübingen / überregional</x:v>
      </x:c>
      <x:c r="F9" s="116" t="str">
        <x:v>Von Unfallversicherungsträgern beauftragbar</x:v>
      </x:c>
      <x:c r="G9" s="116" t="str">
        <x:v>Hausbesuch; Pflege-/Hilfsmittelbedarf; Empfehlungen; Pflegegutachten</x:v>
      </x:c>
      <x:c r="H9" s="116" t="str">
        <x:v>Diana Endl; Susanne Hein; Robert Lippert</x:v>
      </x:c>
      <x:c r="I9" s="116" t="str">
        <x:v>Schnarrenbergstraße 95</x:v>
      </x:c>
      <x:c r="J9" s="116" t="str">
        <x:v>72076</x:v>
      </x:c>
      <x:c r="K9" s="116" t="str">
        <x:v>Tübingen</x:v>
      </x:c>
      <x:c r="L9" s="116" t="str">
        <x:v>07071 606-3422</x:v>
      </x:c>
      <x:c r="M9" s="116" t="str">
        <x:v>Pflegefachberatung@bgu-tuebingen.de</x:v>
      </x:c>
      <x:c r="N9" s="116" t="str">
        <x:v>https://www.bg-kliniken.de/klinik-tuebingen/pflegefachberatung/</x:v>
      </x:c>
      <x:c r="O9" s="116" t="str">
        <x:v>Subservice am bestehenden Klinik-Pin</x:v>
      </x:c>
      <x:c r="P9" s="116" t="str">
        <x:v>bestehender Klinikstandort</x:v>
      </x:c>
      <x:c r="Q9" s="116" t="str">
        <x:v>Kein Doppel-Pin.</x:v>
      </x:c>
    </x:row>
    <x:row r="10">
      <x:c r="A10" s="116" t="str">
        <x:v>A+</x:v>
      </x:c>
      <x:c r="B10" s="116" t="str">
        <x:v>Neuaufnahme</x:v>
      </x:c>
      <x:c r="C10" s="116" t="str">
        <x:v>CareService</x:v>
      </x:c>
      <x:c r="D10" s="116" t="str">
        <x:v>Pflegegutachten / Versorgungsmanagement</x:v>
      </x:c>
      <x:c r="E10" s="116" t="str">
        <x:v>bundesweit / international</x:v>
      </x:c>
      <x:c r="F10" s="116" t="str">
        <x:v>§ 44 SGB VII; Methodik mit BGs; Partner gesetzlicher Unfallversicherer</x:v>
      </x:c>
      <x:c r="G10" s="116" t="str">
        <x:v>Pflegegutachten; Pflegebedarf; Qualitätskontrolle; Hilfsmittel; Wohnraumanpassung; Case Management</x:v>
      </x:c>
      <x:c r="H10" s="116" t="str">
        <x:v>CareService Gutachten</x:v>
      </x:c>
      <x:c r="I10" s="116" t="str">
        <x:v>Kammerrathsfeldstraße 20</x:v>
      </x:c>
      <x:c r="J10" s="116" t="str">
        <x:v>40593</x:v>
      </x:c>
      <x:c r="K10" s="116" t="str">
        <x:v>Düsseldorf</x:v>
      </x:c>
      <x:c r="L10" s="116" t="str">
        <x:v>02131 73925-0</x:v>
      </x:c>
      <x:c r="M10" s="116" t="str">
        <x:v>gutachten@careservice.de</x:v>
      </x:c>
      <x:c r="N10" s="116" t="str">
        <x:v>https://www.careservice.de/</x:v>
      </x:c>
      <x:c r="O10" s="116" t="str">
        <x:v>überregional – HQ nicht für Distanzranking</x:v>
      </x:c>
      <x:c r="P10" s="116" t="str">
        <x:v>Sitzadresse geprüft</x:v>
      </x:c>
      <x:c r="Q10" s="116" t="str">
        <x:v>A+ für komplexe GUV-Pflegefälle.</x:v>
      </x:c>
    </x:row>
    <x:row r="11">
      <x:c r="A11" s="116" t="str">
        <x:v>A</x:v>
      </x:c>
      <x:c r="B11" s="116" t="str">
        <x:v>Neuaufnahme</x:v>
      </x:c>
      <x:c r="C11" s="116" t="str">
        <x:v>B-I-S e.K. – Wolfgang Müller</x:v>
      </x:c>
      <x:c r="D11" s="116" t="str">
        <x:v>Unabhängiger Pflegesachverständiger</x:v>
      </x:c>
      <x:c r="E11" s="116" t="str">
        <x:v>Baden-Württemberg / bundesweit</x:v>
      </x:c>
      <x:c r="F11" s="116" t="str">
        <x:v>Pflegegutachten nach § 44 SGB VII ausdrücklich ausgewiesen</x:v>
      </x:c>
      <x:c r="G11" s="116" t="str">
        <x:v>Pflegegutachten; SGB VII/XI; Pflegebedarf</x:v>
      </x:c>
      <x:c r="H11" s="116" t="str">
        <x:v>Wolfgang Müller</x:v>
      </x:c>
      <x:c r="I11" s="116" t="str">
        <x:v>Blautalstraße 33</x:v>
      </x:c>
      <x:c r="J11" s="116" t="str">
        <x:v>89134</x:v>
      </x:c>
      <x:c r="K11" s="116" t="str">
        <x:v>Blaustein</x:v>
      </x:c>
      <x:c r="L11" s="116" t="str">
        <x:v>07304 7685; 0172 7607266</x:v>
      </x:c>
      <x:c r="M11" s="116" t="str"/>
      <x:c r="N11" s="116" t="str"/>
      <x:c r="O11" s="116" t="str">
        <x:v>regionaler Kartenpunkt nach Geocode-Freigabe</x:v>
      </x:c>
      <x:c r="P11" s="116" t="str">
        <x:v>Adresse/Qualifikation geprüft; Lat/Lon offen</x:v>
      </x:c>
      <x:c r="Q11" s="116" t="str">
        <x:v>Zertifizierter Sachverständiger.</x:v>
      </x:c>
    </x:row>
    <x:row r="12">
      <x:c r="A12" s="116" t="str">
        <x:v>B</x:v>
      </x:c>
      <x:c r="B12" s="116" t="str">
        <x:v>Neuaufnahme</x:v>
      </x:c>
      <x:c r="C12" s="116" t="str">
        <x:v>ORGAMed Dortmund GmbH</x:v>
      </x:c>
      <x:c r="D12" s="116" t="str">
        <x:v>Pflegegutachten / Case Management</x:v>
      </x:c>
      <x:c r="E12" s="116" t="str">
        <x:v>überregional</x:v>
      </x:c>
      <x:c r="F12" s="116" t="str">
        <x:v>BG-Pflegegutachten/SGB VII ausdrücklich ausgewiesen</x:v>
      </x:c>
      <x:c r="G12" s="116" t="str">
        <x:v>Pflegegutachten; Pflegeorganisation; Case Management; Persönliches Budget</x:v>
      </x:c>
      <x:c r="H12" s="116" t="str">
        <x:v>ORGAMed Dortmund</x:v>
      </x:c>
      <x:c r="I12" s="116" t="str">
        <x:v>Breierspfad 159</x:v>
      </x:c>
      <x:c r="J12" s="116" t="str">
        <x:v>44309</x:v>
      </x:c>
      <x:c r="K12" s="116" t="str">
        <x:v>Dortmund</x:v>
      </x:c>
      <x:c r="L12" s="116" t="str">
        <x:v>0231 936970-0</x:v>
      </x:c>
      <x:c r="M12" s="116" t="str">
        <x:v>info@orgamed-dortmund.de</x:v>
      </x:c>
      <x:c r="N12" s="116" t="str">
        <x:v>https://www.orgamed-dortmund.de/</x:v>
      </x:c>
      <x:c r="O12" s="116" t="str">
        <x:v>überregional – HQ nicht für Distanzranking</x:v>
      </x:c>
      <x:c r="P12" s="116" t="str">
        <x:v>Sitzadresse geprüft</x:v>
      </x:c>
      <x:c r="Q12" s="116" t="str">
        <x:v>B wegen fehlendem Südwest-Hauptstandort.</x:v>
      </x:c>
    </x:row>
    <x:row r="13">
      <x:c r="A13" s="116" t="str">
        <x:v>A+</x:v>
      </x:c>
      <x:c r="B13" s="116" t="str">
        <x:v>Cross-Tag / Neuaufnahme</x:v>
      </x:c>
      <x:c r="C13" s="116" t="str">
        <x:v>RehaCare</x:v>
      </x:c>
      <x:c r="D13" s="116" t="str">
        <x:v>Reha-Management / Pflege + Beruf</x:v>
      </x:c>
      <x:c r="E13" s="116" t="str">
        <x:v>bundesweit</x:v>
      </x:c>
      <x:c r="F13" s="116" t="str">
        <x:v>Versicherungsnahes Reha-/Case-Management; Pflegegutachten/Pflegemanagement</x:v>
      </x:c>
      <x:c r="G13" s="116" t="str">
        <x:v>Pflege- und Hilfsmittelmanagement; Pflegegutachten; berufliche Integration/Jobakquise</x:v>
      </x:c>
      <x:c r="H13" s="116" t="str">
        <x:v>RehaCare</x:v>
      </x:c>
      <x:c r="I13" s="116" t="str">
        <x:v>Kapuzinerstraße 9D</x:v>
      </x:c>
      <x:c r="J13" s="116" t="str">
        <x:v>80337</x:v>
      </x:c>
      <x:c r="K13" s="116" t="str">
        <x:v>München</x:v>
      </x:c>
      <x:c r="L13" s="116" t="str">
        <x:v>+49 89 2000451-20</x:v>
      </x:c>
      <x:c r="M13" s="116" t="str">
        <x:v>info@rehacare.net</x:v>
      </x:c>
      <x:c r="N13" s="116" t="str">
        <x:v>https://www.rehacare.net/</x:v>
      </x:c>
      <x:c r="O13" s="116" t="str">
        <x:v>überregional – HQ nicht für Distanzranking</x:v>
      </x:c>
      <x:c r="P13" s="116" t="str">
        <x:v>Sitzadresse geprüft</x:v>
      </x:c>
      <x:c r="Q13" s="116" t="str">
        <x:v>Nur ein logischer Masterdatensatz; in Pflege und Arbeitsvermittlung sichtbar.</x:v>
      </x:c>
    </x:row>
  </x:sheetData>
  <x:mergeCells>
    <x:mergeCell ref="A1:Q1"/>
    <x:mergeCell ref="A2:Q2"/>
  </x:mergeCells>
  <x:conditionalFormatting sqref="A5:A13">
    <x:cfRule type="expression" dxfId="26" priority="1">
      <x:formula>A5="A+"</x:formula>
    </x:cfRule>
  </x:conditionalFormatting>
  <x:pageMargins left="0.7" right="0.7" top="0.75" bottom="0.75" header="0.3" footer="0.3"/>
  <x:tableParts count="1">
    <x:tablePart xmlns:r="http://schemas.openxmlformats.org/officeDocument/2006/relationships" r:id="Ref6f6bbcb1cd4575"/>
  </x:tableParts>
</x:worksheet>
</file>

<file path=xl/worksheets/sheet32.xml><?xml version="1.0" encoding="utf-8"?>
<x:worksheet xmlns:x="http://schemas.openxmlformats.org/spreadsheetml/2006/main">
  <x:sheetFormatPr defaultRowHeight="15"/>
  <x:cols>
    <x:col min="1" max="1" width="10" hidden="0" customWidth="1"/>
    <x:col min="2" max="2" width="22" hidden="0" customWidth="1"/>
    <x:col min="3" max="3" width="36" hidden="0" customWidth="1"/>
    <x:col min="4" max="4" width="28" hidden="0" customWidth="1"/>
    <x:col min="5" max="5" width="27" hidden="0" customWidth="1"/>
    <x:col min="6" max="6" width="12" hidden="0" customWidth="1"/>
    <x:col min="7" max="7" width="12" hidden="0" customWidth="1"/>
    <x:col min="8" max="8" width="35" hidden="0" customWidth="1"/>
    <x:col min="9" max="9" width="46" hidden="0" customWidth="1"/>
    <x:col min="10" max="10" width="28" hidden="0" customWidth="1"/>
    <x:col min="11" max="11" width="10" hidden="0" customWidth="1"/>
    <x:col min="12" max="12" width="23" hidden="0" customWidth="1"/>
    <x:col min="13" max="13" width="23" hidden="0" customWidth="1"/>
    <x:col min="14" max="14" width="30" hidden="0" customWidth="1"/>
    <x:col min="15" max="15" width="42" hidden="0" customWidth="1"/>
    <x:col min="16" max="16" width="14" hidden="0" customWidth="1"/>
    <x:col min="17" max="17" width="14" hidden="0" customWidth="1"/>
    <x:col min="18" max="18" width="34" hidden="0" customWidth="1"/>
    <x:col min="19" max="19" width="32" hidden="0" customWidth="1"/>
    <x:col min="20" max="20" width="42" hidden="0" customWidth="1"/>
  </x:cols>
  <x:sheetData>
    <x:row r="1" ht="28" customHeight="1">
      <x:c r="A1" s="163" t="str">
        <x:v>Arbeitsvermittlung / Jobcoaching / Reha-Integrationsdienste – Zielbestand 4.4.x</x:v>
      </x:c>
      <x:c r="B1" s="163"/>
      <x:c r="C1" s="163"/>
      <x:c r="D1" s="163"/>
      <x:c r="E1" s="163"/>
      <x:c r="F1" s="163"/>
      <x:c r="G1" s="163"/>
      <x:c r="H1" s="163"/>
      <x:c r="I1" s="163"/>
      <x:c r="J1" s="163"/>
      <x:c r="K1" s="163"/>
      <x:c r="L1" s="163"/>
      <x:c r="M1" s="163"/>
      <x:c r="N1" s="163"/>
      <x:c r="O1" s="163"/>
      <x:c r="P1" s="163"/>
      <x:c r="Q1" s="163"/>
      <x:c r="R1" s="163"/>
      <x:c r="S1" s="163"/>
      <x:c r="T1" s="163"/>
    </x:row>
    <x:row r="2">
      <x:c r="A2" s="170" t="str">
        <x:v>Prioritätslogik trennt echten BG-/Versicherungs-Reha-Bezug von allgemeiner AVGS-/Jobcoaching-Leistung. Altbestände und öffentliche Reha-Netzwerkpartner bleiben erhalten, ohne als Neuaufnahme gezählt zu werden.</x:v>
      </x:c>
      <x:c r="B2" s="170"/>
      <x:c r="C2" s="170"/>
      <x:c r="D2" s="170"/>
      <x:c r="E2" s="170"/>
      <x:c r="F2" s="170"/>
      <x:c r="G2" s="170"/>
      <x:c r="H2" s="170"/>
      <x:c r="I2" s="170"/>
      <x:c r="J2" s="170"/>
      <x:c r="K2" s="170"/>
      <x:c r="L2" s="170"/>
      <x:c r="M2" s="170"/>
      <x:c r="N2" s="170"/>
      <x:c r="O2" s="170"/>
      <x:c r="P2" s="170"/>
      <x:c r="Q2" s="170"/>
      <x:c r="R2" s="170"/>
      <x:c r="S2" s="170"/>
      <x:c r="T2" s="170"/>
    </x:row>
    <x:row r="3">
      <x:c r="A3" s="113"/>
      <x:c r="B3" s="113"/>
      <x:c r="C3" s="113"/>
      <x:c r="D3" s="113"/>
      <x:c r="E3" s="113"/>
      <x:c r="F3" s="113"/>
      <x:c r="G3" s="113"/>
      <x:c r="H3" s="113"/>
      <x:c r="I3" s="113"/>
      <x:c r="J3" s="113"/>
      <x:c r="K3" s="113"/>
      <x:c r="L3" s="113"/>
      <x:c r="M3" s="113"/>
      <x:c r="N3" s="113"/>
      <x:c r="O3" s="113"/>
      <x:c r="P3" s="113"/>
      <x:c r="Q3" s="113"/>
      <x:c r="R3" s="113"/>
      <x:c r="S3" s="113"/>
      <x:c r="T3" s="113"/>
    </x:row>
    <x:row r="4" ht="30" customHeight="1">
      <x:c r="A4" s="166" t="str">
        <x:v>Priorität</x:v>
      </x:c>
      <x:c r="B4" s="166" t="str">
        <x:v>Status</x:v>
      </x:c>
      <x:c r="C4" s="166" t="str">
        <x:v>Anbieter</x:v>
      </x:c>
      <x:c r="D4" s="166" t="str">
        <x:v>Typ</x:v>
      </x:c>
      <x:c r="E4" s="166" t="str">
        <x:v>Ort/Region</x:v>
      </x:c>
      <x:c r="F4" s="166" t="str">
        <x:v>Jobakquise</x:v>
      </x:c>
      <x:c r="G4" s="166" t="str">
        <x:v>Jobcoaching</x:v>
      </x:c>
      <x:c r="H4" s="166" t="str">
        <x:v>Reha-/BG-Eignung</x:v>
      </x:c>
      <x:c r="I4" s="166" t="str">
        <x:v>Leistungen</x:v>
      </x:c>
      <x:c r="J4" s="166" t="str">
        <x:v>Straße</x:v>
      </x:c>
      <x:c r="K4" s="166" t="str">
        <x:v>PLZ</x:v>
      </x:c>
      <x:c r="L4" s="166" t="str">
        <x:v>Ort</x:v>
      </x:c>
      <x:c r="M4" s="166" t="str">
        <x:v>Telefon</x:v>
      </x:c>
      <x:c r="N4" s="166" t="str">
        <x:v>E-Mail</x:v>
      </x:c>
      <x:c r="O4" s="166" t="str">
        <x:v>Website</x:v>
      </x:c>
      <x:c r="P4" s="166" t="str">
        <x:v>Lat</x:v>
      </x:c>
      <x:c r="Q4" s="166" t="str">
        <x:v>Lon</x:v>
      </x:c>
      <x:c r="R4" s="166" t="str">
        <x:v>Kartenmodus</x:v>
      </x:c>
      <x:c r="S4" s="166" t="str">
        <x:v>Quelle/Status</x:v>
      </x:c>
      <x:c r="T4" s="166" t="str">
        <x:v>Hinweis</x:v>
      </x:c>
    </x:row>
    <x:row r="5">
      <x:c r="A5" s="116" t="str">
        <x:v>A</x:v>
      </x:c>
      <x:c r="B5" s="116" t="str">
        <x:v>Neuaufnahme</x:v>
      </x:c>
      <x:c r="C5" s="116" t="str">
        <x:v>pebb gmbh – Ober-Hilbersheim</x:v>
      </x:c>
      <x:c r="D5" s="116" t="str">
        <x:v>BEM / Coaching</x:v>
      </x:c>
      <x:c r="E5" s="116" t="str">
        <x:v>Rheinland-Pfalz</x:v>
      </x:c>
      <x:c r="F5" s="116" t="str">
        <x:v>indirekt</x:v>
      </x:c>
      <x:c r="G5" s="116" t="str">
        <x:v>Ja</x:v>
      </x:c>
      <x:c r="H5" s="116" t="str">
        <x:v>Versicherungs-/BEM-nah</x:v>
      </x:c>
      <x:c r="I5" s="116" t="str">
        <x:v>Externes BEM; berufliche Entwicklung; Coaching</x:v>
      </x:c>
      <x:c r="J5" s="116" t="str">
        <x:v>Sprendlinger Straße 20a</x:v>
      </x:c>
      <x:c r="K5" s="116" t="str">
        <x:v>55437</x:v>
      </x:c>
      <x:c r="L5" s="116" t="str">
        <x:v>Ober-Hilbersheim</x:v>
      </x:c>
      <x:c r="M5" s="116" t="str">
        <x:v>06728 621</x:v>
      </x:c>
      <x:c r="N5" s="116" t="str">
        <x:v>info@pebb.de</x:v>
      </x:c>
      <x:c r="O5" s="116" t="str">
        <x:v>https://www.pebb.de/</x:v>
      </x:c>
      <x:c r="P5" s="135" t="str"/>
      <x:c r="Q5" s="135" t="str"/>
      <x:c r="R5" s="116" t="str">
        <x:v>regional nach Geocode</x:v>
      </x:c>
      <x:c r="S5" s="116" t="str">
        <x:v>Primärquelle aktuell</x:v>
      </x:c>
      <x:c r="T5" s="116" t="str">
        <x:v>mit pebb zwei verknüpft</x:v>
      </x:c>
    </x:row>
    <x:row r="6">
      <x:c r="A6" s="116" t="str">
        <x:v>A+</x:v>
      </x:c>
      <x:c r="B6" s="116" t="str">
        <x:v>Neuaufnahme</x:v>
      </x:c>
      <x:c r="C6" s="116" t="str">
        <x:v>pebb zwei gmbh – Ober-Hilbersheim</x:v>
      </x:c>
      <x:c r="D6" s="116" t="str">
        <x:v>Arbeitsvermittlung / Berufswegplanung</x:v>
      </x:c>
      <x:c r="E6" s="116" t="str">
        <x:v>Rheinland-Pfalz/Saarland</x:v>
      </x:c>
      <x:c r="F6" s="116" t="str">
        <x:v>Ja</x:v>
      </x:c>
      <x:c r="G6" s="116" t="str">
        <x:v>Ja</x:v>
      </x:c>
      <x:c r="H6" s="116" t="str">
        <x:v>Reha-Arbeitsvermittlung</x:v>
      </x:c>
      <x:c r="I6" s="116" t="str">
        <x:v>Betreute Arbeitsvermittlung; Berufswegplanung; Integration</x:v>
      </x:c>
      <x:c r="J6" s="116" t="str">
        <x:v>Sprendlinger Straße 20a</x:v>
      </x:c>
      <x:c r="K6" s="116" t="str">
        <x:v>55437</x:v>
      </x:c>
      <x:c r="L6" s="116" t="str">
        <x:v>Ober-Hilbersheim</x:v>
      </x:c>
      <x:c r="M6" s="116" t="str">
        <x:v>06728 621</x:v>
      </x:c>
      <x:c r="N6" s="116" t="str">
        <x:v>ober-hilbersheim@pebbzwei.de</x:v>
      </x:c>
      <x:c r="O6" s="116" t="str">
        <x:v>https://www.pebbzwei.de/</x:v>
      </x:c>
      <x:c r="P6" s="135" t="str"/>
      <x:c r="Q6" s="135" t="str"/>
      <x:c r="R6" s="116" t="str">
        <x:v>regional nach Geocode</x:v>
      </x:c>
      <x:c r="S6" s="116" t="str">
        <x:v>Primärquelle aktuell</x:v>
      </x:c>
      <x:c r="T6" s="116" t="str">
        <x:v>getrennter Masterdatensatz zu pebb</x:v>
      </x:c>
    </x:row>
    <x:row r="7">
      <x:c r="A7" s="116" t="str">
        <x:v>A+</x:v>
      </x:c>
      <x:c r="B7" s="116" t="str">
        <x:v>Neuaufnahme</x:v>
      </x:c>
      <x:c r="C7" s="116" t="str">
        <x:v>InReha</x:v>
      </x:c>
      <x:c r="D7" s="116" t="str">
        <x:v>Reha-Integrationsdienst</x:v>
      </x:c>
      <x:c r="E7" s="116" t="str">
        <x:v>bundesweit</x:v>
      </x:c>
      <x:c r="F7" s="116" t="str">
        <x:v>Ja</x:v>
      </x:c>
      <x:c r="G7" s="116" t="str">
        <x:v>Ja</x:v>
      </x:c>
      <x:c r="H7" s="116" t="str">
        <x:v>BG/UK ausdrücklich</x:v>
      </x:c>
      <x:c r="I7" s="116" t="str">
        <x:v>Arbeitsplatzanalyse; Arbeitgebergespräche; Wiedereingliederung; Qualifizierung/Umschulung</x:v>
      </x:c>
      <x:c r="J7" s="116" t="str">
        <x:v>Frahmredder 14</x:v>
      </x:c>
      <x:c r="K7" s="116" t="str">
        <x:v>22393</x:v>
      </x:c>
      <x:c r="L7" s="116" t="str">
        <x:v>Hamburg</x:v>
      </x:c>
      <x:c r="M7" s="116" t="str">
        <x:v>+49 40 7200408-0</x:v>
      </x:c>
      <x:c r="N7" s="116" t="str">
        <x:v>info@inreha.net</x:v>
      </x:c>
      <x:c r="O7" s="116" t="str">
        <x:v>https://www.inreha.net/</x:v>
      </x:c>
      <x:c r="P7" s="135" t="str"/>
      <x:c r="Q7" s="135" t="str"/>
      <x:c r="R7" s="116" t="str">
        <x:v>überregional – HQ nicht für Distanzranking</x:v>
      </x:c>
      <x:c r="S7" s="116" t="str">
        <x:v>Primärquelle aktuell</x:v>
      </x:c>
      <x:c r="T7" s="116" t="str">
        <x:v>A+ BG-/UV-Kernanbieter</x:v>
      </x:c>
    </x:row>
    <x:row r="8">
      <x:c r="A8" s="116" t="str">
        <x:v>A+</x:v>
      </x:c>
      <x:c r="B8" s="116" t="str">
        <x:v>Neuaufnahme</x:v>
      </x:c>
      <x:c r="C8" s="116" t="str">
        <x:v>CAMAS Integration &amp; Consulting – Nierstein</x:v>
      </x:c>
      <x:c r="D8" s="116" t="str">
        <x:v>Reha-Integrationsdienst</x:v>
      </x:c>
      <x:c r="E8" s="116" t="str">
        <x:v>Rheinhessen/Rhein-Main</x:v>
      </x:c>
      <x:c r="F8" s="116" t="str">
        <x:v>Ja</x:v>
      </x:c>
      <x:c r="G8" s="116" t="str">
        <x:v>Ja</x:v>
      </x:c>
      <x:c r="H8" s="116" t="str">
        <x:v>gesetzliche Unfall-/Sozialversicherer ausdrücklich</x:v>
      </x:c>
      <x:c r="I8" s="116" t="str">
        <x:v>Berufliche Rehabilitation; Integration; Jobakquise; Coaching</x:v>
      </x:c>
      <x:c r="J8" s="116" t="str">
        <x:v>Mainzer Straße 44</x:v>
      </x:c>
      <x:c r="K8" s="116" t="str">
        <x:v>55283</x:v>
      </x:c>
      <x:c r="L8" s="116" t="str">
        <x:v>Nierstein</x:v>
      </x:c>
      <x:c r="M8" s="116" t="str">
        <x:v>06133 5000052</x:v>
      </x:c>
      <x:c r="N8" s="116" t="str">
        <x:v>info@camas-integration.de</x:v>
      </x:c>
      <x:c r="O8" s="116" t="str">
        <x:v>https://www.camas-integration.de/</x:v>
      </x:c>
      <x:c r="P8" s="135" t="str"/>
      <x:c r="Q8" s="135" t="str"/>
      <x:c r="R8" s="116" t="str">
        <x:v>regional nach Geocode</x:v>
      </x:c>
      <x:c r="S8" s="116" t="str">
        <x:v>Primärquelle aktuell</x:v>
      </x:c>
      <x:c r="T8" s="116" t="str">
        <x:v>A+ regionaler Versicherungs-/Reha-Dienst</x:v>
      </x:c>
    </x:row>
    <x:row r="9">
      <x:c r="A9" s="116" t="str">
        <x:v>A+</x:v>
      </x:c>
      <x:c r="B9" s="116" t="str">
        <x:v>Neuaufnahme</x:v>
      </x:c>
      <x:c r="C9" s="116" t="str">
        <x:v>RehaCare</x:v>
      </x:c>
      <x:c r="D9" s="116" t="str">
        <x:v>Reha-/Case-Management</x:v>
      </x:c>
      <x:c r="E9" s="116" t="str">
        <x:v>bundesweit</x:v>
      </x:c>
      <x:c r="F9" s="116" t="str">
        <x:v>Ja</x:v>
      </x:c>
      <x:c r="G9" s="116" t="str">
        <x:v>Ja</x:v>
      </x:c>
      <x:c r="H9" s="116" t="str">
        <x:v>versicherungsnah</x:v>
      </x:c>
      <x:c r="I9" s="116" t="str">
        <x:v>Bewerbungstraining; Jobakquise; Arbeitsplatzanpassung; Qualifizierung; Pflege/Hilfsmittel</x:v>
      </x:c>
      <x:c r="J9" s="116" t="str">
        <x:v>Kapuzinerstraße 9D</x:v>
      </x:c>
      <x:c r="K9" s="116" t="str">
        <x:v>80337</x:v>
      </x:c>
      <x:c r="L9" s="116" t="str">
        <x:v>München</x:v>
      </x:c>
      <x:c r="M9" s="116" t="str">
        <x:v>+49 89 2000451-20</x:v>
      </x:c>
      <x:c r="N9" s="116" t="str">
        <x:v>info@rehacare.net</x:v>
      </x:c>
      <x:c r="O9" s="116" t="str">
        <x:v>https://www.rehacare.net/</x:v>
      </x:c>
      <x:c r="P9" s="135" t="str"/>
      <x:c r="Q9" s="135" t="str"/>
      <x:c r="R9" s="116" t="str">
        <x:v>überregional – HQ nicht für Distanzranking</x:v>
      </x:c>
      <x:c r="S9" s="116" t="str">
        <x:v>Primärquelle aktuell</x:v>
      </x:c>
      <x:c r="T9" s="116" t="str">
        <x:v>Cross-Tag Pflege; nur ein Masterdatensatz</x:v>
      </x:c>
    </x:row>
    <x:row r="10">
      <x:c r="A10" s="116" t="str">
        <x:v>A+</x:v>
      </x:c>
      <x:c r="B10" s="116" t="str">
        <x:v>Neuaufnahme</x:v>
      </x:c>
      <x:c r="C10" s="116" t="str">
        <x:v>IHR Rehabilitations-Dienst GmbH</x:v>
      </x:c>
      <x:c r="D10" s="116" t="str">
        <x:v>Rehabilitationsdienst</x:v>
      </x:c>
      <x:c r="E10" s="116" t="str">
        <x:v>bundesweit</x:v>
      </x:c>
      <x:c r="F10" s="116" t="str">
        <x:v>Ja</x:v>
      </x:c>
      <x:c r="G10" s="116" t="str">
        <x:v>Ja</x:v>
      </x:c>
      <x:c r="H10" s="116" t="str">
        <x:v>LTA-/Personenschaden-Reha</x:v>
      </x:c>
      <x:c r="I10" s="116" t="str">
        <x:v>Arbeitsplatzerhalt; Jobvermittlung; Bewerbung; Arbeitsplatzanpassung; Arbeitsmarktanalyse</x:v>
      </x:c>
      <x:c r="J10" s="116" t="str">
        <x:v>Theodor-Heuss-Ring 52</x:v>
      </x:c>
      <x:c r="K10" s="116" t="str">
        <x:v>50668</x:v>
      </x:c>
      <x:c r="L10" s="116" t="str">
        <x:v>Köln</x:v>
      </x:c>
      <x:c r="M10" s="116" t="str">
        <x:v>+49 221 29231-600</x:v>
      </x:c>
      <x:c r="N10" s="116" t="str">
        <x:v>info@ihr-rehadienst.com</x:v>
      </x:c>
      <x:c r="O10" s="116" t="str">
        <x:v>https://www.ihr-rehadienst.com/</x:v>
      </x:c>
      <x:c r="P10" s="135" t="str"/>
      <x:c r="Q10" s="135" t="str"/>
      <x:c r="R10" s="116" t="str">
        <x:v>überregional – HQ nicht für Distanzranking</x:v>
      </x:c>
      <x:c r="S10" s="116" t="str">
        <x:v>Primärquelle aktuell</x:v>
      </x:c>
      <x:c r="T10" s="116" t="str">
        <x:v>A+ umfassender LTA-Dienst</x:v>
      </x:c>
    </x:row>
    <x:row r="11">
      <x:c r="A11" s="116" t="str">
        <x:v>A</x:v>
      </x:c>
      <x:c r="B11" s="116" t="str">
        <x:v>Neuaufnahme</x:v>
      </x:c>
      <x:c r="C11" s="116" t="str">
        <x:v>ReIntra GmbH</x:v>
      </x:c>
      <x:c r="D11" s="116" t="str">
        <x:v>Reha-Management</x:v>
      </x:c>
      <x:c r="E11" s="116" t="str">
        <x:v>bundesweit</x:v>
      </x:c>
      <x:c r="F11" s="116" t="str">
        <x:v>indirekt</x:v>
      </x:c>
      <x:c r="G11" s="116" t="str">
        <x:v>Ja</x:v>
      </x:c>
      <x:c r="H11" s="116" t="str">
        <x:v>versicherungsnah; BG fallbezogen prüfen</x:v>
      </x:c>
      <x:c r="I11" s="116" t="str">
        <x:v>Berufliche Reintegration; BEM; Berufskunde; Perspektivenklärung</x:v>
      </x:c>
      <x:c r="J11" s="116" t="str">
        <x:v>Bahnhofstraße 16</x:v>
      </x:c>
      <x:c r="K11" s="116" t="str">
        <x:v>85774</x:v>
      </x:c>
      <x:c r="L11" s="116" t="str">
        <x:v>Unterföhring</x:v>
      </x:c>
      <x:c r="M11" s="116" t="str">
        <x:v>+49 89 9901889-10</x:v>
      </x:c>
      <x:c r="N11" s="116" t="str">
        <x:v>info@reintra.com</x:v>
      </x:c>
      <x:c r="O11" s="116" t="str">
        <x:v>https://www.reintra.com/</x:v>
      </x:c>
      <x:c r="P11" s="135" t="str"/>
      <x:c r="Q11" s="135" t="str"/>
      <x:c r="R11" s="116" t="str">
        <x:v>überregional – HQ nicht für Distanzranking</x:v>
      </x:c>
      <x:c r="S11" s="116" t="str">
        <x:v>Primärquelle aktuell</x:v>
      </x:c>
      <x:c r="T11" s="116" t="str">
        <x:v>A</x:v>
      </x:c>
    </x:row>
    <x:row r="12">
      <x:c r="A12" s="116" t="str">
        <x:v>A</x:v>
      </x:c>
      <x:c r="B12" s="116" t="str">
        <x:v>Neuaufnahme</x:v>
      </x:c>
      <x:c r="C12" s="116" t="str">
        <x:v>Donner + Partner – Karlsruhe</x:v>
      </x:c>
      <x:c r="D12" s="116" t="str">
        <x:v>Jobcoaching/Integration</x:v>
      </x:c>
      <x:c r="E12" s="116" t="str">
        <x:v>Karlsruhe</x:v>
      </x:c>
      <x:c r="F12" s="116" t="str">
        <x:v>Ja</x:v>
      </x:c>
      <x:c r="G12" s="116" t="str">
        <x:v>Ja</x:v>
      </x:c>
      <x:c r="H12" s="116" t="str">
        <x:v>Reha-/BG-Förderweg prüfen</x:v>
      </x:c>
      <x:c r="I12" s="116" t="str">
        <x:v>Coaching; Arbeitsmarktintegration; Qualifizierung</x:v>
      </x:c>
      <x:c r="J12" s="116" t="str">
        <x:v>Benzstraße 15</x:v>
      </x:c>
      <x:c r="K12" s="116" t="str">
        <x:v>76185</x:v>
      </x:c>
      <x:c r="L12" s="116" t="str">
        <x:v>Karlsruhe</x:v>
      </x:c>
      <x:c r="M12" s="116" t="str">
        <x:v>0721 8301044</x:v>
      </x:c>
      <x:c r="N12" s="116" t="str">
        <x:v>info.ka@donner-partner.eu</x:v>
      </x:c>
      <x:c r="O12" s="116" t="str">
        <x:v>https://www.donner-partner.de/</x:v>
      </x:c>
      <x:c r="P12" s="135" t="n">
        <x:v>48.999878</x:v>
      </x:c>
      <x:c r="Q12" s="135" t="n">
        <x:v>8.367066</x:v>
      </x:c>
      <x:c r="R12" s="116" t="str">
        <x:v>regionaler Kartenpunkt</x:v>
      </x:c>
      <x:c r="S12" s="116" t="str">
        <x:v>Anbieter-Standortseite</x:v>
      </x:c>
      <x:c r="T12" s="116" t="str">
        <x:v>BG-Bezug nicht ableiten</x:v>
      </x:c>
    </x:row>
    <x:row r="13">
      <x:c r="A13" s="116" t="str">
        <x:v>A</x:v>
      </x:c>
      <x:c r="B13" s="116" t="str">
        <x:v>Neuaufnahme</x:v>
      </x:c>
      <x:c r="C13" s="116" t="str">
        <x:v>Donner + Partner – Heilbronn</x:v>
      </x:c>
      <x:c r="D13" s="116" t="str">
        <x:v>RIA / Integration</x:v>
      </x:c>
      <x:c r="E13" s="116" t="str">
        <x:v>Heilbronn-Franken</x:v>
      </x:c>
      <x:c r="F13" s="116" t="str">
        <x:v>Ja</x:v>
      </x:c>
      <x:c r="G13" s="116" t="str">
        <x:v>Ja</x:v>
      </x:c>
      <x:c r="H13" s="116" t="str">
        <x:v>Reha-Leistung; BG-Förderweg prüfen</x:v>
      </x:c>
      <x:c r="I13" s="116" t="str">
        <x:v>Rehabilitation und Integration in den Arbeitsmarkt; betriebliche Erprobung</x:v>
      </x:c>
      <x:c r="J13" s="116" t="str">
        <x:v>Wilhelmstraße 23</x:v>
      </x:c>
      <x:c r="K13" s="116" t="str">
        <x:v>74072</x:v>
      </x:c>
      <x:c r="L13" s="116" t="str">
        <x:v>Heilbronn</x:v>
      </x:c>
      <x:c r="M13" s="116" t="str">
        <x:v>07131 38578-0</x:v>
      </x:c>
      <x:c r="N13" s="116" t="str">
        <x:v>info.hn@donner-partner.eu</x:v>
      </x:c>
      <x:c r="O13" s="116" t="str">
        <x:v>https://www.donner-partner.de/</x:v>
      </x:c>
      <x:c r="P13" s="135" t="n">
        <x:v>49.13579</x:v>
      </x:c>
      <x:c r="Q13" s="135" t="n">
        <x:v>9.219184</x:v>
      </x:c>
      <x:c r="R13" s="116" t="str">
        <x:v>regionaler Kartenpunkt</x:v>
      </x:c>
      <x:c r="S13" s="116" t="str">
        <x:v>Anbieter-Standortseite</x:v>
      </x:c>
      <x:c r="T13" s="116" t="str">
        <x:v>RIA besonders passend</x:v>
      </x:c>
    </x:row>
    <x:row r="14">
      <x:c r="A14" s="116" t="str">
        <x:v>A</x:v>
      </x:c>
      <x:c r="B14" s="116" t="str">
        <x:v>Neuaufnahme</x:v>
      </x:c>
      <x:c r="C14" s="116" t="str">
        <x:v>Donner + Partner – Tauberbischofsheim</x:v>
      </x:c>
      <x:c r="D14" s="116" t="str">
        <x:v>Jobcoaching/Integration</x:v>
      </x:c>
      <x:c r="E14" s="116" t="str">
        <x:v>Main-Tauber</x:v>
      </x:c>
      <x:c r="F14" s="116" t="str">
        <x:v>Ja</x:v>
      </x:c>
      <x:c r="G14" s="116" t="str">
        <x:v>Ja</x:v>
      </x:c>
      <x:c r="H14" s="116" t="str">
        <x:v>BG-Förderweg prüfen</x:v>
      </x:c>
      <x:c r="I14" s="116" t="str">
        <x:v>Individuelles Coaching; Integration erster Arbeitsmarkt</x:v>
      </x:c>
      <x:c r="J14" s="116" t="str">
        <x:v>Am Wört 1</x:v>
      </x:c>
      <x:c r="K14" s="116" t="str">
        <x:v>97941</x:v>
      </x:c>
      <x:c r="L14" s="116" t="str">
        <x:v>Tauberbischofsheim</x:v>
      </x:c>
      <x:c r="M14" s="116" t="str">
        <x:v>09341 8589680</x:v>
      </x:c>
      <x:c r="N14" s="116" t="str">
        <x:v>info.tbb@donner-partner.eu</x:v>
      </x:c>
      <x:c r="O14" s="116" t="str">
        <x:v>https://www.donner-partner.de/</x:v>
      </x:c>
      <x:c r="P14" s="135" t="n">
        <x:v>49.624692116031866</x:v>
      </x:c>
      <x:c r="Q14" s="135" t="n">
        <x:v>9.664777588449397</x:v>
      </x:c>
      <x:c r="R14" s="116" t="str">
        <x:v>regionaler Kartenpunkt</x:v>
      </x:c>
      <x:c r="S14" s="116" t="str">
        <x:v>Anbieter-Standortseite</x:v>
      </x:c>
      <x:c r="T14" s="116" t="str">
        <x:v>Taubertal-Lückenschluss</x:v>
      </x:c>
    </x:row>
    <x:row r="15">
      <x:c r="A15" s="116" t="str">
        <x:v>A</x:v>
      </x:c>
      <x:c r="B15" s="116" t="str">
        <x:v>Neuaufnahme</x:v>
      </x:c>
      <x:c r="C15" s="116" t="str">
        <x:v>Donner + Partner – Wertheim</x:v>
      </x:c>
      <x:c r="D15" s="116" t="str">
        <x:v>Jobcoaching/Integration</x:v>
      </x:c>
      <x:c r="E15" s="116" t="str">
        <x:v>Wertheim/Main-Tauber</x:v>
      </x:c>
      <x:c r="F15" s="116" t="str">
        <x:v>Ja</x:v>
      </x:c>
      <x:c r="G15" s="116" t="str">
        <x:v>Ja</x:v>
      </x:c>
      <x:c r="H15" s="116" t="str">
        <x:v>BG-Förderweg prüfen</x:v>
      </x:c>
      <x:c r="I15" s="116" t="str">
        <x:v>Coaching; berufliche Orientierung; Integration</x:v>
      </x:c>
      <x:c r="J15" s="116" t="str">
        <x:v>John-F.-Kennedy-Straße 4</x:v>
      </x:c>
      <x:c r="K15" s="116" t="str">
        <x:v>97877</x:v>
      </x:c>
      <x:c r="L15" s="116" t="str">
        <x:v>Wertheim</x:v>
      </x:c>
      <x:c r="M15" s="116" t="str">
        <x:v>09342 859932</x:v>
      </x:c>
      <x:c r="N15" s="116" t="str">
        <x:v>info.wertheim@donner-partner.de</x:v>
      </x:c>
      <x:c r="O15" s="116" t="str">
        <x:v>https://www.donner-partner.de/</x:v>
      </x:c>
      <x:c r="P15" s="135" t="n">
        <x:v>49.75309</x:v>
      </x:c>
      <x:c r="Q15" s="135" t="n">
        <x:v>9.49851</x:v>
      </x:c>
      <x:c r="R15" s="116" t="str">
        <x:v>regionaler Kartenpunkt</x:v>
      </x:c>
      <x:c r="S15" s="116" t="str">
        <x:v>Anbieter-Standortseite</x:v>
      </x:c>
      <x:c r="T15" s="116" t="str">
        <x:v>Unterfranken-Achse</x:v>
      </x:c>
    </x:row>
    <x:row r="16">
      <x:c r="A16" s="116" t="str">
        <x:v>A</x:v>
      </x:c>
      <x:c r="B16" s="116" t="str">
        <x:v>Neuaufnahme</x:v>
      </x:c>
      <x:c r="C16" s="116" t="str">
        <x:v>Donner + Partner – Ingelheim</x:v>
      </x:c>
      <x:c r="D16" s="116" t="str">
        <x:v>Jobcoaching/Integration</x:v>
      </x:c>
      <x:c r="E16" s="116" t="str">
        <x:v>Rheinhessen</x:v>
      </x:c>
      <x:c r="F16" s="116" t="str">
        <x:v>Ja</x:v>
      </x:c>
      <x:c r="G16" s="116" t="str">
        <x:v>Ja</x:v>
      </x:c>
      <x:c r="H16" s="116" t="str">
        <x:v>BG-Förderweg prüfen</x:v>
      </x:c>
      <x:c r="I16" s="116" t="str">
        <x:v>Integration; Coaching; Qualifizierung</x:v>
      </x:c>
      <x:c r="J16" s="116" t="str">
        <x:v>Konrad-Adenauer-Straße 30</x:v>
      </x:c>
      <x:c r="K16" s="116" t="str">
        <x:v>55218</x:v>
      </x:c>
      <x:c r="L16" s="116" t="str">
        <x:v>Ingelheim am Rhein</x:v>
      </x:c>
      <x:c r="M16" s="116" t="str">
        <x:v>06132 6220060</x:v>
      </x:c>
      <x:c r="N16" s="116" t="str">
        <x:v>info.ing@donner-partner.de</x:v>
      </x:c>
      <x:c r="O16" s="116" t="str">
        <x:v>https://www.donner-partner.de/</x:v>
      </x:c>
      <x:c r="P16" s="135" t="n">
        <x:v>49.98168</x:v>
      </x:c>
      <x:c r="Q16" s="135" t="n">
        <x:v>8.05281</x:v>
      </x:c>
      <x:c r="R16" s="116" t="str">
        <x:v>regionaler Kartenpunkt</x:v>
      </x:c>
      <x:c r="S16" s="116" t="str">
        <x:v>Anbieter-Standortseite</x:v>
      </x:c>
      <x:c r="T16" s="116" t="str">
        <x:v>Rheinhessen</x:v>
      </x:c>
    </x:row>
    <x:row r="17">
      <x:c r="A17" s="116" t="str">
        <x:v>B</x:v>
      </x:c>
      <x:c r="B17" s="116" t="str">
        <x:v>Neuaufnahme</x:v>
      </x:c>
      <x:c r="C17" s="116" t="str">
        <x:v>WOT – Ludwigshafen</x:v>
      </x:c>
      <x:c r="D17" s="116" t="str">
        <x:v>AVGS/Jobcoaching</x:v>
      </x:c>
      <x:c r="E17" s="116" t="str">
        <x:v>Vorderpfalz</x:v>
      </x:c>
      <x:c r="F17" s="116" t="str">
        <x:v>Ja</x:v>
      </x:c>
      <x:c r="G17" s="116" t="str">
        <x:v>Ja</x:v>
      </x:c>
      <x:c r="H17" s="116" t="str">
        <x:v>kein BG-Nachweis</x:v>
      </x:c>
      <x:c r="I17" s="116" t="str">
        <x:v>Jobcoaching; Bewerbung; Arbeitsmarktintegration</x:v>
      </x:c>
      <x:c r="J17" s="116" t="str">
        <x:v>Bismarckstraße 41</x:v>
      </x:c>
      <x:c r="K17" s="116" t="str">
        <x:v>67059</x:v>
      </x:c>
      <x:c r="L17" s="116" t="str">
        <x:v>Ludwigshafen am Rhein</x:v>
      </x:c>
      <x:c r="M17" s="116" t="str">
        <x:v>0621 33697020</x:v>
      </x:c>
      <x:c r="N17" s="116" t="str">
        <x:v>info@wot-trainings.com</x:v>
      </x:c>
      <x:c r="O17" s="116" t="str">
        <x:v>https://www.wot-trainings.com/</x:v>
      </x:c>
      <x:c r="P17" s="135" t="str"/>
      <x:c r="Q17" s="135" t="str"/>
      <x:c r="R17" s="116" t="str">
        <x:v>regional nach Geocode</x:v>
      </x:c>
      <x:c r="S17" s="116" t="str">
        <x:v>AVGS belegt</x:v>
      </x:c>
      <x:c r="T17" s="116" t="str">
        <x:v>nicht als BG-Spezialist darstellen</x:v>
      </x:c>
    </x:row>
    <x:row r="18">
      <x:c r="A18" s="116" t="str">
        <x:v>B</x:v>
      </x:c>
      <x:c r="B18" s="116" t="str">
        <x:v>Neuaufnahme</x:v>
      </x:c>
      <x:c r="C18" s="116" t="str">
        <x:v>WOT – Mannheim</x:v>
      </x:c>
      <x:c r="D18" s="116" t="str">
        <x:v>AVGS/Jobcoaching</x:v>
      </x:c>
      <x:c r="E18" s="116" t="str">
        <x:v>Rhein-Neckar</x:v>
      </x:c>
      <x:c r="F18" s="116" t="str">
        <x:v>Ja</x:v>
      </x:c>
      <x:c r="G18" s="116" t="str">
        <x:v>Ja</x:v>
      </x:c>
      <x:c r="H18" s="116" t="str">
        <x:v>kein BG-Nachweis</x:v>
      </x:c>
      <x:c r="I18" s="116" t="str">
        <x:v>Jobcoaching; Bewerbung; Arbeitsmarktintegration</x:v>
      </x:c>
      <x:c r="J18" s="116" t="str">
        <x:v>G7, 22</x:v>
      </x:c>
      <x:c r="K18" s="116" t="str">
        <x:v>68159</x:v>
      </x:c>
      <x:c r="L18" s="116" t="str">
        <x:v>Mannheim</x:v>
      </x:c>
      <x:c r="M18" s="116" t="str">
        <x:v>+49 176 81412342</x:v>
      </x:c>
      <x:c r="N18" s="116" t="str">
        <x:v>info@wot-trainings.com</x:v>
      </x:c>
      <x:c r="O18" s="116" t="str">
        <x:v>https://www.wot-trainings.com/</x:v>
      </x:c>
      <x:c r="P18" s="135" t="str"/>
      <x:c r="Q18" s="135" t="str"/>
      <x:c r="R18" s="116" t="str">
        <x:v>regional nach Geocode</x:v>
      </x:c>
      <x:c r="S18" s="116" t="str">
        <x:v>AVGS belegt</x:v>
      </x:c>
      <x:c r="T18" s="116" t="str">
        <x:v>zweiter Standort</x:v>
      </x:c>
    </x:row>
    <x:row r="19">
      <x:c r="A19" s="116" t="str">
        <x:v>B</x:v>
      </x:c>
      <x:c r="B19" s="116" t="str">
        <x:v>Neuaufnahme</x:v>
      </x:c>
      <x:c r="C19" s="116" t="str">
        <x:v>CBE Rhein-Neckar – Leimen</x:v>
      </x:c>
      <x:c r="D19" s="116" t="str">
        <x:v>Private Arbeitsvermittlung / AVGS</x:v>
      </x:c>
      <x:c r="E19" s="116" t="str">
        <x:v>Rhein-Neckar</x:v>
      </x:c>
      <x:c r="F19" s="116" t="str">
        <x:v>Ja</x:v>
      </x:c>
      <x:c r="G19" s="116" t="str">
        <x:v>Ja</x:v>
      </x:c>
      <x:c r="H19" s="116" t="str">
        <x:v>kein BG-Nachweis</x:v>
      </x:c>
      <x:c r="I19" s="116" t="str">
        <x:v>Private Arbeitsvermittlung; Rückkehr in Arbeitsmarkt; Coaching</x:v>
      </x:c>
      <x:c r="J19" s="116" t="str">
        <x:v>Kurpfalzstraße 27</x:v>
      </x:c>
      <x:c r="K19" s="116" t="str">
        <x:v>69181</x:v>
      </x:c>
      <x:c r="L19" s="116" t="str">
        <x:v>Leimen</x:v>
      </x:c>
      <x:c r="M19" s="116" t="str">
        <x:v>0176 34455465</x:v>
      </x:c>
      <x:c r="N19" s="116" t="str">
        <x:v>info@cberheinneckar.de</x:v>
      </x:c>
      <x:c r="O19" s="116" t="str">
        <x:v>https://www.cberheinneckar.de/</x:v>
      </x:c>
      <x:c r="P19" s="135" t="str"/>
      <x:c r="Q19" s="135" t="str"/>
      <x:c r="R19" s="116" t="str">
        <x:v>regional nach Geocode</x:v>
      </x:c>
      <x:c r="S19" s="116" t="str">
        <x:v>BA/Anbieter aktuell</x:v>
      </x:c>
      <x:c r="T19" s="116" t="str">
        <x:v>wohnortnahe Ergänzung</x:v>
      </x:c>
    </x:row>
    <x:row r="20">
      <x:c r="A20" s="116" t="str">
        <x:v>B</x:v>
      </x:c>
      <x:c r="B20" s="116" t="str">
        <x:v>Neuaufnahme</x:v>
      </x:c>
      <x:c r="C20" s="116" t="str">
        <x:v>INQUA Institut – Mannheim / Online</x:v>
      </x:c>
      <x:c r="D20" s="116" t="str">
        <x:v>AVGS-Karrierecoaching</x:v>
      </x:c>
      <x:c r="E20" s="116" t="str">
        <x:v>Mannheim + online</x:v>
      </x:c>
      <x:c r="F20" s="116" t="str">
        <x:v>indirekt</x:v>
      </x:c>
      <x:c r="G20" s="116" t="str">
        <x:v>Ja</x:v>
      </x:c>
      <x:c r="H20" s="116" t="str">
        <x:v>kein BG-Nachweis</x:v>
      </x:c>
      <x:c r="I20" s="116" t="str">
        <x:v>Karrierecoaching; Neuorientierung; Präsenz/Hybrid/Online</x:v>
      </x:c>
      <x:c r="J20" s="116" t="str"/>
      <x:c r="K20" s="116" t="str"/>
      <x:c r="L20" s="116" t="str">
        <x:v>Mannheim / Online</x:v>
      </x:c>
      <x:c r="M20" s="116" t="str">
        <x:v>0800 1720178</x:v>
      </x:c>
      <x:c r="N20" s="116" t="str">
        <x:v>info@inqua-institut.de</x:v>
      </x:c>
      <x:c r="O20" s="116" t="str">
        <x:v>https://www.inqua-institut.de/</x:v>
      </x:c>
      <x:c r="P20" s="135" t="str"/>
      <x:c r="Q20" s="135" t="str"/>
      <x:c r="R20" s="116" t="str">
        <x:v>Serviceeintrag – kein künstlicher Mannheim-Pin</x:v>
      </x:c>
      <x:c r="S20" s="116" t="str">
        <x:v>Mannheim-Angebot aktuell</x:v>
      </x:c>
      <x:c r="T20" s="116" t="str">
        <x:v>keine Berliner HQ-Koordinate nutzen</x:v>
      </x:c>
    </x:row>
    <x:row r="21">
      <x:c r="A21" s="116" t="str">
        <x:v>B</x:v>
      </x:c>
      <x:c r="B21" s="116" t="str">
        <x:v>Neuaufnahme</x:v>
      </x:c>
      <x:c r="C21" s="116" t="str">
        <x:v>JobCoaching Jetzt! – Reha Coaching</x:v>
      </x:c>
      <x:c r="D21" s="116" t="str">
        <x:v>AVGS/Reha-Coaching</x:v>
      </x:c>
      <x:c r="E21" s="116" t="str">
        <x:v>überregional/online</x:v>
      </x:c>
      <x:c r="F21" s="116" t="str">
        <x:v>indirekt</x:v>
      </x:c>
      <x:c r="G21" s="116" t="str">
        <x:v>Ja</x:v>
      </x:c>
      <x:c r="H21" s="116" t="str">
        <x:v>Reha-Coaching, kein BG-Nachweis</x:v>
      </x:c>
      <x:c r="I21" s="116" t="str">
        <x:v>Reha Coaching / Reha Neustart; Jobcoaching</x:v>
      </x:c>
      <x:c r="J21" s="116" t="str">
        <x:v>Berliner Straße 145</x:v>
      </x:c>
      <x:c r="K21" s="116" t="str">
        <x:v>14467</x:v>
      </x:c>
      <x:c r="L21" s="116" t="str">
        <x:v>Potsdam</x:v>
      </x:c>
      <x:c r="M21" s="116" t="str">
        <x:v>0331 23700672</x:v>
      </x:c>
      <x:c r="N21" s="116" t="str">
        <x:v>info@jobcoaching-jetzt.de</x:v>
      </x:c>
      <x:c r="O21" s="116" t="str">
        <x:v>https://www.jobcoaching-jetzt.de/</x:v>
      </x:c>
      <x:c r="P21" s="135" t="str"/>
      <x:c r="Q21" s="135" t="str"/>
      <x:c r="R21" s="116" t="str">
        <x:v>überregional – HQ nicht für Distanzranking</x:v>
      </x:c>
      <x:c r="S21" s="116" t="str">
        <x:v>AZAV/AVGS aktuell</x:v>
      </x:c>
      <x:c r="T21" s="116" t="str">
        <x:v>ergänzende Ebene</x:v>
      </x:c>
    </x:row>
    <x:row r="22">
      <x:c r="A22" s="116" t="str">
        <x:v>A</x:v>
      </x:c>
      <x:c r="B22" s="116" t="str">
        <x:v>Altbestand erhalten</x:v>
      </x:c>
      <x:c r="C22" s="116" t="str">
        <x:v>AWO Mannheim – Arbeit &amp; Migration</x:v>
      </x:c>
      <x:c r="D22" s="116" t="str">
        <x:v>zertifizierte private Arbeitsvermittlung</x:v>
      </x:c>
      <x:c r="E22" s="116" t="str">
        <x:v>Mannheim</x:v>
      </x:c>
      <x:c r="F22" s="116" t="str">
        <x:v>Ja</x:v>
      </x:c>
      <x:c r="G22" s="116" t="str">
        <x:v>teilweise</x:v>
      </x:c>
      <x:c r="H22" s="116" t="str">
        <x:v>BG/Reha vor Einsatz prüfen</x:v>
      </x:c>
      <x:c r="I22" s="116" t="str">
        <x:v>AVGS; Vermittlung in sozialversicherungspflichtige Beschäftigung</x:v>
      </x:c>
      <x:c r="J22" s="116" t="str">
        <x:v>Donarstraße 45</x:v>
      </x:c>
      <x:c r="K22" s="116" t="str">
        <x:v>68305</x:v>
      </x:c>
      <x:c r="L22" s="116" t="str">
        <x:v>Mannheim</x:v>
      </x:c>
      <x:c r="M22" s="116" t="str">
        <x:v>0621 17028220</x:v>
      </x:c>
      <x:c r="N22" s="116" t="str">
        <x:v>arbeitsvermittlung@awo-mannheim.de</x:v>
      </x:c>
      <x:c r="O22" s="116" t="str">
        <x:v>https://www.awo-mannheim.de/arbeitsvermittlung</x:v>
      </x:c>
      <x:c r="P22" s="135" t="str"/>
      <x:c r="Q22" s="135" t="str"/>
      <x:c r="R22" s="116" t="str">
        <x:v>bestehender Kartenpunkt</x:v>
      </x:c>
      <x:c r="S22" s="116" t="str">
        <x:v>Altbestand verifiziert</x:v>
      </x:c>
      <x:c r="T22" s="116" t="str">
        <x:v>nicht verlieren</x:v>
      </x:c>
    </x:row>
    <x:row r="23">
      <x:c r="A23" s="116" t="str">
        <x:v>B</x:v>
      </x:c>
      <x:c r="B23" s="116" t="str">
        <x:v>Altbestand erhalten</x:v>
      </x:c>
      <x:c r="C23" s="116" t="str">
        <x:v>IFA – Institut für Arbeitsvermittlung und Kommunikation</x:v>
      </x:c>
      <x:c r="D23" s="116" t="str">
        <x:v>private Arbeitsvermittlung</x:v>
      </x:c>
      <x:c r="E23" s="116" t="str">
        <x:v>Mannheim</x:v>
      </x:c>
      <x:c r="F23" s="116" t="str">
        <x:v>Ja</x:v>
      </x:c>
      <x:c r="G23" s="116" t="str">
        <x:v>teilweise</x:v>
      </x:c>
      <x:c r="H23" s="116" t="str">
        <x:v>Reha-Kompetenz nicht belegt</x:v>
      </x:c>
      <x:c r="I23" s="116" t="str">
        <x:v>Direktvermittlung; Bewerberprofil; Arbeitgebernetzwerk</x:v>
      </x:c>
      <x:c r="J23" s="116" t="str">
        <x:v>Talstraße 32a</x:v>
      </x:c>
      <x:c r="K23" s="116" t="str">
        <x:v>68259</x:v>
      </x:c>
      <x:c r="L23" s="116" t="str">
        <x:v>Mannheim</x:v>
      </x:c>
      <x:c r="M23" s="116" t="str">
        <x:v>0621 87755180</x:v>
      </x:c>
      <x:c r="N23" s="116" t="str">
        <x:v>info@ifa-arbeit.de</x:v>
      </x:c>
      <x:c r="O23" s="116" t="str">
        <x:v>https://ifa-arbeit.de/</x:v>
      </x:c>
      <x:c r="P23" s="135" t="str"/>
      <x:c r="Q23" s="135" t="str"/>
      <x:c r="R23" s="116" t="str">
        <x:v>bestehender Kartenpunkt</x:v>
      </x:c>
      <x:c r="S23" s="116" t="str">
        <x:v>Altbestand verifiziert</x:v>
      </x:c>
      <x:c r="T23" s="116" t="str">
        <x:v>vor BG-Einsatz prüfen</x:v>
      </x:c>
    </x:row>
    <x:row r="24">
      <x:c r="A24" s="116" t="str">
        <x:v>P</x:v>
      </x:c>
      <x:c r="B24" s="116" t="str">
        <x:v>Altbestand/Reserve</x:v>
      </x:c>
      <x:c r="C24" s="116" t="str">
        <x:v>fast forward Karriereberatung GmbH</x:v>
      </x:c>
      <x:c r="D24" s="116" t="str">
        <x:v>Karriere/Outplacement</x:v>
      </x:c>
      <x:c r="E24" s="116" t="str">
        <x:v>Frankfurt</x:v>
      </x:c>
      <x:c r="F24" s="116" t="str">
        <x:v>indirekt</x:v>
      </x:c>
      <x:c r="G24" s="116" t="str">
        <x:v>Ja</x:v>
      </x:c>
      <x:c r="H24" s="116" t="str">
        <x:v>kein belastbarer Reha-/BG-Bezug</x:v>
      </x:c>
      <x:c r="I24" s="116" t="str">
        <x:v>Karriereberatung; Outplacement; Neuorientierung</x:v>
      </x:c>
      <x:c r="J24" s="116" t="str">
        <x:v>Kelsterbacher Straße 60</x:v>
      </x:c>
      <x:c r="K24" s="116" t="str">
        <x:v>60528</x:v>
      </x:c>
      <x:c r="L24" s="116" t="str">
        <x:v>Frankfurt am Main</x:v>
      </x:c>
      <x:c r="M24" s="116" t="str">
        <x:v>0176 13207158</x:v>
      </x:c>
      <x:c r="N24" s="116" t="str">
        <x:v>info@ff-karriereberatung.de</x:v>
      </x:c>
      <x:c r="O24" s="116" t="str">
        <x:v>https://www.ff-karriereberatung.de</x:v>
      </x:c>
      <x:c r="P24" s="135" t="str"/>
      <x:c r="Q24" s="135" t="str"/>
      <x:c r="R24" s="116" t="str">
        <x:v>Bestand – nicht priorisieren</x:v>
      </x:c>
      <x:c r="S24" s="116" t="str">
        <x:v>Altbestand</x:v>
      </x:c>
      <x:c r="T24" s="116" t="str">
        <x:v>Ergänzungsanbieter</x:v>
      </x:c>
    </x:row>
    <x:row r="25">
      <x:c r="A25" s="116" t="str">
        <x:v>A</x:v>
      </x:c>
      <x:c r="B25" s="116" t="str">
        <x:v>Altbestand/Netzwerk</x:v>
      </x:c>
      <x:c r="C25" s="116" t="str">
        <x:v>IFD Heidelberg-Mosbach</x:v>
      </x:c>
      <x:c r="D25" s="116" t="str">
        <x:v>IFD / SGB IX</x:v>
      </x:c>
      <x:c r="E25" s="116" t="str">
        <x:v>Rhein-Neckar/Neckar-Odenwald</x:v>
      </x:c>
      <x:c r="F25" s="116" t="str">
        <x:v>Ja</x:v>
      </x:c>
      <x:c r="G25" s="116" t="str">
        <x:v>Ja</x:v>
      </x:c>
      <x:c r="H25" s="116" t="str">
        <x:v>im Auftrag von Reha-Trägern möglich</x:v>
      </x:c>
      <x:c r="I25" s="116" t="str">
        <x:v>Arbeitsplatzakquise; Vermittlung; Arbeitsplatzsicherung; Arbeitgeberberatung</x:v>
      </x:c>
      <x:c r="J25" s="116" t="str">
        <x:v>Hebelstraße 22, Eingang A</x:v>
      </x:c>
      <x:c r="K25" s="116" t="str">
        <x:v>69115</x:v>
      </x:c>
      <x:c r="L25" s="116" t="str">
        <x:v>Heidelberg</x:v>
      </x:c>
      <x:c r="M25" s="116" t="str">
        <x:v>0711 25083-1200</x:v>
      </x:c>
      <x:c r="N25" s="116" t="str">
        <x:v>info.heidelberg-mosbach@ifd.3in.de</x:v>
      </x:c>
      <x:c r="O25" s="116" t="str">
        <x:v>https://www.ifd-bw.de/ansprechpartner-vor-ort/integrationsfachdienste/heidelberg-mosbach/</x:v>
      </x:c>
      <x:c r="P25" s="135" t="str"/>
      <x:c r="Q25" s="135" t="str"/>
      <x:c r="R25" s="116" t="str">
        <x:v>Bestand erhalten</x:v>
      </x:c>
      <x:c r="S25" s="116" t="str">
        <x:v>Altbestand 4.2</x:v>
      </x:c>
      <x:c r="T25" s="116" t="str">
        <x:v>wichtiger Netzwerkpartner</x:v>
      </x:c>
    </x:row>
    <x:row r="26">
      <x:c r="A26" s="116" t="str">
        <x:v>B</x:v>
      </x:c>
      <x:c r="B26" s="116" t="str">
        <x:v>Altbestand/Netzwerk</x:v>
      </x:c>
      <x:c r="C26" s="116" t="str">
        <x:v>Agentur für Arbeit Heidelberg – Reha-Arbeitsvermittlung</x:v>
      </x:c>
      <x:c r="D26" s="116" t="str">
        <x:v>öffentliche Reha-Vermittlung</x:v>
      </x:c>
      <x:c r="E26" s="116" t="str">
        <x:v>Rhein-Neckar</x:v>
      </x:c>
      <x:c r="F26" s="116" t="str">
        <x:v>Ja</x:v>
      </x:c>
      <x:c r="G26" s="116" t="str">
        <x:v>Ja</x:v>
      </x:c>
      <x:c r="H26" s="116" t="str">
        <x:v>öffentliche Reha-Fachstruktur</x:v>
      </x:c>
      <x:c r="I26" s="116" t="str">
        <x:v>Reha-Arbeitsvermittlung; LTA-Beratung; Arbeitgeberförderung</x:v>
      </x:c>
      <x:c r="J26" s="116" t="str">
        <x:v>Kaiserstraße 69-71</x:v>
      </x:c>
      <x:c r="K26" s="116" t="str">
        <x:v>69115</x:v>
      </x:c>
      <x:c r="L26" s="116" t="str">
        <x:v>Heidelberg</x:v>
      </x:c>
      <x:c r="M26" s="116" t="str">
        <x:v>0800 4 5555-00</x:v>
      </x:c>
      <x:c r="N26" s="116" t="str">
        <x:v>Heidelberg.Ansprechstelle-Rehabilitation@arbeitsagentur.de</x:v>
      </x:c>
      <x:c r="O26" s="116" t="str">
        <x:v>https://www.arbeitsagentur.de/vor-ort/heidelberg</x:v>
      </x:c>
      <x:c r="P26" s="135" t="str"/>
      <x:c r="Q26" s="135" t="str"/>
      <x:c r="R26" s="116" t="str">
        <x:v>Bestand erhalten</x:v>
      </x:c>
      <x:c r="S26" s="116" t="str">
        <x:v>BA aktuell / Altbestand Kontakt</x:v>
      </x:c>
      <x:c r="T26" s="116" t="str">
        <x:v>Referenz-/Netzwerkpartner</x:v>
      </x:c>
    </x:row>
    <x:row r="27">
      <x:c r="A27" s="116" t="str">
        <x:v>B</x:v>
      </x:c>
      <x:c r="B27" s="116" t="str">
        <x:v>Altbestand/Netzwerk</x:v>
      </x:c>
      <x:c r="C27" s="116" t="str">
        <x:v>Agentur für Arbeit Mainz – Reha-Arbeitsvermittlung</x:v>
      </x:c>
      <x:c r="D27" s="116" t="str">
        <x:v>öffentliche Reha-Vermittlung</x:v>
      </x:c>
      <x:c r="E27" s="116" t="str">
        <x:v>Rheinhessen/Rhein-Main</x:v>
      </x:c>
      <x:c r="F27" s="116" t="str">
        <x:v>Ja</x:v>
      </x:c>
      <x:c r="G27" s="116" t="str">
        <x:v>Ja</x:v>
      </x:c>
      <x:c r="H27" s="116" t="str">
        <x:v>Reha-Team aktuell bestätigt</x:v>
      </x:c>
      <x:c r="I27" s="116" t="str">
        <x:v>Reha-Beratung; Eingliederungskonzepte; Arbeitgeberkontakte; Stellensuche</x:v>
      </x:c>
      <x:c r="J27" s="116" t="str">
        <x:v>Untere Zahlbacher Straße 27</x:v>
      </x:c>
      <x:c r="K27" s="116" t="str">
        <x:v>55131</x:v>
      </x:c>
      <x:c r="L27" s="116" t="str">
        <x:v>Mainz</x:v>
      </x:c>
      <x:c r="M27" s="116" t="str">
        <x:v>06131 248777</x:v>
      </x:c>
      <x:c r="N27" s="116" t="str"/>
      <x:c r="O27" s="116" t="str">
        <x:v>https://www.arbeitsagentur.de/vor-ort/mainz/ihrejobsuche</x:v>
      </x:c>
      <x:c r="P27" s="135" t="str"/>
      <x:c r="Q27" s="135" t="str"/>
      <x:c r="R27" s="116" t="str">
        <x:v>Bestand erhalten</x:v>
      </x:c>
      <x:c r="S27" s="116" t="str">
        <x:v>BA aktuell</x:v>
      </x:c>
      <x:c r="T27" s="116" t="str">
        <x:v>Besucheradresse aktuell korrigiert</x:v>
      </x:c>
    </x:row>
    <x:row r="28">
      <x:c r="A28" s="116" t="str">
        <x:v>B</x:v>
      </x:c>
      <x:c r="B28" s="116" t="str">
        <x:v>Altbestand/Netzwerk</x:v>
      </x:c>
      <x:c r="C28" s="116" t="str">
        <x:v>Agentur für Arbeit Darmstadt – Reha-/SB-Arbeitsvermittlung</x:v>
      </x:c>
      <x:c r="D28" s="116" t="str">
        <x:v>öffentliche Reha-Vermittlung</x:v>
      </x:c>
      <x:c r="E28" s="116" t="str">
        <x:v>Südhessen/Bergstraße</x:v>
      </x:c>
      <x:c r="F28" s="116" t="str">
        <x:v>Ja</x:v>
      </x:c>
      <x:c r="G28" s="116" t="str">
        <x:v>Ja</x:v>
      </x:c>
      <x:c r="H28" s="116" t="str">
        <x:v>Reha-Team aktuell bestätigt</x:v>
      </x:c>
      <x:c r="I28" s="116" t="str">
        <x:v>Arbeits-/Ausbildungsstellensuche; Arbeitgeberberatung; Zuschüsse; technische Arbeitsplatzausstattung</x:v>
      </x:c>
      <x:c r="J28" s="116" t="str">
        <x:v>Groß-Gerauer Weg 7</x:v>
      </x:c>
      <x:c r="K28" s="116" t="str">
        <x:v>64295</x:v>
      </x:c>
      <x:c r="L28" s="116" t="str">
        <x:v>Darmstadt</x:v>
      </x:c>
      <x:c r="M28" s="116" t="str">
        <x:v>0800 4 5555-00</x:v>
      </x:c>
      <x:c r="N28" s="116" t="str">
        <x:v>Darmstadt.161-Reha@arbeitsagentur.de</x:v>
      </x:c>
      <x:c r="O28" s="116" t="str">
        <x:v>https://www.arbeitsagentur.de/vor-ort/darmstadt/rehasb</x:v>
      </x:c>
      <x:c r="P28" s="135" t="str"/>
      <x:c r="Q28" s="135" t="str"/>
      <x:c r="R28" s="116" t="str">
        <x:v>Bestand erhalten</x:v>
      </x:c>
      <x:c r="S28" s="116" t="str">
        <x:v>BA aktuell</x:v>
      </x:c>
      <x:c r="T28" s="116" t="str">
        <x:v>Netzwerk Südhessen</x:v>
      </x:c>
    </x:row>
    <x:row r="29">
      <x:c r="A29" s="116" t="str">
        <x:v>P</x:v>
      </x:c>
      <x:c r="B29" s="116" t="str">
        <x:v>historischer Prüfeintrag</x:v>
      </x:c>
      <x:c r="C29" s="116" t="str">
        <x:v>job.bg / JobBG – Heidelberg</x:v>
      </x:c>
      <x:c r="D29" s="116" t="str">
        <x:v>historische BG-Arbeitsvermittlung</x:v>
      </x:c>
      <x:c r="E29" s="116" t="str">
        <x:v>Rhein-Neckar</x:v>
      </x:c>
      <x:c r="F29" s="116" t="str">
        <x:v>Ja</x:v>
      </x:c>
      <x:c r="G29" s="116" t="str">
        <x:v>teilweise</x:v>
      </x:c>
      <x:c r="H29" s="116" t="str">
        <x:v>historisch BG-spezifisch; aktuelle Struktur nicht bestätigt</x:v>
      </x:c>
      <x:c r="I29" s="116" t="str">
        <x:v>Arbeitsvermittlung für BG-Versicherte; Arbeitgeberansprache</x:v>
      </x:c>
      <x:c r="J29" s="116" t="str">
        <x:v>Kurfürsten-Anlage 62</x:v>
      </x:c>
      <x:c r="K29" s="116" t="str">
        <x:v>69115</x:v>
      </x:c>
      <x:c r="L29" s="116" t="str">
        <x:v>Heidelberg</x:v>
      </x:c>
      <x:c r="M29" s="116" t="str">
        <x:v>030 130015799</x:v>
      </x:c>
      <x:c r="N29" s="116" t="str">
        <x:v>service@jobbg.de</x:v>
      </x:c>
      <x:c r="O29" s="116" t="str">
        <x:v>http://www.jobbg.de</x:v>
      </x:c>
      <x:c r="P29" s="135" t="str"/>
      <x:c r="Q29" s="135" t="str"/>
      <x:c r="R29" s="116" t="str">
        <x:v>nicht neu importieren bis aktuelle Struktur bestätigt</x:v>
      </x:c>
      <x:c r="S29" s="116" t="str">
        <x:v>Altbestand 4.2</x:v>
      </x:c>
      <x:c r="T29" s="116" t="str">
        <x:v>aktuellen regionalen Status vor Reaktivierung prüfen</x:v>
      </x:c>
    </x:row>
    <x:row r="30">
      <x:c r="A30" s="116" t="str">
        <x:v>P</x:v>
      </x:c>
      <x:c r="B30" s="116" t="str">
        <x:v>historischer Prüfeintrag</x:v>
      </x:c>
      <x:c r="C30" s="116" t="str">
        <x:v>job.bg / JobBG – Mainz</x:v>
      </x:c>
      <x:c r="D30" s="116" t="str">
        <x:v>historische BG-Arbeitsvermittlung</x:v>
      </x:c>
      <x:c r="E30" s="116" t="str">
        <x:v>RP/Hessen</x:v>
      </x:c>
      <x:c r="F30" s="116" t="str">
        <x:v>Ja</x:v>
      </x:c>
      <x:c r="G30" s="116" t="str">
        <x:v>teilweise</x:v>
      </x:c>
      <x:c r="H30" s="116" t="str">
        <x:v>historisch BG-spezifisch; aktuelle Struktur nicht bestätigt</x:v>
      </x:c>
      <x:c r="I30" s="116" t="str">
        <x:v>Arbeitsvermittlung für BG-Versicherte; Arbeitgeberansprache</x:v>
      </x:c>
      <x:c r="J30" s="116" t="str">
        <x:v>Isaac-Fulda-Allee 18</x:v>
      </x:c>
      <x:c r="K30" s="116" t="str">
        <x:v>55124</x:v>
      </x:c>
      <x:c r="L30" s="116" t="str">
        <x:v>Mainz</x:v>
      </x:c>
      <x:c r="M30" s="116" t="str">
        <x:v>030 13001865630</x:v>
      </x:c>
      <x:c r="N30" s="116" t="str">
        <x:v>service@jobbg.de</x:v>
      </x:c>
      <x:c r="O30" s="116" t="str">
        <x:v>http://www.jobbg.de</x:v>
      </x:c>
      <x:c r="P30" s="135" t="str"/>
      <x:c r="Q30" s="135" t="str"/>
      <x:c r="R30" s="116" t="str">
        <x:v>nicht neu importieren bis aktuelle Struktur bestätigt</x:v>
      </x:c>
      <x:c r="S30" s="116" t="str">
        <x:v>Altbestand 4.2</x:v>
      </x:c>
      <x:c r="T30" s="116" t="str">
        <x:v>aktuellen regionalen Status vor Reaktivierung prüfen</x:v>
      </x:c>
    </x:row>
  </x:sheetData>
  <x:mergeCells>
    <x:mergeCell ref="A1:T1"/>
    <x:mergeCell ref="A2:T2"/>
  </x:mergeCells>
  <x:conditionalFormatting sqref="A5:A30">
    <x:cfRule type="expression" dxfId="27" priority="1">
      <x:formula>A5="A+"</x:formula>
    </x:cfRule>
  </x:conditionalFormatting>
  <x:conditionalFormatting sqref="B5:B30">
    <x:cfRule type="expression" dxfId="28" priority="2">
      <x:formula>ISNUMBER(SEARCH("historisch",B5))</x:formula>
    </x:cfRule>
  </x:conditionalFormatting>
  <x:pageMargins left="0.7" right="0.7" top="0.75" bottom="0.75" header="0.3" footer="0.3"/>
  <x:tableParts count="1">
    <x:tablePart xmlns:r="http://schemas.openxmlformats.org/officeDocument/2006/relationships" r:id="Rfeecac5ee6ab4e13"/>
  </x:tableParts>
</x:worksheet>
</file>

<file path=xl/worksheets/sheet33.xml><?xml version="1.0" encoding="utf-8"?>
<x:worksheet xmlns:x="http://schemas.openxmlformats.org/spreadsheetml/2006/main">
  <x:sheetFormatPr defaultRowHeight="15"/>
  <x:cols>
    <x:col min="1" max="1" width="20" hidden="0" customWidth="1"/>
    <x:col min="2" max="2" width="10" hidden="0" customWidth="1"/>
    <x:col min="3" max="3" width="38" hidden="0" customWidth="1"/>
    <x:col min="4" max="4" width="26" hidden="0" customWidth="1"/>
    <x:col min="5" max="5" width="30" hidden="0" customWidth="1"/>
    <x:col min="6" max="6" width="10" hidden="0" customWidth="1"/>
    <x:col min="7" max="7" width="19" hidden="0" customWidth="1"/>
    <x:col min="8" max="8" width="19" hidden="0" customWidth="1"/>
    <x:col min="9" max="9" width="30" hidden="0" customWidth="1"/>
    <x:col min="10" max="10" width="42" hidden="0" customWidth="1"/>
    <x:col min="11" max="11" width="40" hidden="0" customWidth="1"/>
    <x:col min="12" max="12" width="44" hidden="0" customWidth="1"/>
    <x:col min="13" max="13" width="14" hidden="0" customWidth="1"/>
    <x:col min="14" max="14" width="14" hidden="0" customWidth="1"/>
    <x:col min="15" max="15" width="35" hidden="0" customWidth="1"/>
    <x:col min="16" max="16" width="42" hidden="0" customWidth="1"/>
    <x:col min="17" max="17" width="22" hidden="0" customWidth="1"/>
    <x:col min="18" max="18" width="40" hidden="0" customWidth="1"/>
  </x:cols>
  <x:sheetData>
    <x:row r="1" ht="28" customHeight="1">
      <x:c r="A1" s="163" t="str">
        <x:v>Neurologisch-psychiatrische größere Praxen – FINALER selektiver Bestand 4.4.x</x:v>
      </x:c>
      <x:c r="B1" s="163"/>
      <x:c r="C1" s="163"/>
      <x:c r="D1" s="163"/>
      <x:c r="E1" s="163"/>
      <x:c r="F1" s="163"/>
      <x:c r="G1" s="163"/>
      <x:c r="H1" s="163"/>
      <x:c r="I1" s="163"/>
      <x:c r="J1" s="163"/>
      <x:c r="K1" s="163"/>
      <x:c r="L1" s="163"/>
      <x:c r="M1" s="163"/>
      <x:c r="N1" s="163"/>
      <x:c r="O1" s="163"/>
      <x:c r="P1" s="163"/>
      <x:c r="Q1" s="163"/>
      <x:c r="R1" s="163"/>
    </x:row>
    <x:row r="2">
      <x:c r="A2" s="170" t="str">
        <x:v>16 gezielte größere/regionale Schlüsselanbieter. Keine Vollsammlung kleiner Einzelpraxen. Mannheim, Heidelberg, Heilbronn und Rhein-Main wurden in der letzten Lückenrunde ergänzt.</x:v>
      </x:c>
      <x:c r="B2" s="170"/>
      <x:c r="C2" s="170"/>
      <x:c r="D2" s="170"/>
      <x:c r="E2" s="170"/>
      <x:c r="F2" s="170"/>
      <x:c r="G2" s="170"/>
      <x:c r="H2" s="170"/>
      <x:c r="I2" s="170"/>
      <x:c r="J2" s="170"/>
      <x:c r="K2" s="170"/>
      <x:c r="L2" s="170"/>
      <x:c r="M2" s="170"/>
      <x:c r="N2" s="170"/>
      <x:c r="O2" s="170"/>
      <x:c r="P2" s="170"/>
      <x:c r="Q2" s="170"/>
      <x:c r="R2" s="170"/>
    </x:row>
    <x:row r="3">
      <x:c r="A3" s="113"/>
      <x:c r="B3" s="113"/>
      <x:c r="C3" s="113"/>
      <x:c r="D3" s="113"/>
      <x:c r="E3" s="113"/>
      <x:c r="F3" s="113"/>
      <x:c r="G3" s="113"/>
      <x:c r="H3" s="113"/>
      <x:c r="I3" s="113"/>
      <x:c r="J3" s="113"/>
      <x:c r="K3" s="113"/>
      <x:c r="L3" s="113"/>
      <x:c r="M3" s="113"/>
      <x:c r="N3" s="113"/>
      <x:c r="O3" s="113"/>
      <x:c r="P3" s="113"/>
      <x:c r="Q3" s="113"/>
      <x:c r="R3" s="113"/>
    </x:row>
    <x:row r="4" ht="30" customHeight="1">
      <x:c r="A4" s="166" t="str">
        <x:v>Status</x:v>
      </x:c>
      <x:c r="B4" s="166" t="str">
        <x:v>Priorität</x:v>
      </x:c>
      <x:c r="C4" s="166" t="str">
        <x:v>Einrichtung</x:v>
      </x:c>
      <x:c r="D4" s="166" t="str">
        <x:v>Ort/Region</x:v>
      </x:c>
      <x:c r="E4" s="166" t="str">
        <x:v>Straße</x:v>
      </x:c>
      <x:c r="F4" s="166" t="str">
        <x:v>PLZ</x:v>
      </x:c>
      <x:c r="G4" s="166" t="str">
        <x:v>Telefon</x:v>
      </x:c>
      <x:c r="H4" s="166" t="str">
        <x:v>Fax</x:v>
      </x:c>
      <x:c r="I4" s="166" t="str">
        <x:v>E-Mail</x:v>
      </x:c>
      <x:c r="J4" s="166" t="str">
        <x:v>Website</x:v>
      </x:c>
      <x:c r="K4" s="166" t="str">
        <x:v>Ärzteteam / Kontakt</x:v>
      </x:c>
      <x:c r="L4" s="166" t="str">
        <x:v>Schwerpunkte</x:v>
      </x:c>
      <x:c r="M4" s="166" t="str">
        <x:v>Lat</x:v>
      </x:c>
      <x:c r="N4" s="166" t="str">
        <x:v>Lon</x:v>
      </x:c>
      <x:c r="O4" s="166" t="str">
        <x:v>Geo-Status</x:v>
      </x:c>
      <x:c r="P4" s="166" t="str">
        <x:v>Quelle</x:v>
      </x:c>
      <x:c r="Q4" s="166" t="str">
        <x:v>Kartenaktion</x:v>
      </x:c>
      <x:c r="R4" s="166" t="str">
        <x:v>Hinweis</x:v>
      </x:c>
    </x:row>
    <x:row r="5">
      <x:c r="A5" s="116" t="str">
        <x:v>Bestand</x:v>
      </x:c>
      <x:c r="B5" s="116" t="str">
        <x:v>B</x:v>
      </x:c>
      <x:c r="C5" s="116" t="str">
        <x:v>Neurologische Gemeinschaftspraxis Karlsruhe</x:v>
      </x:c>
      <x:c r="D5" s="116" t="str">
        <x:v>Karlsruhe / Nordbaden</x:v>
      </x:c>
      <x:c r="E5" s="116" t="str">
        <x:v>Karlstraße 84</x:v>
      </x:c>
      <x:c r="F5" s="116" t="str">
        <x:v>76137</x:v>
      </x:c>
      <x:c r="G5" s="116" t="str">
        <x:v>0721 356003</x:v>
      </x:c>
      <x:c r="H5" s="116" t="str">
        <x:v>0721 358089</x:v>
      </x:c>
      <x:c r="I5" s="116"/>
      <x:c r="J5" s="116" t="str">
        <x:v>https://neuropraxiskarlsruhe.de/</x:v>
      </x:c>
      <x:c r="K5" s="116" t="str">
        <x:v>Dr. Stephan Klohe; Alexander Hladek; Dr. Ann-Kathrin Nold</x:v>
      </x:c>
      <x:c r="L5" s="116" t="str">
        <x:v>Neurologie; ENG/NLG; EMG; evozierte Potentiale; EEG; Duplex; Gutachten</x:v>
      </x:c>
      <x:c r="M5" s="135" t="n">
        <x:v>49.00066295</x:v>
      </x:c>
      <x:c r="N5" s="135" t="n">
        <x:v>8.393807129991202</x:v>
      </x:c>
      <x:c r="O5" s="116" t="str">
        <x:v>Hausadresse verifiziert</x:v>
      </x:c>
      <x:c r="P5" s="116" t="str">
        <x:v>https://neuropraxiskarlsruhe.de/</x:v>
      </x:c>
      <x:c r="Q5" s="116" t="str">
        <x:v>beibehalten</x:v>
      </x:c>
      <x:c r="R5" s="116" t="str">
        <x:v>Bereits im Bestand; neue Nowackanlage kommt zusätzlich hinzu.</x:v>
      </x:c>
    </x:row>
    <x:row r="6">
      <x:c r="A6" s="116" t="str">
        <x:v>Neuaufnahme</x:v>
      </x:c>
      <x:c r="B6" s="116" t="str">
        <x:v>A</x:v>
      </x:c>
      <x:c r="C6" s="116" t="str">
        <x:v>Gemeinschaftspraxis Nowackanlage</x:v>
      </x:c>
      <x:c r="D6" s="116" t="str">
        <x:v>Karlsruhe / Nordbaden</x:v>
      </x:c>
      <x:c r="E6" s="116" t="str">
        <x:v>Nowackanlage 15</x:v>
      </x:c>
      <x:c r="F6" s="116" t="str">
        <x:v>76137</x:v>
      </x:c>
      <x:c r="G6" s="116" t="str">
        <x:v>0721 388030</x:v>
      </x:c>
      <x:c r="H6" s="116" t="str">
        <x:v>0721 31978</x:v>
      </x:c>
      <x:c r="I6" s="116" t="str">
        <x:v>praxis@neurologie-psychiatrie-karlsruhe.de</x:v>
      </x:c>
      <x:c r="J6" s="116" t="str">
        <x:v>https://www.neurologie-psychiatrie-karlsruhe.de/</x:v>
      </x:c>
      <x:c r="K6" s="116" t="str">
        <x:v>Hubrich-Durm; Fässler; van der List; Bottlender; Uhrenbacher</x:v>
      </x:c>
      <x:c r="L6" s="116" t="str">
        <x:v>Neurologie; Psychiatrie; Psychotherapie</x:v>
      </x:c>
      <x:c r="M6" s="135" t="n">
        <x:v>49.00290335</x:v>
      </x:c>
      <x:c r="N6" s="135" t="n">
        <x:v>8.404285102037075</x:v>
      </x:c>
      <x:c r="O6" s="116" t="str">
        <x:v>Hausadresse + Koordinate verifiziert</x:v>
      </x:c>
      <x:c r="P6" s="116" t="str">
        <x:v>https://www.neurologie-psychiatrie-karlsruhe.de/impressum/</x:v>
      </x:c>
      <x:c r="Q6" s="116" t="str">
        <x:v>aufnehmen</x:v>
      </x:c>
      <x:c r="R6" s="116" t="str">
        <x:v>Große 5-Ärzte-Gemeinschaftspraxis.</x:v>
      </x:c>
    </x:row>
    <x:row r="7">
      <x:c r="A7" s="116" t="str">
        <x:v>Neuaufnahme</x:v>
      </x:c>
      <x:c r="B7" s="116" t="str">
        <x:v>A</x:v>
      </x:c>
      <x:c r="C7" s="116" t="str">
        <x:v>Nervenheilkunde Weinheim</x:v>
      </x:c>
      <x:c r="D7" s="116" t="str">
        <x:v>Weinheim / Bergstraße</x:v>
      </x:c>
      <x:c r="E7" s="116" t="str">
        <x:v>Hildastraße 14</x:v>
      </x:c>
      <x:c r="F7" s="116" t="str">
        <x:v>69469</x:v>
      </x:c>
      <x:c r="G7" s="116" t="str">
        <x:v>06201 12641</x:v>
      </x:c>
      <x:c r="H7" s="116" t="str">
        <x:v>06201 12646</x:v>
      </x:c>
      <x:c r="I7" s="116" t="str">
        <x:v>info@nervenheilkunde-weinheim.de</x:v>
      </x:c>
      <x:c r="J7" s="116" t="str">
        <x:v>https://www.nervenheilkunde-weinheim.de/</x:v>
      </x:c>
      <x:c r="K7" s="116" t="str">
        <x:v>Dr. Oliver Herrmann; Dr. Jens Th. Marx; Team</x:v>
      </x:c>
      <x:c r="L7" s="116" t="str">
        <x:v>Neurologie; Psychiatrie; Psychotherapie</x:v>
      </x:c>
      <x:c r="M7" s="135" t="n">
        <x:v>49.5508075</x:v>
      </x:c>
      <x:c r="N7" s="135" t="n">
        <x:v>8.667045344005356</x:v>
      </x:c>
      <x:c r="O7" s="116" t="str">
        <x:v>Hausadresse + Koordinate verifiziert</x:v>
      </x:c>
      <x:c r="P7" s="116" t="str">
        <x:v>https://www.nervenheilkunde-weinheim.de/</x:v>
      </x:c>
      <x:c r="Q7" s="116" t="str">
        <x:v>aufnehmen</x:v>
      </x:c>
      <x:c r="R7" s="116" t="str">
        <x:v>Pflichtstandort Rhein-Neckar/Bergstraße.</x:v>
      </x:c>
    </x:row>
    <x:row r="8">
      <x:c r="A8" s="116" t="str">
        <x:v>Neuaufnahme</x:v>
      </x:c>
      <x:c r="B8" s="116" t="str">
        <x:v>A</x:v>
      </x:c>
      <x:c r="C8" s="116" t="str">
        <x:v>Praxis-Zentrum für Neurologie &amp; Psychiatrie</x:v>
      </x:c>
      <x:c r="D8" s="116" t="str">
        <x:v>Worms / Rheinhessen</x:v>
      </x:c>
      <x:c r="E8" s="116" t="str">
        <x:v>Bahnhofstraße 30</x:v>
      </x:c>
      <x:c r="F8" s="116" t="str">
        <x:v>67547</x:v>
      </x:c>
      <x:c r="G8" s="116" t="str">
        <x:v>06241 2027944</x:v>
      </x:c>
      <x:c r="H8" s="116"/>
      <x:c r="I8" s="116" t="str">
        <x:v>praxis@np-worms.de</x:v>
      </x:c>
      <x:c r="J8" s="116" t="str">
        <x:v>https://www.np-worms.de/</x:v>
      </x:c>
      <x:c r="K8" s="116" t="str">
        <x:v>Dr. Sepideh Jaeschke; Dr. Philipp Gruschka</x:v>
      </x:c>
      <x:c r="L8" s="116" t="str">
        <x:v>Neurologie; Psychiatrie</x:v>
      </x:c>
      <x:c r="M8" s="135" t="n">
        <x:v>49.63443975</x:v>
      </x:c>
      <x:c r="N8" s="135" t="n">
        <x:v>8.357414554032282</x:v>
      </x:c>
      <x:c r="O8" s="116" t="str">
        <x:v>Hausadresse + Koordinate verifiziert</x:v>
      </x:c>
      <x:c r="P8" s="116" t="str">
        <x:v>https://www.np-worms.de/</x:v>
      </x:c>
      <x:c r="Q8" s="116" t="str">
        <x:v>aufnehmen</x:v>
      </x:c>
      <x:c r="R8" s="116" t="str">
        <x:v>Eigenständige ambulante Praxis zusätzlich zum Klinikum/MVZ.</x:v>
      </x:c>
    </x:row>
    <x:row r="9">
      <x:c r="A9" s="116" t="str">
        <x:v>Bestand aktualisieren</x:v>
      </x:c>
      <x:c r="B9" s="116" t="str">
        <x:v>A</x:v>
      </x:c>
      <x:c r="C9" s="116" t="str">
        <x:v>NervenDocks – Praxis für Neurologie &amp; Psychiatrie</x:v>
      </x:c>
      <x:c r="D9" s="116" t="str">
        <x:v>Buchen / Odenwald</x:v>
      </x:c>
      <x:c r="E9" s="116" t="str">
        <x:v>Dr.-Konrad-Adenauer-Straße 37c</x:v>
      </x:c>
      <x:c r="F9" s="116" t="str">
        <x:v>74722</x:v>
      </x:c>
      <x:c r="G9" s="116" t="str">
        <x:v>06281 56446-0</x:v>
      </x:c>
      <x:c r="H9" s="116" t="str">
        <x:v>06281 56446-20</x:v>
      </x:c>
      <x:c r="I9" s="116" t="str">
        <x:v>postfach@nervendocks.de</x:v>
      </x:c>
      <x:c r="J9" s="116" t="str">
        <x:v>https://www.nervendocks.de/</x:v>
      </x:c>
      <x:c r="K9" s="116" t="str">
        <x:v>Dr. Marco Pohl; Dr. Viktoria Schreiber; Dr. Hans Weidmann</x:v>
      </x:c>
      <x:c r="L9" s="116" t="str">
        <x:v>Neurologie; Psychiatrie; kurzfristige Neurologie-Termine</x:v>
      </x:c>
      <x:c r="M9" s="135" t="n">
        <x:v>49.5239117</x:v>
      </x:c>
      <x:c r="N9" s="135" t="n">
        <x:v>9.3101384</x:v>
      </x:c>
      <x:c r="O9" s="116" t="str">
        <x:v>adressgenau verifiziert</x:v>
      </x:c>
      <x:c r="P9" s="116" t="str">
        <x:v>https://www.nervendocks.de/</x:v>
      </x:c>
      <x:c r="Q9" s="116" t="str">
        <x:v>taggen/priorisieren</x:v>
      </x:c>
      <x:c r="R9" s="116" t="str">
        <x:v>Odenwald-Lücke bereits durch Bestand abgedeckt.</x:v>
      </x:c>
    </x:row>
    <x:row r="10">
      <x:c r="A10" s="116" t="str">
        <x:v>Bestand aktualisieren</x:v>
      </x:c>
      <x:c r="B10" s="116" t="str">
        <x:v>A</x:v>
      </x:c>
      <x:c r="C10" s="116" t="str">
        <x:v>Neuropraxis Wertheim</x:v>
      </x:c>
      <x:c r="D10" s="116" t="str">
        <x:v>Wertheim / Main-Tauber</x:v>
      </x:c>
      <x:c r="E10" s="116" t="str">
        <x:v>Bahnhofstraße 33</x:v>
      </x:c>
      <x:c r="F10" s="116" t="str">
        <x:v>97877</x:v>
      </x:c>
      <x:c r="G10" s="116" t="str">
        <x:v>09342 9157040</x:v>
      </x:c>
      <x:c r="H10" s="116" t="str">
        <x:v>09342 9157042</x:v>
      </x:c>
      <x:c r="I10" s="116" t="str">
        <x:v>info@neuropraxis-wertheim.de</x:v>
      </x:c>
      <x:c r="J10" s="116" t="str">
        <x:v>https://www.neuropraxis-wertheim.de/</x:v>
      </x:c>
      <x:c r="K10" s="116" t="str">
        <x:v>Dr. Ioana Trifan; Dr. Laura Matasaru</x:v>
      </x:c>
      <x:c r="L10" s="116" t="str">
        <x:v>Neurologie; Psychiatrie; NLG; EEG; Gutachten</x:v>
      </x:c>
      <x:c r="M10" s="135" t="n">
        <x:v>49.7659492</x:v>
      </x:c>
      <x:c r="N10" s="135" t="n">
        <x:v>9.5095414</x:v>
      </x:c>
      <x:c r="O10" s="116" t="str">
        <x:v>adressgenau verifiziert</x:v>
      </x:c>
      <x:c r="P10" s="116" t="str">
        <x:v>https://www.neuropraxis-wertheim.de/kontakt</x:v>
      </x:c>
      <x:c r="Q10" s="116" t="str">
        <x:v>Kategorie korrigieren</x:v>
      </x:c>
      <x:c r="R10" s="116" t="str">
        <x:v>Verbindlicher Aufnahmebestand trotz kleinerer Teamgröße.</x:v>
      </x:c>
    </x:row>
    <x:row r="11">
      <x:c r="A11" s="116" t="str">
        <x:v>Neuaufnahme</x:v>
      </x:c>
      <x:c r="B11" s="116" t="str">
        <x:v>B</x:v>
      </x:c>
      <x:c r="C11" s="116" t="str">
        <x:v>Praxis Dr. Jürgen Lang</x:v>
      </x:c>
      <x:c r="D11" s="116" t="str">
        <x:v>Tauberbischofsheim / Taubertal</x:v>
      </x:c>
      <x:c r="E11" s="116" t="str">
        <x:v>Würzburger Straße 23</x:v>
      </x:c>
      <x:c r="F11" s="116" t="str">
        <x:v>97941</x:v>
      </x:c>
      <x:c r="G11" s="116" t="str">
        <x:v>09341 12776</x:v>
      </x:c>
      <x:c r="H11" s="116" t="str">
        <x:v>09341 896507</x:v>
      </x:c>
      <x:c r="I11" s="116" t="str">
        <x:v>drlangtbb@t-online.de</x:v>
      </x:c>
      <x:c r="J11" s="116" t="str">
        <x:v>https://www.dr-juergen-lang.de/</x:v>
      </x:c>
      <x:c r="K11" s="116" t="str">
        <x:v>Dr. Jürgen Lang / Team</x:v>
      </x:c>
      <x:c r="L11" s="116" t="str">
        <x:v>Neurologie; Psychiatrie</x:v>
      </x:c>
      <x:c r="M11" s="135" t="n">
        <x:v>49.624317</x:v>
      </x:c>
      <x:c r="N11" s="135" t="n">
        <x:v>9.673737626125096</x:v>
      </x:c>
      <x:c r="O11" s="116" t="str">
        <x:v>adressbezogen verifiziert</x:v>
      </x:c>
      <x:c r="P11" s="116" t="str">
        <x:v>https://www.dr-juergen-lang.de/</x:v>
      </x:c>
      <x:c r="Q11" s="116" t="str">
        <x:v>aufnehmen</x:v>
      </x:c>
      <x:c r="R11" s="116" t="str">
        <x:v>Gezielte Lückenschließung Taubertal.</x:v>
      </x:c>
    </x:row>
    <x:row r="12">
      <x:c r="A12" s="116" t="str">
        <x:v>Neuaufnahme</x:v>
      </x:c>
      <x:c r="B12" s="116" t="str">
        <x:v>A</x:v>
      </x:c>
      <x:c r="C12" s="116" t="str">
        <x:v>MVZ für Neurologie und Psychiatrie Würzburg</x:v>
      </x:c>
      <x:c r="D12" s="116" t="str">
        <x:v>Würzburg / Unterfranken</x:v>
      </x:c>
      <x:c r="E12" s="116" t="str">
        <x:v>Schweinfurter Straße 1</x:v>
      </x:c>
      <x:c r="F12" s="116" t="str">
        <x:v>97080</x:v>
      </x:c>
      <x:c r="G12" s="116" t="str">
        <x:v>0931 7809441</x:v>
      </x:c>
      <x:c r="H12" s="116"/>
      <x:c r="I12" s="116" t="str">
        <x:v>kontakt@mvz-neuro.de</x:v>
      </x:c>
      <x:c r="J12" s="116" t="str">
        <x:v>https://www.mvz-neuro.de/</x:v>
      </x:c>
      <x:c r="K12" s="116" t="str">
        <x:v>Dr. Hartmut Stieber; Andreas Bepperling; Team</x:v>
      </x:c>
      <x:c r="L12" s="116" t="str">
        <x:v>Neurologie; Psychiatrie</x:v>
      </x:c>
      <x:c r="M12" s="135" t="n">
        <x:v>49.79906</x:v>
      </x:c>
      <x:c r="N12" s="135" t="n">
        <x:v>9.94476</x:v>
      </x:c>
      <x:c r="O12" s="116" t="str">
        <x:v>Hausadresse + Koordinate verifiziert</x:v>
      </x:c>
      <x:c r="P12" s="116" t="str">
        <x:v>https://www.mvz-neuro.de/</x:v>
      </x:c>
      <x:c r="Q12" s="116" t="str">
        <x:v>aufnehmen</x:v>
      </x:c>
      <x:c r="R12" s="116" t="str">
        <x:v>Fachlich Neurologie/Psychiatrie; MVZ nicht als Hauptkategorie.</x:v>
      </x:c>
    </x:row>
    <x:row r="13">
      <x:c r="A13" s="116" t="str">
        <x:v>Neuaufnahme</x:v>
      </x:c>
      <x:c r="B13" s="116" t="str">
        <x:v>A</x:v>
      </x:c>
      <x:c r="C13" s="116" t="str">
        <x:v>meditz Würzburg</x:v>
      </x:c>
      <x:c r="D13" s="116" t="str">
        <x:v>Würzburg / Unterfranken</x:v>
      </x:c>
      <x:c r="E13" s="116" t="str">
        <x:v>Frankfurter Straße 15a</x:v>
      </x:c>
      <x:c r="F13" s="116" t="str">
        <x:v>97082</x:v>
      </x:c>
      <x:c r="G13" s="116" t="str">
        <x:v>0931 322966</x:v>
      </x:c>
      <x:c r="H13" s="116" t="str">
        <x:v>0931 3229688</x:v>
      </x:c>
      <x:c r="I13" s="116" t="str">
        <x:v>praxis@meditz.org</x:v>
      </x:c>
      <x:c r="J13" s="116" t="str">
        <x:v>https://www.meditz-wuerzburg.de/</x:v>
      </x:c>
      <x:c r="K13" s="116" t="str">
        <x:v>Hauptanmeldung / Fachbereich</x:v>
      </x:c>
      <x:c r="L13" s="116" t="str">
        <x:v>Neurologie; Psychiatrie; interdisziplinär</x:v>
      </x:c>
      <x:c r="M13" s="135" t="n">
        <x:v>49.78618945</x:v>
      </x:c>
      <x:c r="N13" s="135" t="n">
        <x:v>9.83314645</x:v>
      </x:c>
      <x:c r="O13" s="116" t="str">
        <x:v>Hausadresse + Koordinate verifiziert</x:v>
      </x:c>
      <x:c r="P13" s="116" t="str">
        <x:v>https://www.meditz-wuerzburg.de/de/kontakt</x:v>
      </x:c>
      <x:c r="Q13" s="116" t="str">
        <x:v>aufnehmen</x:v>
      </x:c>
      <x:c r="R13" s="116" t="str">
        <x:v>Primär fachgebietsbasiert anzeigen.</x:v>
      </x:c>
    </x:row>
    <x:row r="14">
      <x:c r="A14" s="116" t="str">
        <x:v>Neuaufnahme</x:v>
      </x:c>
      <x:c r="B14" s="116" t="str">
        <x:v>B</x:v>
      </x:c>
      <x:c r="C14" s="116" t="str">
        <x:v>Nervenärztliche Gemeinschaftspraxis Schweinfurt</x:v>
      </x:c>
      <x:c r="D14" s="116" t="str">
        <x:v>Schweinfurt / Unterfranken</x:v>
      </x:c>
      <x:c r="E14" s="116" t="str">
        <x:v>Obere Straße 9</x:v>
      </x:c>
      <x:c r="F14" s="116" t="str">
        <x:v>97421</x:v>
      </x:c>
      <x:c r="G14" s="116" t="str">
        <x:v>09721 18281</x:v>
      </x:c>
      <x:c r="H14" s="116" t="str">
        <x:v>09721 18288</x:v>
      </x:c>
      <x:c r="I14" s="116" t="str">
        <x:v>praxis@nerven-sw.de</x:v>
      </x:c>
      <x:c r="J14" s="116" t="str">
        <x:v>https://nervenaerzte-schweinfurt.de/</x:v>
      </x:c>
      <x:c r="K14" s="116" t="str">
        <x:v>Dr. Henning Schuh; Dr. Christine Meesmann</x:v>
      </x:c>
      <x:c r="L14" s="116" t="str">
        <x:v>Neurologie; Psychiatrie; Psychotherapie</x:v>
      </x:c>
      <x:c r="M14" s="135" t="n">
        <x:v>50.0465438</x:v>
      </x:c>
      <x:c r="N14" s="135" t="n">
        <x:v>10.2336267</x:v>
      </x:c>
      <x:c r="O14" s="116" t="str">
        <x:v>Hausadresse + Koordinate verifiziert</x:v>
      </x:c>
      <x:c r="P14" s="116" t="str">
        <x:v>https://nervenaerzte-schweinfurt.de/</x:v>
      </x:c>
      <x:c r="Q14" s="116" t="str">
        <x:v>aufnehmen</x:v>
      </x:c>
      <x:c r="R14" s="116" t="str">
        <x:v>Unterfranken-Ergänzung außerhalb Würzburg.</x:v>
      </x:c>
    </x:row>
    <x:row r="15">
      <x:c r="A15" s="116" t="str">
        <x:v>Bestand</x:v>
      </x:c>
      <x:c r="B15" s="116" t="str">
        <x:v>B</x:v>
      </x:c>
      <x:c r="C15" s="116" t="str">
        <x:v>Neurologische Gemeinschaftspraxis Darmstadt</x:v>
      </x:c>
      <x:c r="D15" s="116" t="str">
        <x:v>Darmstadt / Rhein-Main</x:v>
      </x:c>
      <x:c r="E15" s="116" t="str">
        <x:v>Frankfurter Straße 3</x:v>
      </x:c>
      <x:c r="F15" s="116" t="str">
        <x:v>64293</x:v>
      </x:c>
      <x:c r="G15" s="116" t="str">
        <x:v>06151 26600</x:v>
      </x:c>
      <x:c r="H15" s="116"/>
      <x:c r="I15" s="116"/>
      <x:c r="J15" s="116" t="str">
        <x:v>https://zns-darmstadt.de/</x:v>
      </x:c>
      <x:c r="K15" s="116"/>
      <x:c r="L15" s="116" t="str">
        <x:v>Neurologie; EMG; NLG; EEG; evozierte Potentiale; Duplex; Testpsychologie</x:v>
      </x:c>
      <x:c r="M15" s="135" t="n">
        <x:v>49.8764</x:v>
      </x:c>
      <x:c r="N15" s="135" t="n">
        <x:v>8.65074</x:v>
      </x:c>
      <x:c r="O15" s="116" t="str">
        <x:v>Gebäude adressgenau verifiziert</x:v>
      </x:c>
      <x:c r="P15" s="116" t="str">
        <x:v>https://zns-darmstadt.de/</x:v>
      </x:c>
      <x:c r="Q15" s="116" t="str">
        <x:v>beibehalten</x:v>
      </x:c>
      <x:c r="R15" s="116" t="str">
        <x:v>Bestandsabdeckung Rhein-Main.</x:v>
      </x:c>
    </x:row>
    <x:row r="16">
      <x:c r="A16" s="116" t="str">
        <x:v>Bestand</x:v>
      </x:c>
      <x:c r="B16" s="116" t="str">
        <x:v>B</x:v>
      </x:c>
      <x:c r="C16" s="116" t="str">
        <x:v>MVZ Klinikum Aschaffenburg-Alzenau – Neurologie</x:v>
      </x:c>
      <x:c r="D16" s="116" t="str">
        <x:v>Aschaffenburg / Bayerischer Untermain</x:v>
      </x:c>
      <x:c r="E16" s="116" t="str">
        <x:v>Am Hasenkopf 1</x:v>
      </x:c>
      <x:c r="F16" s="116" t="str">
        <x:v>63739</x:v>
      </x:c>
      <x:c r="G16" s="116" t="str">
        <x:v>06021 32-3255</x:v>
      </x:c>
      <x:c r="H16" s="116"/>
      <x:c r="I16" s="116" t="str">
        <x:v>neurologie@mvz-klinikum-ab.de</x:v>
      </x:c>
      <x:c r="J16" s="116" t="str">
        <x:v>https://mvz-klinikum-ab.de/</x:v>
      </x:c>
      <x:c r="K16" s="116"/>
      <x:c r="L16" s="116" t="str">
        <x:v>Neurologie; NLG; EMG; SSEP; MEP; EEG; Ultraschall</x:v>
      </x:c>
      <x:c r="M16" s="135" t="n">
        <x:v>49.9777121</x:v>
      </x:c>
      <x:c r="N16" s="135" t="n">
        <x:v>9.1875784</x:v>
      </x:c>
      <x:c r="O16" s="116" t="str">
        <x:v>adressgenau verifiziert</x:v>
      </x:c>
      <x:c r="P16" s="116" t="str">
        <x:v>https://mvz-klinikum-ab.de/</x:v>
      </x:c>
      <x:c r="Q16" s="116" t="str">
        <x:v>beibehalten</x:v>
      </x:c>
      <x:c r="R16" s="116" t="str">
        <x:v>Bestandsabdeckung Bayerischer Untermain.</x:v>
      </x:c>
    </x:row>
    <x:row r="17">
      <x:c r="A17" s="116" t="str">
        <x:v>Neuaufnahme</x:v>
      </x:c>
      <x:c r="B17" s="116" t="str">
        <x:v>A+</x:v>
      </x:c>
      <x:c r="C17" s="116" t="str">
        <x:v>Zentrum für Nervenheilkunde Mannheim (ZNS)</x:v>
      </x:c>
      <x:c r="D17" s="116" t="str">
        <x:v>Mannheim / Rhein-Neckar</x:v>
      </x:c>
      <x:c r="E17" s="116" t="str">
        <x:v>E2, 15</x:v>
      </x:c>
      <x:c r="F17" s="116" t="str">
        <x:v>68159</x:v>
      </x:c>
      <x:c r="G17" s="116" t="str">
        <x:v>0621 120270</x:v>
      </x:c>
      <x:c r="H17" s="116" t="str">
        <x:v>0621 1202727</x:v>
      </x:c>
      <x:c r="I17" s="116" t="str">
        <x:v>info@zns-mannheim.de</x:v>
      </x:c>
      <x:c r="J17" s="116" t="str">
        <x:v>https://www.zns-mannheim.de/</x:v>
      </x:c>
      <x:c r="K17" s="116" t="str">
        <x:v>Mehrarztzentrum</x:v>
      </x:c>
      <x:c r="L17" s="116" t="str">
        <x:v>Neurologie; Psychiatrie; Psychotherapie; umfassende Diagnostik</x:v>
      </x:c>
      <x:c r="M17" s="135" t="str"/>
      <x:c r="N17" s="135" t="str"/>
      <x:c r="O17" s="116" t="str">
        <x:v>Adresse/Kontakt geprüft; Koordinate offen</x:v>
      </x:c>
      <x:c r="P17" s="116" t="str">
        <x:v>https://www.zns-mannheim.de/</x:v>
      </x:c>
      <x:c r="Q17" s="116" t="str">
        <x:v>aufnehmen</x:v>
      </x:c>
      <x:c r="R17" s="116" t="str">
        <x:v>A+; schließt Mannheim-Lücke.</x:v>
      </x:c>
    </x:row>
    <x:row r="18">
      <x:c r="A18" s="116" t="str">
        <x:v>Neuaufnahme</x:v>
      </x:c>
      <x:c r="B18" s="116" t="str">
        <x:v>A</x:v>
      </x:c>
      <x:c r="C18" s="116" t="str">
        <x:v>PiPP Heidelberg</x:v>
      </x:c>
      <x:c r="D18" s="116" t="str">
        <x:v>Heidelberg / Rhein-Neckar</x:v>
      </x:c>
      <x:c r="E18" s="116" t="str">
        <x:v>Rohrbacher Straße 149</x:v>
      </x:c>
      <x:c r="F18" s="116" t="str">
        <x:v>69126</x:v>
      </x:c>
      <x:c r="G18" s="116" t="str">
        <x:v>06221 29710</x:v>
      </x:c>
      <x:c r="H18" s="116" t="str">
        <x:v>06221 160333</x:v>
      </x:c>
      <x:c r="I18" s="116" t="str">
        <x:v>info@pipp-heidelberg.de</x:v>
      </x:c>
      <x:c r="J18" s="116" t="str">
        <x:v>https://www.pipp-heidelberg.de/</x:v>
      </x:c>
      <x:c r="K18" s="116" t="str">
        <x:v>Mehrarztpraxis</x:v>
      </x:c>
      <x:c r="L18" s="116" t="str">
        <x:v>Psychiatrie; Psychotherapie; Neurologie</x:v>
      </x:c>
      <x:c r="M18" s="135" t="str"/>
      <x:c r="N18" s="135" t="str"/>
      <x:c r="O18" s="116" t="str">
        <x:v>Adresse geprüft; Koordinate offen</x:v>
      </x:c>
      <x:c r="P18" s="116" t="str">
        <x:v>https://www.pipp-heidelberg.de/</x:v>
      </x:c>
      <x:c r="Q18" s="116" t="str">
        <x:v>aufnehmen</x:v>
      </x:c>
      <x:c r="R18" s="116" t="str">
        <x:v>Görresstraße 22 ist weiterer Eingang/Anschrift; keine zweite Praxis anlegen.</x:v>
      </x:c>
    </x:row>
    <x:row r="19">
      <x:c r="A19" s="116" t="str">
        <x:v>Neuaufnahme</x:v>
      </x:c>
      <x:c r="B19" s="116" t="str">
        <x:v>A</x:v>
      </x:c>
      <x:c r="C19" s="116" t="str">
        <x:v>Praxis Denzel &amp; Ehrmann</x:v>
      </x:c>
      <x:c r="D19" s="116" t="str">
        <x:v>Heilbronn / Heilbronn-Franken</x:v>
      </x:c>
      <x:c r="E19" s="116" t="str">
        <x:v>Gutenbergstraße 51</x:v>
      </x:c>
      <x:c r="F19" s="116" t="str">
        <x:v>74074</x:v>
      </x:c>
      <x:c r="G19" s="116" t="str">
        <x:v>07131 9458-58</x:v>
      </x:c>
      <x:c r="H19" s="116" t="str">
        <x:v>07131 9458-32</x:v>
      </x:c>
      <x:c r="I19" s="116" t="str"/>
      <x:c r="J19" s="116" t="str">
        <x:v>https://www.neurologie-heilbronn.de/</x:v>
      </x:c>
      <x:c r="K19" s="116" t="str">
        <x:v>Gemeinschaftspraxis</x:v>
      </x:c>
      <x:c r="L19" s="116" t="str">
        <x:v>Neurologie; Psychiatrie; Psychotherapie</x:v>
      </x:c>
      <x:c r="M19" s="135" t="str"/>
      <x:c r="N19" s="135" t="str"/>
      <x:c r="O19" s="116" t="str">
        <x:v>Adresse/Kontakt geprüft; Koordinate offen</x:v>
      </x:c>
      <x:c r="P19" s="116" t="str">
        <x:v>https://www.neurologie-heilbronn.de/</x:v>
      </x:c>
      <x:c r="Q19" s="116" t="str">
        <x:v>aufnehmen</x:v>
      </x:c>
      <x:c r="R19" s="116" t="str">
        <x:v>Schließt Heilbronn-Lücke.</x:v>
      </x:c>
    </x:row>
    <x:row r="20">
      <x:c r="A20" s="116" t="str">
        <x:v>Neuaufnahme</x:v>
      </x:c>
      <x:c r="B20" s="116" t="str">
        <x:v>A</x:v>
      </x:c>
      <x:c r="C20" s="116" t="str">
        <x:v>Praxis Dr. Stefan Unglaub et al.</x:v>
      </x:c>
      <x:c r="D20" s="116" t="str">
        <x:v>Frankfurt / Rhein-Main</x:v>
      </x:c>
      <x:c r="E20" s="116" t="str">
        <x:v>Pfingstweidstraße 3</x:v>
      </x:c>
      <x:c r="F20" s="116" t="str">
        <x:v>60316</x:v>
      </x:c>
      <x:c r="G20" s="116" t="str">
        <x:v>069 344425</x:v>
      </x:c>
      <x:c r="H20" s="116" t="str"/>
      <x:c r="I20" s="116" t="str"/>
      <x:c r="J20" s="116" t="str">
        <x:v>https://www.neurologie-frankfurt.de/</x:v>
      </x:c>
      <x:c r="K20" s="116" t="str">
        <x:v>Unglaub; Jonik; Schimmelpfeng-Fuchs; Volgger Garrabou</x:v>
      </x:c>
      <x:c r="L20" s="116" t="str">
        <x:v>Neurologie; Psychiatrie</x:v>
      </x:c>
      <x:c r="M20" s="135" t="str"/>
      <x:c r="N20" s="135" t="str"/>
      <x:c r="O20" s="116" t="str">
        <x:v>Hauptstandort geprüft; Koordinate offen</x:v>
      </x:c>
      <x:c r="P20" s="116" t="str">
        <x:v>https://www.neurologie-frankfurt.de/</x:v>
      </x:c>
      <x:c r="Q20" s="116" t="str">
        <x:v>aufnehmen</x:v>
      </x:c>
      <x:c r="R20" s="116" t="str">
        <x:v>Frankfurt-Zentrum als Hauptpunkt; Höchst nicht zusätzlich als Pflichtpunkt.</x:v>
      </x:c>
    </x:row>
  </x:sheetData>
  <x:mergeCells>
    <x:mergeCell ref="A1:R1"/>
    <x:mergeCell ref="A2:R2"/>
  </x:mergeCells>
  <x:pageMargins left="0.7" right="0.7" top="0.75" bottom="0.75" header="0.3" footer="0.3"/>
  <x:tableParts count="1">
    <x:tablePart xmlns:r="http://schemas.openxmlformats.org/officeDocument/2006/relationships" r:id="Re51785cd5462465d"/>
  </x:tableParts>
</x:worksheet>
</file>

<file path=xl/worksheets/sheet34.xml><?xml version="1.0" encoding="utf-8"?>
<x:worksheet xmlns:x="http://schemas.openxmlformats.org/spreadsheetml/2006/main">
  <x:sheetFormatPr defaultRowHeight="15"/>
  <x:cols>
    <x:col min="1" max="1" width="28" hidden="0" customWidth="1"/>
    <x:col min="2" max="2" width="42" hidden="0" customWidth="1"/>
    <x:col min="3" max="3" width="24" hidden="0" customWidth="1"/>
    <x:col min="4" max="4" width="10" hidden="0" customWidth="1"/>
    <x:col min="5" max="5" width="15" hidden="0" customWidth="1"/>
    <x:col min="6" max="6" width="25" hidden="0" customWidth="1"/>
    <x:col min="7" max="7" width="37" hidden="0" customWidth="1"/>
    <x:col min="8" max="8" width="48" hidden="0" customWidth="1"/>
    <x:col min="9" max="9" width="48" hidden="0" customWidth="1"/>
    <x:col min="10" max="10" width="13" hidden="0" customWidth="1"/>
  </x:cols>
  <x:sheetData>
    <x:row r="1" ht="28" customHeight="1">
      <x:c r="A1" s="163" t="str">
        <x:v>BG-RehaManager Südwest – FINALES Änderungsprotokoll 4.4.x</x:v>
      </x:c>
      <x:c r="B1" s="163"/>
      <x:c r="C1" s="163"/>
      <x:c r="D1" s="163"/>
      <x:c r="E1" s="163"/>
      <x:c r="F1" s="163"/>
      <x:c r="G1" s="163"/>
      <x:c r="H1" s="163"/>
      <x:c r="I1" s="163"/>
      <x:c r="J1" s="163"/>
    </x:row>
    <x:row r="2">
      <x:c r="A2" s="170" t="str">
        <x:v>Enthält die vollständige 4.4.x-Konsolidierung einschließlich Schlussrunde vom 31.08.2026: Fahrrad-/Spezialradanpassung und Wohnen/Lifttechnik.</x:v>
      </x:c>
      <x:c r="B2" s="170"/>
      <x:c r="C2" s="170"/>
      <x:c r="D2" s="170"/>
      <x:c r="E2" s="170"/>
      <x:c r="F2" s="170"/>
      <x:c r="G2" s="170"/>
      <x:c r="H2" s="170"/>
      <x:c r="I2" s="170"/>
      <x:c r="J2" s="170"/>
    </x:row>
    <x:row r="3">
      <x:c r="A3" s="116"/>
      <x:c r="B3" s="116"/>
      <x:c r="C3" s="116"/>
      <x:c r="D3" s="116"/>
      <x:c r="E3" s="116"/>
      <x:c r="F3" s="116"/>
      <x:c r="G3" s="116"/>
      <x:c r="H3" s="116"/>
      <x:c r="I3" s="116"/>
      <x:c r="J3" s="116"/>
    </x:row>
    <x:row r="4" ht="30" customHeight="1">
      <x:c r="A4" s="166" t="str">
        <x:v>Bereich</x:v>
      </x:c>
      <x:c r="B4" s="166" t="str">
        <x:v>Einrichtung / Regel</x:v>
      </x:c>
      <x:c r="C4" s="166" t="str">
        <x:v>Aktion</x:v>
      </x:c>
      <x:c r="D4" s="166" t="str">
        <x:v>Priorität</x:v>
      </x:c>
      <x:c r="E4" s="166" t="str">
        <x:v>Neu/Bestand</x:v>
      </x:c>
      <x:c r="F4" s="166" t="str">
        <x:v>Ort</x:v>
      </x:c>
      <x:c r="G4" s="166" t="str">
        <x:v>Geo-Status</x:v>
      </x:c>
      <x:c r="H4" s="166" t="str">
        <x:v>Verknüpfung / Besonderheit</x:v>
      </x:c>
      <x:c r="I4" s="166" t="str">
        <x:v>Quelle</x:v>
      </x:c>
      <x:c r="J4" s="166" t="str">
        <x:v>Prüfdatum</x:v>
      </x:c>
    </x:row>
    <x:row r="5">
      <x:c r="A5" s="116" t="str">
        <x:v>Medizinische Reha</x:v>
      </x:c>
      <x:c r="B5" s="116" t="str">
        <x:v>Schmerztherapiezentrum Bad Mergentheim</x:v>
      </x:c>
      <x:c r="C5" s="116" t="str">
        <x:v>Aufnehmen</x:v>
      </x:c>
      <x:c r="D5" s="116" t="str">
        <x:v>A+</x:v>
      </x:c>
      <x:c r="E5" s="116" t="str">
        <x:v>Neu</x:v>
      </x:c>
      <x:c r="F5" s="116" t="str">
        <x:v>Bad Mergentheim</x:v>
      </x:c>
      <x:c r="G5" s="116" t="str">
        <x:v>Hausadresse und Standortkoordinate verifiziert</x:v>
      </x:c>
      <x:c r="H5" s="116" t="str">
        <x:v>A+; ambulant und stationär am selben Standort; besondere regionale Bedeutung.</x:v>
      </x:c>
      <x:c r="I5" s="116" t="str">
        <x:v>https://www.schmerzklinik.com/patienten</x:v>
      </x:c>
      <x:c r="J5" s="116" t="str">
        <x:v>2026-08-30</x:v>
      </x:c>
    </x:row>
    <x:row r="6">
      <x:c r="A6" s="116" t="str">
        <x:v>Neurologisch-psychiatrische Praxen</x:v>
      </x:c>
      <x:c r="B6" s="116" t="str">
        <x:v>Gemeinschaftspraxis für Neurologie, Psychiatrie und Psychotherapie – Nowackanlage</x:v>
      </x:c>
      <x:c r="C6" s="116" t="str">
        <x:v>Aufnehmen</x:v>
      </x:c>
      <x:c r="D6" s="116" t="str">
        <x:v>A</x:v>
      </x:c>
      <x:c r="E6" s="116" t="str">
        <x:v>Neu</x:v>
      </x:c>
      <x:c r="F6" s="116" t="str">
        <x:v>Karlsruhe</x:v>
      </x:c>
      <x:c r="G6" s="116" t="str">
        <x:v>Hausadresse und Gebäudekoordinate verifiziert</x:v>
      </x:c>
      <x:c r="H6" s="116" t="str">
        <x:v>Zusätzliche große Neuro-Psych-Praxis; bestehende Neuropraxis Karlsruhe Karlstraße 84 bleibt separat erhalten.</x:v>
      </x:c>
      <x:c r="I6" s="116" t="str">
        <x:v>https://www.neurologie-psychiatrie-karlsruhe.de/impressum/</x:v>
      </x:c>
      <x:c r="J6" s="116" t="str">
        <x:v>2026-08-30</x:v>
      </x:c>
    </x:row>
    <x:row r="7">
      <x:c r="A7" s="116" t="str">
        <x:v>Neurologisch-psychiatrische Praxen</x:v>
      </x:c>
      <x:c r="B7" s="116" t="str">
        <x:v>Nervenheilkunde Weinheim</x:v>
      </x:c>
      <x:c r="C7" s="116" t="str">
        <x:v>Aufnehmen</x:v>
      </x:c>
      <x:c r="D7" s="116" t="str">
        <x:v>A</x:v>
      </x:c>
      <x:c r="E7" s="116" t="str">
        <x:v>Neu</x:v>
      </x:c>
      <x:c r="F7" s="116" t="str">
        <x:v>Weinheim</x:v>
      </x:c>
      <x:c r="G7" s="116" t="str">
        <x:v>Hausadresse und Standortkoordinate verifiziert</x:v>
      </x:c>
      <x:c r="H7" s="116" t="str">
        <x:v>Pflichtstandort der Ergänzungsrunde Rhein-Neckar/Bergstraße.</x:v>
      </x:c>
      <x:c r="I7" s="116" t="str">
        <x:v>https://www.nervenheilkunde-weinheim.de/</x:v>
      </x:c>
      <x:c r="J7" s="116" t="str">
        <x:v>2026-08-30</x:v>
      </x:c>
    </x:row>
    <x:row r="8">
      <x:c r="A8" s="116" t="str">
        <x:v>Neurologisch-psychiatrische Praxen</x:v>
      </x:c>
      <x:c r="B8" s="116" t="str">
        <x:v>Praxis-Zentrum für Neurologie &amp; Psychiatrie Worms</x:v>
      </x:c>
      <x:c r="C8" s="116" t="str">
        <x:v>Aufnehmen</x:v>
      </x:c>
      <x:c r="D8" s="116" t="str">
        <x:v>A</x:v>
      </x:c>
      <x:c r="E8" s="116" t="str">
        <x:v>Neu</x:v>
      </x:c>
      <x:c r="F8" s="116" t="str">
        <x:v>Worms</x:v>
      </x:c>
      <x:c r="G8" s="116" t="str">
        <x:v>Hausadresse und Standortkoordinate verifiziert</x:v>
      </x:c>
      <x:c r="H8" s="116" t="str">
        <x:v>Ergänzt das bereits vorhandene Klinikum/MVZ Worms um eine eigenständige größere ambulante Neuro-Psych-Praxis.</x:v>
      </x:c>
      <x:c r="I8" s="116" t="str">
        <x:v>https://www.np-worms.de/</x:v>
      </x:c>
      <x:c r="J8" s="116" t="str">
        <x:v>2026-08-30</x:v>
      </x:c>
    </x:row>
    <x:row r="9">
      <x:c r="A9" s="116" t="str">
        <x:v>Neurologisch-psychiatrische Praxen</x:v>
      </x:c>
      <x:c r="B9" s="116" t="str">
        <x:v>Praxis Dr. Jürgen Lang – Neurologie &amp; Psychiatrie</x:v>
      </x:c>
      <x:c r="C9" s="116" t="str">
        <x:v>Aufnehmen</x:v>
      </x:c>
      <x:c r="D9" s="116" t="str">
        <x:v>B</x:v>
      </x:c>
      <x:c r="E9" s="116" t="str">
        <x:v>Neu</x:v>
      </x:c>
      <x:c r="F9" s="116" t="str">
        <x:v>Tauberbischofsheim</x:v>
      </x:c>
      <x:c r="G9" s="116" t="str">
        <x:v>Hausadresse und adressbezogene Koordinate verifiziert</x:v>
      </x:c>
      <x:c r="H9" s="116" t="str">
        <x:v>Gezielte Lückenschließung Taubertal; ergänzt Neuropraxis Wertheim.</x:v>
      </x:c>
      <x:c r="I9" s="116" t="str">
        <x:v>https://www.dr-juergen-lang.de/</x:v>
      </x:c>
      <x:c r="J9" s="116" t="str">
        <x:v>2026-08-30</x:v>
      </x:c>
    </x:row>
    <x:row r="10">
      <x:c r="A10" s="116" t="str">
        <x:v>Neurologisch-psychiatrische Praxen</x:v>
      </x:c>
      <x:c r="B10" s="116" t="str">
        <x:v>MVZ für Neurologie und Psychiatrie Würzburg</x:v>
      </x:c>
      <x:c r="C10" s="116" t="str">
        <x:v>Aufnehmen</x:v>
      </x:c>
      <x:c r="D10" s="116" t="str">
        <x:v>A</x:v>
      </x:c>
      <x:c r="E10" s="116" t="str">
        <x:v>Neu</x:v>
      </x:c>
      <x:c r="F10" s="116" t="str">
        <x:v>Würzburg</x:v>
      </x:c>
      <x:c r="G10" s="116" t="str">
        <x:v>Hausadresse und Standortkoordinate verifiziert</x:v>
      </x:c>
      <x:c r="H10" s="116" t="str">
        <x:v>MVZ wird nicht als eigene Hauptkategorie geführt, sondern unter Neurologie/Psychiatrie.</x:v>
      </x:c>
      <x:c r="I10" s="116" t="str">
        <x:v>https://www.mvz-neuro.de/</x:v>
      </x:c>
      <x:c r="J10" s="116" t="str">
        <x:v>2026-08-30</x:v>
      </x:c>
    </x:row>
    <x:row r="11">
      <x:c r="A11" s="116" t="str">
        <x:v>Neurologisch-psychiatrische Praxen</x:v>
      </x:c>
      <x:c r="B11" s="116" t="str">
        <x:v>meditz Würzburg</x:v>
      </x:c>
      <x:c r="C11" s="116" t="str">
        <x:v>Aufnehmen</x:v>
      </x:c>
      <x:c r="D11" s="116" t="str">
        <x:v>A</x:v>
      </x:c>
      <x:c r="E11" s="116" t="str">
        <x:v>Neu</x:v>
      </x:c>
      <x:c r="F11" s="116" t="str">
        <x:v>Würzburg</x:v>
      </x:c>
      <x:c r="G11" s="116" t="str">
        <x:v>Hausadresse und Standortkoordinate verifiziert</x:v>
      </x:c>
      <x:c r="H11" s="116" t="str">
        <x:v>Interdisziplinäre Einrichtung; in der Karte primär nach Fachgebiet, nicht als MVZ-Hauptkategorie.</x:v>
      </x:c>
      <x:c r="I11" s="116" t="str">
        <x:v>https://www.meditz-wuerzburg.de/de/kontakt</x:v>
      </x:c>
      <x:c r="J11" s="116" t="str">
        <x:v>2026-08-30</x:v>
      </x:c>
    </x:row>
    <x:row r="12">
      <x:c r="A12" s="116" t="str">
        <x:v>Neurologisch-psychiatrische Praxen</x:v>
      </x:c>
      <x:c r="B12" s="116" t="str">
        <x:v>Nervenärztliche Gemeinschaftspraxis Schweinfurt</x:v>
      </x:c>
      <x:c r="C12" s="116" t="str">
        <x:v>Aufnehmen</x:v>
      </x:c>
      <x:c r="D12" s="116" t="str">
        <x:v>B</x:v>
      </x:c>
      <x:c r="E12" s="116" t="str">
        <x:v>Neu</x:v>
      </x:c>
      <x:c r="F12" s="116" t="str">
        <x:v>Schweinfurt</x:v>
      </x:c>
      <x:c r="G12" s="116" t="str">
        <x:v>Hausadresse und Standortkoordinate verifiziert</x:v>
      </x:c>
      <x:c r="H12" s="116" t="str">
        <x:v>Unterfranken-Ergänzung außerhalb Würzburg.</x:v>
      </x:c>
      <x:c r="I12" s="116" t="str">
        <x:v>https://nervenaerzte-schweinfurt.de/</x:v>
      </x:c>
      <x:c r="J12" s="116" t="str">
        <x:v>2026-08-30</x:v>
      </x:c>
    </x:row>
    <x:row r="13">
      <x:c r="A13" s="116" t="str">
        <x:v>Berufliche Reha</x:v>
      </x:c>
      <x:c r="B13" s="116" t="str">
        <x:v>Berufsförderungswerk Frankfurt am Main e.V. – Bad Vilbel</x:v>
      </x:c>
      <x:c r="C13" s="116" t="str">
        <x:v>Aufnehmen</x:v>
      </x:c>
      <x:c r="D13" s="116" t="str">
        <x:v>A+</x:v>
      </x:c>
      <x:c r="E13" s="116" t="str">
        <x:v>Neu</x:v>
      </x:c>
      <x:c r="F13" s="116" t="str">
        <x:v>Bad Vilbel</x:v>
      </x:c>
      <x:c r="G13" s="116" t="str">
        <x:v>Hausadresse verifiziert; numerische Einrichtungskordinate noch nicht belastbar separat bestätigt</x:v>
      </x:c>
      <x:c r="H13" s="116" t="str">
        <x:v>Bad Vilbel verbindlich aufnehmen. Regionalcenter Kassel ausdrücklich nicht in den Kartenbestand übernehmen.</x:v>
      </x:c>
      <x:c r="I13" s="116" t="str">
        <x:v>https://bfw-frankfurt.de/infos-links/kontakte</x:v>
      </x:c>
      <x:c r="J13" s="116" t="str">
        <x:v>2026-08-30</x:v>
      </x:c>
    </x:row>
    <x:row r="14">
      <x:c r="A14" s="116" t="str">
        <x:v>Kfz &amp; Mobilität</x:v>
      </x:c>
      <x:c r="B14" s="116" t="str">
        <x:v>Fahrschule Klaus – Standort Mundenheim</x:v>
      </x:c>
      <x:c r="C14" s="116" t="str">
        <x:v>Aufnehmen</x:v>
      </x:c>
      <x:c r="D14" s="116" t="str">
        <x:v>A</x:v>
      </x:c>
      <x:c r="E14" s="116" t="str">
        <x:v>Neu</x:v>
      </x:c>
      <x:c r="F14" s="116" t="str">
        <x:v>Ludwigshafen am Rhein</x:v>
      </x:c>
      <x:c r="G14" s="116" t="str">
        <x:v>Hausadresse und adressbezogene Koordinate verifiziert</x:v>
      </x:c>
      <x:c r="H14" s="116" t="str">
        <x:v>Von mehreren Standorten wird Mundenheim als Kartenpunkt geführt.</x:v>
      </x:c>
      <x:c r="I14" s="116" t="str">
        <x:v>https://www.fahrschuleklaus.de/</x:v>
      </x:c>
      <x:c r="J14" s="116" t="str">
        <x:v>2026-08-30</x:v>
      </x:c>
    </x:row>
    <x:row r="15">
      <x:c r="A15" s="116" t="str">
        <x:v>Kfz &amp; Mobilität</x:v>
      </x:c>
      <x:c r="B15" s="116" t="str">
        <x:v>Fahrschule Zawatzky – Behindertenfahrschule</x:v>
      </x:c>
      <x:c r="C15" s="116" t="str">
        <x:v>Aufnehmen</x:v>
      </x:c>
      <x:c r="D15" s="116" t="str">
        <x:v>A+</x:v>
      </x:c>
      <x:c r="E15" s="116" t="str">
        <x:v>Neu</x:v>
      </x:c>
      <x:c r="F15" s="116" t="str">
        <x:v>Neckargemünd</x:v>
      </x:c>
      <x:c r="G15" s="116" t="str">
        <x:v>Hausadresse und Standortkoordinate verifiziert</x:v>
      </x:c>
      <x:c r="H15" s="116" t="str">
        <x:v>ID 224 Mobilcenter Zawatzky Meckesheim</x:v>
      </x:c>
      <x:c r="I15" s="116" t="str">
        <x:v>https://zawatzky.de/fahrschule/kontakt/</x:v>
      </x:c>
      <x:c r="J15" s="116" t="str">
        <x:v>2026-08-30</x:v>
      </x:c>
    </x:row>
    <x:row r="16">
      <x:c r="A16" s="116" t="str">
        <x:v>Berufliche Reha / Coaching</x:v>
      </x:c>
      <x:c r="B16" s="116" t="str">
        <x:v>pebb gmbh – Ober-Hilbersheim</x:v>
      </x:c>
      <x:c r="C16" s="116" t="str">
        <x:v>Aufnehmen</x:v>
      </x:c>
      <x:c r="D16" s="116" t="str">
        <x:v>A</x:v>
      </x:c>
      <x:c r="E16" s="116" t="str">
        <x:v>Neu</x:v>
      </x:c>
      <x:c r="F16" s="116" t="str">
        <x:v>Ober-Hilbersheim</x:v>
      </x:c>
      <x:c r="G16" s="116" t="str">
        <x:v>Hausadresse und Kontakt verifiziert; numerische Hauskoordinate noch nicht separat belastbar bestätigt</x:v>
      </x:c>
      <x:c r="H16" s="116" t="str">
        <x:v>pebb zwei gmbh</x:v>
      </x:c>
      <x:c r="I16" s="116" t="str">
        <x:v>https://www.pebb.de/kontakt/impressum/</x:v>
      </x:c>
      <x:c r="J16" s="116" t="str">
        <x:v>2026-08-30</x:v>
      </x:c>
    </x:row>
    <x:row r="17">
      <x:c r="A17" s="116" t="str">
        <x:v>Berufliche Reha / Arbeitsvermittlung</x:v>
      </x:c>
      <x:c r="B17" s="116" t="str">
        <x:v>pebb zwei gmbh – Ober-Hilbersheim</x:v>
      </x:c>
      <x:c r="C17" s="116" t="str">
        <x:v>Aufnehmen</x:v>
      </x:c>
      <x:c r="D17" s="116" t="str">
        <x:v>A+</x:v>
      </x:c>
      <x:c r="E17" s="116" t="str">
        <x:v>Neu</x:v>
      </x:c>
      <x:c r="F17" s="116" t="str">
        <x:v>Ober-Hilbersheim</x:v>
      </x:c>
      <x:c r="G17" s="116" t="str">
        <x:v>Hausadresse und Kontakt verifiziert; numerische Hauskoordinate noch nicht separat belastbar bestätigt</x:v>
      </x:c>
      <x:c r="H17" s="116" t="str">
        <x:v>pebb gmbh</x:v>
      </x:c>
      <x:c r="I17" s="116" t="str">
        <x:v>https://www.pebbzwei.de/standorte/rheinland-pfalz-saarland/</x:v>
      </x:c>
      <x:c r="J17" s="116" t="str">
        <x:v>2026-08-30</x:v>
      </x:c>
    </x:row>
    <x:row r="18">
      <x:c r="A18" s="116" t="str">
        <x:v>Reha-Management / Pflege</x:v>
      </x:c>
      <x:c r="B18" s="116" t="str">
        <x:v>reha assist GmbH</x:v>
      </x:c>
      <x:c r="C18" s="116" t="str">
        <x:v>Aufnehmen</x:v>
      </x:c>
      <x:c r="D18" s="116" t="str">
        <x:v>A+</x:v>
      </x:c>
      <x:c r="E18" s="116" t="str">
        <x:v>Neu</x:v>
      </x:c>
      <x:c r="F18" s="116" t="str">
        <x:v>Arnsberg</x:v>
      </x:c>
      <x:c r="G18" s="116" t="str">
        <x:v>Hausadresse und Gebäudekoordinate verifiziert</x:v>
      </x:c>
      <x:c r="H18" s="116" t="str">
        <x:v>Erneute Pflege-/Gutachtenprüfung: Priorität A+.</x:v>
      </x:c>
      <x:c r="I18" s="116" t="str">
        <x:v>https://www.reha-assist.com/pflegeberatung/</x:v>
      </x:c>
      <x:c r="J18" s="116" t="str">
        <x:v>2026-08-30</x:v>
      </x:c>
    </x:row>
    <x:row r="19">
      <x:c r="A19" s="116" t="str">
        <x:v>Neurologisch-psychiatrische Praxen</x:v>
      </x:c>
      <x:c r="B19" s="116" t="str">
        <x:v>Neuropraxis Wertheim</x:v>
      </x:c>
      <x:c r="C19" s="116" t="str">
        <x:v>Bestand aktualisieren</x:v>
      </x:c>
      <x:c r="D19" s="116" t="str">
        <x:v>A</x:v>
      </x:c>
      <x:c r="E19" s="116" t="str">
        <x:v>Bestand</x:v>
      </x:c>
      <x:c r="F19" s="116" t="str">
        <x:v>Wertheim</x:v>
      </x:c>
      <x:c r="G19" s="116" t="str">
        <x:v>adressgenau verifiziert</x:v>
      </x:c>
      <x:c r="H19" s="116" t="str">
        <x:v>Verbindlich als fester Aufnahmebestand; Kategorie von 'Sonstige' auf Neurologie/Psychiatrie bereinigen.</x:v>
      </x:c>
      <x:c r="I19" s="116" t="str">
        <x:v>https://www.neuropraxis-wertheim.de/kontakt</x:v>
      </x:c>
      <x:c r="J19" s="116" t="str">
        <x:v>2026-08-30</x:v>
      </x:c>
    </x:row>
    <x:row r="20">
      <x:c r="A20" s="116" t="str">
        <x:v>Neurologisch-psychiatrische Praxen</x:v>
      </x:c>
      <x:c r="B20" s="116" t="str">
        <x:v>NervenDocks – Praxis für Neurologie &amp; Psychiatrie</x:v>
      </x:c>
      <x:c r="C20" s="116" t="str">
        <x:v>Bestand aktualisieren</x:v>
      </x:c>
      <x:c r="D20" s="116" t="str">
        <x:v>A</x:v>
      </x:c>
      <x:c r="E20" s="116" t="str">
        <x:v>Bestand</x:v>
      </x:c>
      <x:c r="F20" s="116" t="str">
        <x:v>Buchen</x:v>
      </x:c>
      <x:c r="G20" s="116" t="str">
        <x:v>adressgenau verifiziert</x:v>
      </x:c>
      <x:c r="H20" s="116" t="str">
        <x:v>Deckt die gezielte Odenwald-Lücke bereits ab.</x:v>
      </x:c>
      <x:c r="I20" s="116" t="str">
        <x:v>https://www.nervendocks.de/</x:v>
      </x:c>
      <x:c r="J20" s="116" t="str">
        <x:v>2026-08-30</x:v>
      </x:c>
    </x:row>
    <x:row r="21">
      <x:c r="A21" s="116" t="str">
        <x:v>Berufliche Reha / Neurologie Phase E</x:v>
      </x:c>
      <x:c r="B21" s="116" t="str">
        <x:v>Stephanuswerk Isny – Bildungszentrum</x:v>
      </x:c>
      <x:c r="C21" s="116" t="str">
        <x:v>Bestand aktualisieren</x:v>
      </x:c>
      <x:c r="D21" s="116" t="str">
        <x:v>A</x:v>
      </x:c>
      <x:c r="E21" s="116" t="str">
        <x:v>Bestand</x:v>
      </x:c>
      <x:c r="F21" s="116" t="str">
        <x:v>Isny im Allgäu</x:v>
      </x:c>
      <x:c r="G21" s="116" t="str">
        <x:v>Hausadresse verifiziert</x:v>
      </x:c>
      <x:c r="H21" s="116" t="str">
        <x:v>Phase E/LTA; ausdrücklich keine medizinische Phase-A-D-Klinik.</x:v>
      </x:c>
      <x:c r="I21" s="116" t="str">
        <x:v>https://www.stephanuswerk-isny.de/bildungszentrum/</x:v>
      </x:c>
      <x:c r="J21" s="116" t="str">
        <x:v>2026-08-30</x:v>
      </x:c>
    </x:row>
    <x:row r="22">
      <x:c r="A22" s="116" t="str">
        <x:v>Neurologische Reha</x:v>
      </x:c>
      <x:c r="B22" s="116" t="str">
        <x:v>Asklepios Schlossberg Klinik Bad König</x:v>
      </x:c>
      <x:c r="C22" s="116" t="str">
        <x:v>Bestand bestätigen</x:v>
      </x:c>
      <x:c r="D22" s="116" t="str">
        <x:v>A</x:v>
      </x:c>
      <x:c r="E22" s="116" t="str">
        <x:v>Bestand</x:v>
      </x:c>
      <x:c r="F22" s="116" t="str">
        <x:v>Bad König</x:v>
      </x:c>
      <x:c r="G22" s="116" t="str">
        <x:v>Einrichtungsstandort geprüft</x:v>
      </x:c>
      <x:c r="H22" s="116" t="str">
        <x:v>Keine zusätzliche Phase-C-Zuordnung übernehmen.</x:v>
      </x:c>
      <x:c r="I22" s="116" t="str">
        <x:v>https://www.asklepios.com/bad-koenig/</x:v>
      </x:c>
      <x:c r="J22" s="116" t="str">
        <x:v>2026-08-30</x:v>
      </x:c>
    </x:row>
    <x:row r="23">
      <x:c r="A23" s="116" t="str">
        <x:v>Neurologische Reha</x:v>
      </x:c>
      <x:c r="B23" s="116" t="str">
        <x:v>SRH Kurpfalzkrankenhaus Heidelberg</x:v>
      </x:c>
      <x:c r="C23" s="116" t="str">
        <x:v>Bestand bestätigen</x:v>
      </x:c>
      <x:c r="D23" s="116" t="str">
        <x:v>A</x:v>
      </x:c>
      <x:c r="E23" s="116" t="str">
        <x:v>Bestand</x:v>
      </x:c>
      <x:c r="F23" s="116" t="str">
        <x:v>Heidelberg</x:v>
      </x:c>
      <x:c r="G23" s="116" t="str">
        <x:v>Einrichtungsstandort geprüft</x:v>
      </x:c>
      <x:c r="H23" s="116" t="str">
        <x:v>Keine zusätzliche Phase-C-Zuordnung übernehmen.</x:v>
      </x:c>
      <x:c r="I23" s="116" t="str">
        <x:v>https://www.srh.de/</x:v>
      </x:c>
      <x:c r="J23" s="116" t="str">
        <x:v>2026-08-30</x:v>
      </x:c>
    </x:row>
    <x:row r="24">
      <x:c r="A24" s="116" t="str">
        <x:v>Neurologische Reha</x:v>
      </x:c>
      <x:c r="B24" s="116" t="str">
        <x:v>Junge Pflege St. Anastasia – Fachpflege Neurophase F</x:v>
      </x:c>
      <x:c r="C24" s="116" t="str">
        <x:v>Bestand bestätigen</x:v>
      </x:c>
      <x:c r="D24" s="116" t="str">
        <x:v>A</x:v>
      </x:c>
      <x:c r="E24" s="116" t="str">
        <x:v>Bestand</x:v>
      </x:c>
      <x:c r="F24" s="116" t="str">
        <x:v>Limburgerhof</x:v>
      </x:c>
      <x:c r="G24" s="116" t="str">
        <x:v>Gebäude-/Adresspunkt verifiziert</x:v>
      </x:c>
      <x:c r="H24" s="116" t="str">
        <x:v>Aktiver Phase-F-Standort; Storchenpark Speyer dagegen entfernen.</x:v>
      </x:c>
      <x:c r="I24" s="116" t="str">
        <x:v>https://www.caritas-speyer.de/standorte/caritas-altenzentren/st-anastasia</x:v>
      </x:c>
      <x:c r="J24" s="116" t="str">
        <x:v>2026-08-30</x:v>
      </x:c>
    </x:row>
    <x:row r="25">
      <x:c r="A25" s="116" t="str">
        <x:v>Kfz &amp; Mobilität</x:v>
      </x:c>
      <x:c r="B25" s="116" t="str">
        <x:v>Mobilcenter Zawatzky GmbH – Meckesheim</x:v>
      </x:c>
      <x:c r="C25" s="116" t="str">
        <x:v>Bestand bestätigen</x:v>
      </x:c>
      <x:c r="D25" s="116" t="str">
        <x:v>A</x:v>
      </x:c>
      <x:c r="E25" s="116" t="str">
        <x:v>Bestand</x:v>
      </x:c>
      <x:c r="F25" s="116" t="str">
        <x:v>Meckesheim</x:v>
      </x:c>
      <x:c r="G25" s="116" t="str">
        <x:v>adressgenau verifiziert</x:v>
      </x:c>
      <x:c r="H25" s="116" t="str">
        <x:v>MOB44-002 Fahrschule Zawatzky Neckargemünd</x:v>
      </x:c>
      <x:c r="I25" s="116" t="str">
        <x:v>https://zawatzky.de/standorte/</x:v>
      </x:c>
      <x:c r="J25" s="116" t="str">
        <x:v>2026-08-30</x:v>
      </x:c>
    </x:row>
    <x:row r="26">
      <x:c r="A26" s="116" t="str">
        <x:v>Kfz &amp; Mobilität</x:v>
      </x:c>
      <x:c r="B26" s="116" t="str">
        <x:v>Gerd Waldvogel – Kfz-Sachverständiger</x:v>
      </x:c>
      <x:c r="C26" s="116" t="str">
        <x:v>Bestand bestätigen</x:v>
      </x:c>
      <x:c r="D26" s="116" t="str">
        <x:v>B</x:v>
      </x:c>
      <x:c r="E26" s="116" t="str">
        <x:v>Bestand</x:v>
      </x:c>
      <x:c r="F26" s="116" t="str">
        <x:v>Bad König</x:v>
      </x:c>
      <x:c r="G26" s="116" t="str">
        <x:v>adressbezogener Punkt geprüft</x:v>
      </x:c>
      <x:c r="H26" s="116" t="str">
        <x:v>PLZ 64732 ist der aktuelle/geprüfte Stand.</x:v>
      </x:c>
      <x:c r="I26" s="116"/>
      <x:c r="J26" s="116" t="str">
        <x:v>2026-08-30</x:v>
      </x:c>
    </x:row>
    <x:row r="27">
      <x:c r="A27" s="116" t="str">
        <x:v>Soziale Teilhabe / Wohnen</x:v>
      </x:c>
      <x:c r="B27" s="116" t="str">
        <x:v>Jochen Martini – Architektur/Gutachten Wohnen</x:v>
      </x:c>
      <x:c r="C27" s="116" t="str">
        <x:v>Bestand bestätigen</x:v>
      </x:c>
      <x:c r="D27" s="116" t="str">
        <x:v>A</x:v>
      </x:c>
      <x:c r="E27" s="116" t="str">
        <x:v>Bestand</x:v>
      </x:c>
      <x:c r="F27" s="116" t="str">
        <x:v>Lambrecht (Pfalz)</x:v>
      </x:c>
      <x:c r="G27" s="116" t="str">
        <x:v>Adresse bestätigt; numerische Hauskoordinate im Gesamtimport nicht neu überschrieben</x:v>
      </x:c>
      <x:c r="H27" s="116" t="str">
        <x:v>Soziale Teilhabe/Wohnen als eigenständiger Bereich; Martini darf nicht erneut verloren gehen.</x:v>
      </x:c>
      <x:c r="I27" s="116"/>
      <x:c r="J27" s="116" t="str">
        <x:v>2026-08-30</x:v>
      </x:c>
    </x:row>
    <x:row r="28">
      <x:c r="A28" s="116" t="str">
        <x:v>Neurologie Phase F</x:v>
      </x:c>
      <x:c r="B28" s="116" t="str">
        <x:v>Seniorenzentrum Storchenpark Speyer</x:v>
      </x:c>
      <x:c r="C28" s="116" t="str">
        <x:v>Entfernen Phase F</x:v>
      </x:c>
      <x:c r="D28" s="116" t="str">
        <x:v>A</x:v>
      </x:c>
      <x:c r="E28" s="116" t="str">
        <x:v>Bestand</x:v>
      </x:c>
      <x:c r="F28" s="116" t="str">
        <x:v>Speyer</x:v>
      </x:c>
      <x:c r="G28" s="116" t="str">
        <x:v>kein aktiver Phase-F-Status</x:v>
      </x:c>
      <x:c r="H28" s="116" t="str">
        <x:v>Nicht mehr als aktive Phase-F-Einrichtung führen</x:v>
      </x:c>
      <x:c r="I28" s="116" t="str">
        <x:v>https://bag-phase-f.de/lag/</x:v>
      </x:c>
      <x:c r="J28" s="116" t="str">
        <x:v>2026-08-30</x:v>
      </x:c>
    </x:row>
    <x:row r="29">
      <x:c r="A29" s="116" t="str">
        <x:v>Neurologie Phase F</x:v>
      </x:c>
      <x:c r="B29" s="116" t="str">
        <x:v>Kliniken Schmieder</x:v>
      </x:c>
      <x:c r="C29" s="116" t="str">
        <x:v>Phase F nicht zuordnen</x:v>
      </x:c>
      <x:c r="D29" s="116" t="str">
        <x:v>A</x:v>
      </x:c>
      <x:c r="E29" s="116" t="str">
        <x:v>Bestand</x:v>
      </x:c>
      <x:c r="F29" s="116" t="str">
        <x:v>mehrere Standorte</x:v>
      </x:c>
      <x:c r="G29" s="116" t="str">
        <x:v>fachliche Zuordnung</x:v>
      </x:c>
      <x:c r="H29" s="116" t="str">
        <x:v>Schmieder nicht als Phase-F-Anbieter führen</x:v>
      </x:c>
      <x:c r="I29" s="116" t="str">
        <x:v>https://www.kliniken-schmieder.de/</x:v>
      </x:c>
      <x:c r="J29" s="116" t="str">
        <x:v>2026-08-30</x:v>
      </x:c>
    </x:row>
    <x:row r="30">
      <x:c r="A30" s="116" t="str">
        <x:v>Berufliche Reha</x:v>
      </x:c>
      <x:c r="B30" s="116" t="str">
        <x:v>BFW Regionalcenter Kassel</x:v>
      </x:c>
      <x:c r="C30" s="116" t="str">
        <x:v>Nicht aufnehmen</x:v>
      </x:c>
      <x:c r="D30" s="116" t="str">
        <x:v>A</x:v>
      </x:c>
      <x:c r="E30" s="116" t="str">
        <x:v>Ausschluss</x:v>
      </x:c>
      <x:c r="F30" s="116" t="str">
        <x:v>Kassel</x:v>
      </x:c>
      <x:c r="G30" s="116" t="str">
        <x:v>n/a</x:v>
      </x:c>
      <x:c r="H30" s="116" t="str">
        <x:v>Bad Vilbel aufnehmen; Kassel ausdrücklich aus Kartenbestand herauslassen</x:v>
      </x:c>
      <x:c r="I30" s="116" t="str">
        <x:v>https://bfw-frankfurt.de/das-bfw-frankfurt</x:v>
      </x:c>
      <x:c r="J30" s="116" t="str">
        <x:v>2026-08-30</x:v>
      </x:c>
    </x:row>
    <x:row r="31">
      <x:c r="A31" s="116" t="str">
        <x:v>Neurologie / berufliche Reha</x:v>
      </x:c>
      <x:c r="B31" s="116" t="str">
        <x:v>Stephanuswerk Isny</x:v>
      </x:c>
      <x:c r="C31" s="116" t="str">
        <x:v>Kategorie korrigieren</x:v>
      </x:c>
      <x:c r="D31" s="116" t="str">
        <x:v>A</x:v>
      </x:c>
      <x:c r="E31" s="116" t="str">
        <x:v>Bestand</x:v>
      </x:c>
      <x:c r="F31" s="116" t="str">
        <x:v>Isny im Allgäu</x:v>
      </x:c>
      <x:c r="G31" s="116" t="str">
        <x:v>Hausadresse geprüft</x:v>
      </x:c>
      <x:c r="H31" s="116" t="str">
        <x:v>Phase E/LTA, nicht medizinische A-D-Klinik</x:v>
      </x:c>
      <x:c r="I31" s="116" t="str">
        <x:v>https://www.stephanuswerk-isny.de/bildungszentrum/</x:v>
      </x:c>
      <x:c r="J31" s="116" t="str">
        <x:v>2026-08-30</x:v>
      </x:c>
    </x:row>
    <x:row r="32">
      <x:c r="A32" s="116" t="str">
        <x:v>Pflege</x:v>
      </x:c>
      <x:c r="B32" s="116" t="str">
        <x:v>Pflegeberatung GUV</x:v>
      </x:c>
      <x:c r="C32" s="116" t="str">
        <x:v>Kein generischer Kartenpunkt</x:v>
      </x:c>
      <x:c r="D32" s="116" t="str">
        <x:v>A</x:v>
      </x:c>
      <x:c r="E32" s="116" t="str">
        <x:v>Regel</x:v>
      </x:c>
      <x:c r="F32" s="116"/>
      <x:c r="G32" s="116" t="str">
        <x:v>n/a</x:v>
      </x:c>
      <x:c r="H32" s="116" t="str">
        <x:v>Konkrete BG-Klinik-Pflegefachberatung/externe qualifizierte Dienste führen</x:v>
      </x:c>
      <x:c r="I32" s="116"/>
      <x:c r="J32" s="116" t="str">
        <x:v>2026-08-30</x:v>
      </x:c>
    </x:row>
    <x:row r="33">
      <x:c r="A33" s="116" t="str">
        <x:v>Technik</x:v>
      </x:c>
      <x:c r="B33" s="116" t="str">
        <x:v>Technikblock 4.4.x</x:v>
      </x:c>
      <x:c r="C33" s="116" t="str">
        <x:v>52 Importzeilen übernehmen</x:v>
      </x:c>
      <x:c r="D33" s="116" t="str">
        <x:v>A+ bis B</x:v>
      </x:c>
      <x:c r="E33" s="116" t="str">
        <x:v>Neu</x:v>
      </x:c>
      <x:c r="F33" s="116" t="str">
        <x:v>regional/überregional</x:v>
      </x:c>
      <x:c r="G33" s="116" t="str">
        <x:v>separate Geo-Prüfung vorhanden</x:v>
      </x:c>
      <x:c r="H33" s="116" t="str">
        <x:v>Vollständiger Technikblock aus bestehender Geo-Datei</x:v>
      </x:c>
      <x:c r="I33" s="116"/>
      <x:c r="J33" s="116" t="str">
        <x:v>2026-08-30</x:v>
      </x:c>
    </x:row>
    <x:row r="34">
      <x:c r="A34" s="116" t="str">
        <x:v>Pflegeberatung / Pflegegutachten</x:v>
      </x:c>
      <x:c r="B34" s="116" t="str">
        <x:v>Pflegesachverständige Kristina Braun</x:v>
      </x:c>
      <x:c r="C34" s="116" t="str">
        <x:v>Aufnehmen</x:v>
      </x:c>
      <x:c r="D34" s="116" t="str">
        <x:v>A+</x:v>
      </x:c>
      <x:c r="E34" s="116" t="str">
        <x:v>Neu</x:v>
      </x:c>
      <x:c r="F34" s="116" t="str">
        <x:v>Worms</x:v>
      </x:c>
      <x:c r="G34" s="116" t="str">
        <x:v>Hausadresse/Kontakt geprüft; numerische Hauskoordinate bewusst offen</x:v>
      </x:c>
      <x:c r="H34" s="116" t="str">
        <x:v>A+ wegen ausdrücklichem SGB-VII-/BG-Bezug.</x:v>
      </x:c>
      <x:c r="I34" s="116" t="str">
        <x:v>https://www.pflegesachverstaendige-braun.de/</x:v>
      </x:c>
      <x:c r="J34" s="116" t="str">
        <x:v>2026-08-30</x:v>
      </x:c>
    </x:row>
    <x:row r="35">
      <x:c r="A35" s="116" t="str">
        <x:v>Pflegeberatung / Pflegegutachten</x:v>
      </x:c>
      <x:c r="B35" s="116" t="str">
        <x:v>BG Klinik Ludwigshafen – Pflegefachberatung / Pflegegutachten</x:v>
      </x:c>
      <x:c r="C35" s="116" t="str">
        <x:v>Bestand aktualisieren</x:v>
      </x:c>
      <x:c r="D35" s="116" t="str">
        <x:v>A+</x:v>
      </x:c>
      <x:c r="E35" s="116" t="str">
        <x:v>Bestand</x:v>
      </x:c>
      <x:c r="F35" s="116" t="str">
        <x:v>Ludwigshafen am Rhein</x:v>
      </x:c>
      <x:c r="G35" s="116" t="str">
        <x:v>Bestehender Klinikstandort; kein neuer Geopunkt erforderlich</x:v>
      </x:c>
      <x:c r="H35" s="116" t="str">
        <x:v>Pflegefachberatung als direkt anwählbare Leistung/Direktkontakt am Klinikdatensatz.</x:v>
      </x:c>
      <x:c r="I35" s="116" t="str">
        <x:v>https://www.bg-kliniken.de/klinik-ludwigshafen/unfallversicherungstraeger/pflegefachberatung/</x:v>
      </x:c>
      <x:c r="J35" s="116" t="str">
        <x:v>2026-08-30</x:v>
      </x:c>
    </x:row>
    <x:row r="36">
      <x:c r="A36" s="116" t="str">
        <x:v>Pflegeberatung / Pflegegutachten</x:v>
      </x:c>
      <x:c r="B36" s="116" t="str">
        <x:v>BG Unfallklinik Frankfurt – Pflegefachberatung / Pflegebegutachtung</x:v>
      </x:c>
      <x:c r="C36" s="116" t="str">
        <x:v>Bestand aktualisieren</x:v>
      </x:c>
      <x:c r="D36" s="116" t="str">
        <x:v>A+</x:v>
      </x:c>
      <x:c r="E36" s="116" t="str">
        <x:v>Bestand</x:v>
      </x:c>
      <x:c r="F36" s="116" t="str">
        <x:v>Frankfurt am Main</x:v>
      </x:c>
      <x:c r="G36" s="116" t="str">
        <x:v>Bestehender Klinikstandort; kein neuer Geopunkt erforderlich</x:v>
      </x:c>
      <x:c r="H36" s="116" t="str">
        <x:v>A+; Pflegebegutachtung ausdrücklich im UVT-Auftrag.</x:v>
      </x:c>
      <x:c r="I36" s="116" t="str">
        <x:v>https://www.bg-kliniken.de/unfallklinik-frankfurt/uvt-servicezentrum/pflegefachberatung/</x:v>
      </x:c>
      <x:c r="J36" s="116" t="str">
        <x:v>2026-08-30</x:v>
      </x:c>
    </x:row>
    <x:row r="37">
      <x:c r="A37" s="116" t="str">
        <x:v>Pflegeberatung / Pflegegutachten</x:v>
      </x:c>
      <x:c r="B37" s="116" t="str">
        <x:v>BG Klinik Tübingen – Pflegefachberatung / Pflegegutachten</x:v>
      </x:c>
      <x:c r="C37" s="116" t="str">
        <x:v>Bestand aktualisieren</x:v>
      </x:c>
      <x:c r="D37" s="116" t="str">
        <x:v>A+</x:v>
      </x:c>
      <x:c r="E37" s="116" t="str">
        <x:v>Bestand</x:v>
      </x:c>
      <x:c r="F37" s="116" t="str">
        <x:v>Tübingen</x:v>
      </x:c>
      <x:c r="G37" s="116" t="str">
        <x:v>Bestehender Klinikstandort; kein neuer Geopunkt erforderlich</x:v>
      </x:c>
      <x:c r="H37" s="116" t="str">
        <x:v>A+; direkte Pflegefachberatung/Pflegegutachten für UVT.</x:v>
      </x:c>
      <x:c r="I37" s="116" t="str">
        <x:v>https://www.bg-kliniken.de/klinik-tuebingen/pflegefachberatung/</x:v>
      </x:c>
      <x:c r="J37" s="116" t="str">
        <x:v>2026-08-30</x:v>
      </x:c>
    </x:row>
    <x:row r="38">
      <x:c r="A38" s="116" t="str">
        <x:v>Pflegeberatung / Pflegegutachten</x:v>
      </x:c>
      <x:c r="B38" s="116" t="str">
        <x:v>CareService – Pflegegutachten &amp; Versorgungsmanagement</x:v>
      </x:c>
      <x:c r="C38" s="116" t="str">
        <x:v>Aufnehmen</x:v>
      </x:c>
      <x:c r="D38" s="116" t="str">
        <x:v>A+</x:v>
      </x:c>
      <x:c r="E38" s="116" t="str">
        <x:v>Neu</x:v>
      </x:c>
      <x:c r="F38" s="116" t="str">
        <x:v>Düsseldorf</x:v>
      </x:c>
      <x:c r="G38" s="116" t="str">
        <x:v>Kontakt-/Sitzadresse geprüft; HQ nicht als Versorgungsnähe interpretieren</x:v>
      </x:c>
      <x:c r="H38" s="116" t="str">
        <x:v>A+; für schwere Pflegefälle besonders hoher GUV-Nutzen.</x:v>
      </x:c>
      <x:c r="I38" s="116" t="str">
        <x:v>https://www.careservice.de/</x:v>
      </x:c>
      <x:c r="J38" s="116" t="str">
        <x:v>2026-08-30</x:v>
      </x:c>
    </x:row>
    <x:row r="39">
      <x:c r="A39" s="116" t="str">
        <x:v>Pflegeberatung / Pflegegutachten</x:v>
      </x:c>
      <x:c r="B39" s="116" t="str">
        <x:v>B-I-S e.K. – Wolfgang Müller</x:v>
      </x:c>
      <x:c r="C39" s="116" t="str">
        <x:v>Aufnehmen</x:v>
      </x:c>
      <x:c r="D39" s="116" t="str">
        <x:v>A</x:v>
      </x:c>
      <x:c r="E39" s="116" t="str">
        <x:v>Neu</x:v>
      </x:c>
      <x:c r="F39" s="116" t="str">
        <x:v>Blaustein</x:v>
      </x:c>
      <x:c r="G39" s="116" t="str">
        <x:v>Adresse/Qualifikation geprüft; numerische Hauskoordinate offen</x:v>
      </x:c>
      <x:c r="H39" s="116" t="str">
        <x:v>SGB-VII-Bezug/Qualifikation über Sachverständigenverzeichnis belegt; eigene Website nicht ungeprüft übernommen.</x:v>
      </x:c>
      <x:c r="I39" s="116" t="str">
        <x:v>https://www.dgusv.de/</x:v>
      </x:c>
      <x:c r="J39" s="116" t="str">
        <x:v>2026-08-30</x:v>
      </x:c>
    </x:row>
    <x:row r="40">
      <x:c r="A40" s="116" t="str">
        <x:v>Pflegeberatung / Pflegegutachten</x:v>
      </x:c>
      <x:c r="B40" s="116" t="str">
        <x:v>ORGAMed Dortmund GmbH – BG-Pflegegutachten</x:v>
      </x:c>
      <x:c r="C40" s="116" t="str">
        <x:v>Aufnehmen</x:v>
      </x:c>
      <x:c r="D40" s="116" t="str">
        <x:v>B</x:v>
      </x:c>
      <x:c r="E40" s="116" t="str">
        <x:v>Neu</x:v>
      </x:c>
      <x:c r="F40" s="116" t="str">
        <x:v>Dortmund</x:v>
      </x:c>
      <x:c r="G40" s="116" t="str">
        <x:v>Kontakt-/Sitzadresse geprüft; HQ nicht als regionale Versorgungsnähe interpretieren</x:v>
      </x:c>
      <x:c r="H40" s="116" t="str">
        <x:v>B; fachlich klarer BG-Bezug, aber kein regionaler Südwest-Hauptstandort.</x:v>
      </x:c>
      <x:c r="I40" s="116" t="str">
        <x:v>https://www.orgamed-dortmund.de/</x:v>
      </x:c>
      <x:c r="J40" s="116" t="str">
        <x:v>2026-08-30</x:v>
      </x:c>
    </x:row>
    <x:row r="41">
      <x:c r="A41" s="116" t="str">
        <x:v>Arbeitsvermittlung / Reha-Integration</x:v>
      </x:c>
      <x:c r="B41" s="116" t="str">
        <x:v>InReha – Reha-Management / berufliche Integration</x:v>
      </x:c>
      <x:c r="C41" s="116" t="str">
        <x:v>Aufnehmen</x:v>
      </x:c>
      <x:c r="D41" s="116" t="str">
        <x:v>A+</x:v>
      </x:c>
      <x:c r="E41" s="116" t="str">
        <x:v>Neu</x:v>
      </x:c>
      <x:c r="F41" s="116" t="str">
        <x:v>Hamburg</x:v>
      </x:c>
      <x:c r="G41" s="116" t="str">
        <x:v>Sitzadresse geprüft; bundesweiter Dienst</x:v>
      </x:c>
      <x:c r="H41" s="116" t="str">
        <x:v>A+; besonders hoher BG-/UV-Bezug.</x:v>
      </x:c>
      <x:c r="I41" s="116" t="str">
        <x:v>https://www.inreha.net/</x:v>
      </x:c>
      <x:c r="J41" s="116" t="str">
        <x:v>2026-08-30</x:v>
      </x:c>
    </x:row>
    <x:row r="42">
      <x:c r="A42" s="116" t="str">
        <x:v>Arbeitsvermittlung / Reha-Integration</x:v>
      </x:c>
      <x:c r="B42" s="116" t="str">
        <x:v>CAMAS Integration &amp; Consulting – Nierstein</x:v>
      </x:c>
      <x:c r="C42" s="116" t="str">
        <x:v>Aufnehmen</x:v>
      </x:c>
      <x:c r="D42" s="116" t="str">
        <x:v>A+</x:v>
      </x:c>
      <x:c r="E42" s="116" t="str">
        <x:v>Neu</x:v>
      </x:c>
      <x:c r="F42" s="116" t="str">
        <x:v>Nierstein</x:v>
      </x:c>
      <x:c r="G42" s="116" t="str">
        <x:v>Standort/Kontakt geprüft; numerische Hauskoordinate offen</x:v>
      </x:c>
      <x:c r="H42" s="116" t="str">
        <x:v>A+; regionaler Südwest-Standort mit Versicherungs-/Reha-Bezug.</x:v>
      </x:c>
      <x:c r="I42" s="116" t="str">
        <x:v>https://www.camas-integration.de/</x:v>
      </x:c>
      <x:c r="J42" s="116" t="str">
        <x:v>2026-08-30</x:v>
      </x:c>
    </x:row>
    <x:row r="43">
      <x:c r="A43" s="116" t="str">
        <x:v>Reha-Management / berufliche Integration / Pflege</x:v>
      </x:c>
      <x:c r="B43" s="116" t="str">
        <x:v>RehaCare – Reha-Management / berufliche Integration / Pflege</x:v>
      </x:c>
      <x:c r="C43" s="116" t="str">
        <x:v>Aufnehmen</x:v>
      </x:c>
      <x:c r="D43" s="116" t="str">
        <x:v>A+</x:v>
      </x:c>
      <x:c r="E43" s="116" t="str">
        <x:v>Neu</x:v>
      </x:c>
      <x:c r="F43" s="116" t="str">
        <x:v>München</x:v>
      </x:c>
      <x:c r="G43" s="116" t="str">
        <x:v>Sitzadresse geprüft; bundesweiter Dienst</x:v>
      </x:c>
      <x:c r="H43" s="116" t="str">
        <x:v>A+; als ein logischer Anbieter cross-taggen, keine Dublette Pflege/Arbeitsvermittlung.</x:v>
      </x:c>
      <x:c r="I43" s="116" t="str">
        <x:v>https://www.rehacare.net/</x:v>
      </x:c>
      <x:c r="J43" s="116" t="str">
        <x:v>2026-08-30</x:v>
      </x:c>
    </x:row>
    <x:row r="44">
      <x:c r="A44" s="116" t="str">
        <x:v>Arbeitsvermittlung / Reha-Integration</x:v>
      </x:c>
      <x:c r="B44" s="116" t="str">
        <x:v>IHR Rehabilitations-Dienst GmbH</x:v>
      </x:c>
      <x:c r="C44" s="116" t="str">
        <x:v>Aufnehmen</x:v>
      </x:c>
      <x:c r="D44" s="116" t="str">
        <x:v>A+</x:v>
      </x:c>
      <x:c r="E44" s="116" t="str">
        <x:v>Neu</x:v>
      </x:c>
      <x:c r="F44" s="116" t="str">
        <x:v>Köln</x:v>
      </x:c>
      <x:c r="G44" s="116" t="str">
        <x:v>Sitzadresse geprüft; bundesweiter Dienst</x:v>
      </x:c>
      <x:c r="H44" s="116" t="str">
        <x:v>A+; umfassender LTA-/Integrationsdienst.</x:v>
      </x:c>
      <x:c r="I44" s="116" t="str">
        <x:v>https://www.ihr-rehadienst.com/</x:v>
      </x:c>
      <x:c r="J44" s="116" t="str">
        <x:v>2026-08-30</x:v>
      </x:c>
    </x:row>
    <x:row r="45">
      <x:c r="A45" s="116" t="str">
        <x:v>Arbeitsvermittlung / Reha-Integration</x:v>
      </x:c>
      <x:c r="B45" s="116" t="str">
        <x:v>ReIntra GmbH</x:v>
      </x:c>
      <x:c r="C45" s="116" t="str">
        <x:v>Aufnehmen</x:v>
      </x:c>
      <x:c r="D45" s="116" t="str">
        <x:v>A</x:v>
      </x:c>
      <x:c r="E45" s="116" t="str">
        <x:v>Neu</x:v>
      </x:c>
      <x:c r="F45" s="116" t="str">
        <x:v>Unterföhring</x:v>
      </x:c>
      <x:c r="G45" s="116" t="str">
        <x:v>Sitzadresse geprüft; überregionaler Dienst</x:v>
      </x:c>
      <x:c r="H45" s="116" t="str">
        <x:v>A; versicherungsnah, konkrete UV-/BG-Beauftragung im Einzelfall prüfen.</x:v>
      </x:c>
      <x:c r="I45" s="116" t="str">
        <x:v>https://www.reintra.com/</x:v>
      </x:c>
      <x:c r="J45" s="116" t="str">
        <x:v>2026-08-30</x:v>
      </x:c>
    </x:row>
    <x:row r="46">
      <x:c r="A46" s="116" t="str">
        <x:v>Arbeitsvermittlung / Jobcoaching</x:v>
      </x:c>
      <x:c r="B46" s="116" t="str">
        <x:v>Donner + Partner – Karlsruhe</x:v>
      </x:c>
      <x:c r="C46" s="116" t="str">
        <x:v>Aufnehmen</x:v>
      </x:c>
      <x:c r="D46" s="116" t="str">
        <x:v>A</x:v>
      </x:c>
      <x:c r="E46" s="116" t="str">
        <x:v>Neu</x:v>
      </x:c>
      <x:c r="F46" s="116" t="str">
        <x:v>Karlsruhe</x:v>
      </x:c>
      <x:c r="G46" s="116" t="str">
        <x:v>Standort und Koordinate auf Anbieter-Standortseite veröffentlicht</x:v>
      </x:c>
      <x:c r="H46" s="116" t="str">
        <x:v>A regional; BG-Bezug nicht aus allgemeinem Coaching ableiten.</x:v>
      </x:c>
      <x:c r="I46" s="116" t="str">
        <x:v>https://www.donner-partner.de/</x:v>
      </x:c>
      <x:c r="J46" s="116" t="str">
        <x:v>2026-08-30</x:v>
      </x:c>
    </x:row>
    <x:row r="47">
      <x:c r="A47" s="116" t="str">
        <x:v>Arbeitsvermittlung / Jobcoaching</x:v>
      </x:c>
      <x:c r="B47" s="116" t="str">
        <x:v>Donner + Partner – Heilbronn</x:v>
      </x:c>
      <x:c r="C47" s="116" t="str">
        <x:v>Aufnehmen</x:v>
      </x:c>
      <x:c r="D47" s="116" t="str">
        <x:v>A</x:v>
      </x:c>
      <x:c r="E47" s="116" t="str">
        <x:v>Neu</x:v>
      </x:c>
      <x:c r="F47" s="116" t="str">
        <x:v>Heilbronn</x:v>
      </x:c>
      <x:c r="G47" s="116" t="str">
        <x:v>Standort und Koordinate auf Anbieter-Standortseite veröffentlicht</x:v>
      </x:c>
      <x:c r="H47" s="116" t="str">
        <x:v>A regional; RIA fachlich besonders passend.</x:v>
      </x:c>
      <x:c r="I47" s="116" t="str">
        <x:v>https://www.donner-partner.de/</x:v>
      </x:c>
      <x:c r="J47" s="116" t="str">
        <x:v>2026-08-30</x:v>
      </x:c>
    </x:row>
    <x:row r="48">
      <x:c r="A48" s="116" t="str">
        <x:v>Arbeitsvermittlung / Jobcoaching</x:v>
      </x:c>
      <x:c r="B48" s="116" t="str">
        <x:v>Donner + Partner – Tauberbischofsheim</x:v>
      </x:c>
      <x:c r="C48" s="116" t="str">
        <x:v>Aufnehmen</x:v>
      </x:c>
      <x:c r="D48" s="116" t="str">
        <x:v>A</x:v>
      </x:c>
      <x:c r="E48" s="116" t="str">
        <x:v>Neu</x:v>
      </x:c>
      <x:c r="F48" s="116" t="str">
        <x:v>Tauberbischofsheim</x:v>
      </x:c>
      <x:c r="G48" s="116" t="str">
        <x:v>Standort und Koordinate auf Anbieter-Standortseite veröffentlicht</x:v>
      </x:c>
      <x:c r="H48" s="116" t="str">
        <x:v>A regional; schließt Taubertal-Lücke.</x:v>
      </x:c>
      <x:c r="I48" s="116" t="str">
        <x:v>https://www.donner-partner.de/</x:v>
      </x:c>
      <x:c r="J48" s="116" t="str">
        <x:v>2026-08-30</x:v>
      </x:c>
    </x:row>
    <x:row r="49">
      <x:c r="A49" s="116" t="str">
        <x:v>Arbeitsvermittlung / Jobcoaching</x:v>
      </x:c>
      <x:c r="B49" s="116" t="str">
        <x:v>Donner + Partner – Wertheim</x:v>
      </x:c>
      <x:c r="C49" s="116" t="str">
        <x:v>Aufnehmen</x:v>
      </x:c>
      <x:c r="D49" s="116" t="str">
        <x:v>A</x:v>
      </x:c>
      <x:c r="E49" s="116" t="str">
        <x:v>Neu</x:v>
      </x:c>
      <x:c r="F49" s="116" t="str">
        <x:v>Wertheim</x:v>
      </x:c>
      <x:c r="G49" s="116" t="str">
        <x:v>Standort und Koordinate auf Anbieter-Standortseite veröffentlicht</x:v>
      </x:c>
      <x:c r="H49" s="116" t="str">
        <x:v>A regional; relevante Ergänzung an der Unterfranken-Achse.</x:v>
      </x:c>
      <x:c r="I49" s="116" t="str">
        <x:v>https://www.donner-partner.de/</x:v>
      </x:c>
      <x:c r="J49" s="116" t="str">
        <x:v>2026-08-30</x:v>
      </x:c>
    </x:row>
    <x:row r="50">
      <x:c r="A50" s="116" t="str">
        <x:v>Arbeitsvermittlung / Jobcoaching</x:v>
      </x:c>
      <x:c r="B50" s="116" t="str">
        <x:v>Donner + Partner – Ingelheim</x:v>
      </x:c>
      <x:c r="C50" s="116" t="str">
        <x:v>Aufnehmen</x:v>
      </x:c>
      <x:c r="D50" s="116" t="str">
        <x:v>A</x:v>
      </x:c>
      <x:c r="E50" s="116" t="str">
        <x:v>Neu</x:v>
      </x:c>
      <x:c r="F50" s="116" t="str">
        <x:v>Ingelheim am Rhein</x:v>
      </x:c>
      <x:c r="G50" s="116" t="str">
        <x:v>Standort und Koordinate auf Anbieter-Standortseite veröffentlicht</x:v>
      </x:c>
      <x:c r="H50" s="116" t="str">
        <x:v>A regional; Rheinhessen-Ergänzung.</x:v>
      </x:c>
      <x:c r="I50" s="116" t="str">
        <x:v>https://www.donner-partner.de/</x:v>
      </x:c>
      <x:c r="J50" s="116" t="str">
        <x:v>2026-08-30</x:v>
      </x:c>
    </x:row>
    <x:row r="51">
      <x:c r="A51" s="116" t="str">
        <x:v>Arbeitsvermittlung / Jobcoaching</x:v>
      </x:c>
      <x:c r="B51" s="116" t="str">
        <x:v>WOT Work Opportunities Trainings – Ludwigshafen</x:v>
      </x:c>
      <x:c r="C51" s="116" t="str">
        <x:v>Aufnehmen</x:v>
      </x:c>
      <x:c r="D51" s="116" t="str">
        <x:v>B</x:v>
      </x:c>
      <x:c r="E51" s="116" t="str">
        <x:v>Neu</x:v>
      </x:c>
      <x:c r="F51" s="116" t="str">
        <x:v>Ludwigshafen am Rhein</x:v>
      </x:c>
      <x:c r="G51" s="116" t="str">
        <x:v>Standortadresse geprüft; numerische Hauskoordinate offen</x:v>
      </x:c>
      <x:c r="H51" s="116" t="str">
        <x:v>B; ergänzender AVGS-/Jobcoaching-Anbieter, nicht als BG-Spezialist darstellen.</x:v>
      </x:c>
      <x:c r="I51" s="116" t="str">
        <x:v>https://www.wot-trainings.com/</x:v>
      </x:c>
      <x:c r="J51" s="116" t="str">
        <x:v>2026-08-30</x:v>
      </x:c>
    </x:row>
    <x:row r="52">
      <x:c r="A52" s="116" t="str">
        <x:v>Arbeitsvermittlung / Jobcoaching</x:v>
      </x:c>
      <x:c r="B52" s="116" t="str">
        <x:v>WOT Work Opportunities Trainings – Mannheim</x:v>
      </x:c>
      <x:c r="C52" s="116" t="str">
        <x:v>Aufnehmen</x:v>
      </x:c>
      <x:c r="D52" s="116" t="str">
        <x:v>B</x:v>
      </x:c>
      <x:c r="E52" s="116" t="str">
        <x:v>Neu</x:v>
      </x:c>
      <x:c r="F52" s="116" t="str">
        <x:v>Mannheim</x:v>
      </x:c>
      <x:c r="G52" s="116" t="str">
        <x:v>Standortadresse geprüft; numerische Hauskoordinate offen</x:v>
      </x:c>
      <x:c r="H52" s="116" t="str">
        <x:v>B; zweiter regionaler Standort.</x:v>
      </x:c>
      <x:c r="I52" s="116" t="str">
        <x:v>https://www.wot-trainings.com/</x:v>
      </x:c>
      <x:c r="J52" s="116" t="str">
        <x:v>2026-08-30</x:v>
      </x:c>
    </x:row>
    <x:row r="53">
      <x:c r="A53" s="116" t="str">
        <x:v>Arbeitsvermittlung / Jobcoaching</x:v>
      </x:c>
      <x:c r="B53" s="116" t="str">
        <x:v>CBE Rhein-Neckar – Leimen</x:v>
      </x:c>
      <x:c r="C53" s="116" t="str">
        <x:v>Aufnehmen</x:v>
      </x:c>
      <x:c r="D53" s="116" t="str">
        <x:v>B</x:v>
      </x:c>
      <x:c r="E53" s="116" t="str">
        <x:v>Neu</x:v>
      </x:c>
      <x:c r="F53" s="116" t="str">
        <x:v>Leimen</x:v>
      </x:c>
      <x:c r="G53" s="116" t="str">
        <x:v>Adresse/Kontakt geprüft; numerische Hauskoordinate offen</x:v>
      </x:c>
      <x:c r="H53" s="116" t="str">
        <x:v>B; wohnortnahe Ergänzung Heidelberg/Rhein-Neckar.</x:v>
      </x:c>
      <x:c r="I53" s="116" t="str">
        <x:v>https://www.cberheinneckar.de/</x:v>
      </x:c>
      <x:c r="J53" s="116" t="str">
        <x:v>2026-08-30</x:v>
      </x:c>
    </x:row>
    <x:row r="54">
      <x:c r="A54" s="116" t="str">
        <x:v>Arbeitsvermittlung / Jobcoaching</x:v>
      </x:c>
      <x:c r="B54" s="116" t="str">
        <x:v>INQUA Institut – Mannheim / Online</x:v>
      </x:c>
      <x:c r="C54" s="116" t="str">
        <x:v>Aufnehmen</x:v>
      </x:c>
      <x:c r="D54" s="116" t="str">
        <x:v>B</x:v>
      </x:c>
      <x:c r="E54" s="116" t="str">
        <x:v>Neu</x:v>
      </x:c>
      <x:c r="F54" s="116" t="str">
        <x:v>Mannheim / Online</x:v>
      </x:c>
      <x:c r="G54" s="116" t="str">
        <x:v>Mannheim-Angebot bestätigt; konkrete öffentliche Mannheim-Hausadresse nicht belastbar übernommen</x:v>
      </x:c>
      <x:c r="H54" s="116" t="str">
        <x:v>B; keine Berliner HQ-Koordinate für Mannheim-Service verwenden.</x:v>
      </x:c>
      <x:c r="I54" s="116" t="str">
        <x:v>https://www.inqua-institut.de/</x:v>
      </x:c>
      <x:c r="J54" s="116" t="str">
        <x:v>2026-08-30</x:v>
      </x:c>
    </x:row>
    <x:row r="55">
      <x:c r="A55" s="116" t="str">
        <x:v>Arbeitsvermittlung / Jobcoaching</x:v>
      </x:c>
      <x:c r="B55" s="116" t="str">
        <x:v>JobCoaching Jetzt! – Reha Coaching</x:v>
      </x:c>
      <x:c r="C55" s="116" t="str">
        <x:v>Aufnehmen</x:v>
      </x:c>
      <x:c r="D55" s="116" t="str">
        <x:v>B</x:v>
      </x:c>
      <x:c r="E55" s="116" t="str">
        <x:v>Neu</x:v>
      </x:c>
      <x:c r="F55" s="116" t="str">
        <x:v>Potsdam</x:v>
      </x:c>
      <x:c r="G55" s="116" t="str">
        <x:v>Sitzadresse geprüft; überregionaler Dienst</x:v>
      </x:c>
      <x:c r="H55" s="116" t="str">
        <x:v>B; als ergänzender Coachingdienst, nicht als BG-Spezialist.</x:v>
      </x:c>
      <x:c r="I55" s="116" t="str">
        <x:v>https://www.jobcoaching-jetzt.de/</x:v>
      </x:c>
      <x:c r="J55" s="116" t="str">
        <x:v>2026-08-30</x:v>
      </x:c>
    </x:row>
    <x:row r="56">
      <x:c r="A56" s="116" t="str">
        <x:v>Arbeitsvermittlung / Jobakquise</x:v>
      </x:c>
      <x:c r="B56" s="116" t="str">
        <x:v>AWO Mannheim – Arbeit &amp; Migration / Arbeitsvermittlung</x:v>
      </x:c>
      <x:c r="C56" s="116" t="str">
        <x:v>Bestand bestätigen</x:v>
      </x:c>
      <x:c r="D56" s="116" t="str">
        <x:v>A</x:v>
      </x:c>
      <x:c r="E56" s="116" t="str">
        <x:v>Bestand</x:v>
      </x:c>
      <x:c r="F56" s="116" t="str">
        <x:v>Mannheim</x:v>
      </x:c>
      <x:c r="G56" s="116" t="str">
        <x:v>Altbestand adressgenau verifiziert</x:v>
      </x:c>
      <x:c r="H56" s="116" t="str">
        <x:v>Historischer A-Anbieter; darf beim Merge nicht verloren gehen.</x:v>
      </x:c>
      <x:c r="I56" s="116" t="str">
        <x:v>https://www.awo-mannheim.de/arbeitsvermittlung</x:v>
      </x:c>
      <x:c r="J56" s="116" t="str">
        <x:v>2026-08-30</x:v>
      </x:c>
    </x:row>
    <x:row r="57">
      <x:c r="A57" s="116" t="str">
        <x:v>Arbeitsvermittlung / Jobakquise</x:v>
      </x:c>
      <x:c r="B57" s="116" t="str">
        <x:v>IFA – Institut für Arbeitsvermittlung und Kommunikation</x:v>
      </x:c>
      <x:c r="C57" s="116" t="str">
        <x:v>Bestand bestätigen</x:v>
      </x:c>
      <x:c r="D57" s="116" t="str">
        <x:v>B</x:v>
      </x:c>
      <x:c r="E57" s="116" t="str">
        <x:v>Bestand</x:v>
      </x:c>
      <x:c r="F57" s="116" t="str">
        <x:v>Mannheim</x:v>
      </x:c>
      <x:c r="G57" s="116" t="str">
        <x:v>Altbestand adressgenau verifiziert</x:v>
      </x:c>
      <x:c r="H57" s="116" t="str">
        <x:v>Historischer B-Anbieter; keine Reha-Erfahrung hinzuerfinden.</x:v>
      </x:c>
      <x:c r="I57" s="116" t="str">
        <x:v>https://www.ifa-arbeit.de/</x:v>
      </x:c>
      <x:c r="J57" s="116" t="str">
        <x:v>2026-08-30</x:v>
      </x:c>
    </x:row>
    <x:row r="58">
      <x:c r="A58" s="116" t="str">
        <x:v>Arbeitsvermittlung / Coaching</x:v>
      </x:c>
      <x:c r="B58" s="116" t="str">
        <x:v>fast forward Karriereberatung GmbH</x:v>
      </x:c>
      <x:c r="C58" s="116" t="str">
        <x:v>Bestand bestätigen</x:v>
      </x:c>
      <x:c r="D58" s="116" t="str">
        <x:v>C</x:v>
      </x:c>
      <x:c r="E58" s="116" t="str">
        <x:v>Bestand</x:v>
      </x:c>
      <x:c r="F58" s="116" t="str">
        <x:v>Frankfurt am Main</x:v>
      </x:c>
      <x:c r="G58" s="116" t="str">
        <x:v>Altbestand; Standortdetails vor Einsatz erneut prüfen</x:v>
      </x:c>
      <x:c r="H58" s="116" t="str">
        <x:v>Nicht löschen, aber klar unterhalb echter Reha-Integrationsdienste priorisieren.</x:v>
      </x:c>
      <x:c r="I58" s="116" t="str"/>
      <x:c r="J58" s="116" t="str">
        <x:v>2026-08-30</x:v>
      </x:c>
    </x:row>
    <x:row r="59">
      <x:c r="A59" s="116" t="str">
        <x:v>Hilfsmittel / Orthopädieschuhtechnik</x:v>
      </x:c>
      <x:c r="B59" s="116" t="str">
        <x:v>Fuß-Check GmbH – Saarlouis</x:v>
      </x:c>
      <x:c r="C59" s="116" t="str">
        <x:v>Bestand bestätigen</x:v>
      </x:c>
      <x:c r="D59" s="116" t="str">
        <x:v>A</x:v>
      </x:c>
      <x:c r="E59" s="116" t="str">
        <x:v>Bestand</x:v>
      </x:c>
      <x:c r="F59" s="116" t="str">
        <x:v>Saarlouis</x:v>
      </x:c>
      <x:c r="G59" s="116" t="str">
        <x:v>Adresse/Kontakt geprüft; numerische Hauskoordinate in dieser Runde nicht neu gesetzt</x:v>
      </x:c>
      <x:c r="H59" s="116" t="str">
        <x:v>Die früher besprochene Sprechstunde an der BG Klinik Ludwigshafen erst wieder als Unterdienst führen, wenn aktuell eindeutig bestätigt.</x:v>
      </x:c>
      <x:c r="I59" s="116" t="str">
        <x:v>https://www.fuss-check.de/</x:v>
      </x:c>
      <x:c r="J59" s="116" t="str">
        <x:v>2026-08-30</x:v>
      </x:c>
    </x:row>
    <x:row r="60">
      <x:c r="A60" s="116" t="str">
        <x:v>Arbeitsmedizin</x:v>
      </x:c>
      <x:c r="B60" s="116" t="str">
        <x:v>Arbeitsmedizin Speyer – Dr. med. Stephanie Grabs</x:v>
      </x:c>
      <x:c r="C60" s="116" t="str">
        <x:v>Bestand aktualisieren</x:v>
      </x:c>
      <x:c r="D60" s="116" t="str">
        <x:v>B</x:v>
      </x:c>
      <x:c r="E60" s="116" t="str">
        <x:v>Bestand</x:v>
      </x:c>
      <x:c r="F60" s="116" t="str">
        <x:v>Speyer</x:v>
      </x:c>
      <x:c r="G60" s="116" t="str">
        <x:v>Name, Hausadresse, numerische Hauskoordinate und Großregion geprüft</x:v>
      </x:c>
      <x:c r="H60" s="116" t="str">
        <x:v>Dr. med. Stephanie Grabs, Eselsdamm 46; Hauspunkt 49.3217624 / 8.4402816; keine Dublette.</x:v>
      </x:c>
      <x:c r="I60" s="116" t="str">
        <x:v>https://bsafb.de/betriebsaerzte/dr-med-stephanie-grabs/</x:v>
      </x:c>
      <x:c r="J60" s="116" t="str">
        <x:v>2026-09-01</x:v>
      </x:c>
    </x:row>
    <x:row r="61">
      <x:c r="A61" s="116" t="str">
        <x:v>Neurologisch-psychiatrische Praxen</x:v>
      </x:c>
      <x:c r="B61" s="116" t="str">
        <x:v>Zentrum für Nervenheilkunde Mannheim (ZNS)</x:v>
      </x:c>
      <x:c r="C61" s="116" t="str">
        <x:v>Aufnehmen</x:v>
      </x:c>
      <x:c r="D61" s="116" t="str">
        <x:v>A+</x:v>
      </x:c>
      <x:c r="E61" s="116" t="str">
        <x:v>Neu</x:v>
      </x:c>
      <x:c r="F61" s="116" t="str">
        <x:v>Mannheim</x:v>
      </x:c>
      <x:c r="G61" s="116" t="str">
        <x:v>Adresse/Kontakt geprüft; numerische Hauskoordinate offen</x:v>
      </x:c>
      <x:c r="H61" s="116" t="str">
        <x:v>A+; große Mehrarztstruktur, schließt Mannheim-Lücke.</x:v>
      </x:c>
      <x:c r="I61" s="116" t="str">
        <x:v>https://www.zns-mannheim.de/</x:v>
      </x:c>
      <x:c r="J61" s="116" t="str">
        <x:v>2026-08-30</x:v>
      </x:c>
    </x:row>
    <x:row r="62">
      <x:c r="A62" s="116" t="str">
        <x:v>Neurologisch-psychiatrische Praxen</x:v>
      </x:c>
      <x:c r="B62" s="116" t="str">
        <x:v>PiPP – Praxis für Psychiatrie, Psychotherapie und Neurologie Heidelberg</x:v>
      </x:c>
      <x:c r="C62" s="116" t="str">
        <x:v>Aufnehmen</x:v>
      </x:c>
      <x:c r="D62" s="116" t="str">
        <x:v>A</x:v>
      </x:c>
      <x:c r="E62" s="116" t="str">
        <x:v>Neu</x:v>
      </x:c>
      <x:c r="F62" s="116" t="str">
        <x:v>Heidelberg</x:v>
      </x:c>
      <x:c r="G62" s="116" t="str">
        <x:v>Praxisadresse geprüft; numerische Hauskoordinate offen</x:v>
      </x:c>
      <x:c r="H62" s="116" t="str">
        <x:v>A; zweiter Eingang/Geschäftsanschrift teilweise Görresstraße 22 – nicht als zweite Praxis anlegen.</x:v>
      </x:c>
      <x:c r="I62" s="116" t="str">
        <x:v>https://www.pipp-heidelberg.de/</x:v>
      </x:c>
      <x:c r="J62" s="116" t="str">
        <x:v>2026-08-30</x:v>
      </x:c>
    </x:row>
    <x:row r="63">
      <x:c r="A63" s="116" t="str">
        <x:v>Neurologisch-psychiatrische Praxen</x:v>
      </x:c>
      <x:c r="B63" s="116" t="str">
        <x:v>Praxis Denzel &amp; Ehrmann – Neurologie / Psychiatrie / Psychotherapie</x:v>
      </x:c>
      <x:c r="C63" s="116" t="str">
        <x:v>Aufnehmen</x:v>
      </x:c>
      <x:c r="D63" s="116" t="str">
        <x:v>A</x:v>
      </x:c>
      <x:c r="E63" s="116" t="str">
        <x:v>Neu</x:v>
      </x:c>
      <x:c r="F63" s="116" t="str">
        <x:v>Heilbronn</x:v>
      </x:c>
      <x:c r="G63" s="116" t="str">
        <x:v>Adresse/Kontakt geprüft; numerische Hauskoordinate offen</x:v>
      </x:c>
      <x:c r="H63" s="116" t="str">
        <x:v>A; schließt die noch offene Heilbronn-Lücke.</x:v>
      </x:c>
      <x:c r="I63" s="116" t="str">
        <x:v>https://www.neurologie-heilbronn.de/</x:v>
      </x:c>
      <x:c r="J63" s="116" t="str">
        <x:v>2026-08-30</x:v>
      </x:c>
    </x:row>
    <x:row r="64">
      <x:c r="A64" s="116" t="str">
        <x:v>Neurologisch-psychiatrische Praxen</x:v>
      </x:c>
      <x:c r="B64" s="116" t="str">
        <x:v>Praxis Dr. Stefan Unglaub et al. – Neurologie &amp; Psychiatrie</x:v>
      </x:c>
      <x:c r="C64" s="116" t="str">
        <x:v>Aufnehmen</x:v>
      </x:c>
      <x:c r="D64" s="116" t="str">
        <x:v>A</x:v>
      </x:c>
      <x:c r="E64" s="116" t="str">
        <x:v>Neu</x:v>
      </x:c>
      <x:c r="F64" s="116" t="str">
        <x:v>Frankfurt am Main</x:v>
      </x:c>
      <x:c r="G64" s="116" t="str">
        <x:v>Hauptstandort geprüft; numerische Hauskoordinate offen</x:v>
      </x:c>
      <x:c r="H64" s="116" t="str">
        <x:v>A; Hauptstandort Zentrum. Frankfurt-Höchst nicht zusätzlich als Pflichtpunkt angelegt.</x:v>
      </x:c>
      <x:c r="I64" s="116" t="str">
        <x:v>https://www.neurologie-frankfurt.de/</x:v>
      </x:c>
      <x:c r="J64" s="116" t="str">
        <x:v>2026-08-30</x:v>
      </x:c>
    </x:row>
    <x:row r="65" ht="48" customHeight="1">
      <x:c r="A65" s="349" t="str">
        <x:v>Mobilität / Fahrrad- &amp; Spezialradanpassung</x:v>
      </x:c>
      <x:c r="B65" s="349" t="str">
        <x:v>HP Velotechnik GmbH &amp; Co. KG</x:v>
      </x:c>
      <x:c r="C65" s="349" t="str">
        <x:v>Aufnehmen</x:v>
      </x:c>
      <x:c r="D65" s="349" t="str">
        <x:v>A+</x:v>
      </x:c>
      <x:c r="E65" s="349" t="str">
        <x:v>Neu</x:v>
      </x:c>
      <x:c r="F65" s="349" t="str">
        <x:v>Kriftel</x:v>
      </x:c>
      <x:c r="G65" s="349" t="str">
        <x:v>Adresse/Kontakt geprüft; numerische Hauskoordinate offen</x:v>
      </x:c>
      <x:c r="H65" s="349" t="str">
        <x:v>A+ wegen dokumentierter Einhandbedienung und Reha-/Therapieoptionen; Hersteller verkauft Räder primär über Fachhändler.</x:v>
      </x:c>
      <x:c r="I65" s="349" t="str">
        <x:v>https://www.hpvelotechnik.com/de/ueber-uns/impressum/</x:v>
      </x:c>
      <x:c r="J65" s="349" t="str">
        <x:v>2026-08-31</x:v>
      </x:c>
    </x:row>
    <x:row r="66" ht="48" customHeight="1">
      <x:c r="A66" s="349" t="str">
        <x:v>Mobilität / Fahrrad- &amp; Spezialradanpassung</x:v>
      </x:c>
      <x:c r="B66" s="349" t="str">
        <x:v>HEIM – Dreiradzentrum Neckaralb</x:v>
      </x:c>
      <x:c r="C66" s="349" t="str">
        <x:v>Aufnehmen</x:v>
      </x:c>
      <x:c r="D66" s="349" t="str">
        <x:v>A+</x:v>
      </x:c>
      <x:c r="E66" s="349" t="str">
        <x:v>Neu</x:v>
      </x:c>
      <x:c r="F66" s="349" t="str">
        <x:v>Walddorfhäslach</x:v>
      </x:c>
      <x:c r="G66" s="349" t="str">
        <x:v>Adresse/Kontakt geprüft; numerische Hauskoordinate offen</x:v>
      </x:c>
      <x:c r="H66" s="349" t="str">
        <x:v>A+ als regionaler Fachbetrieb mit ausdrücklich individuellen Anpassungen, Umbauunterstützung und Werkstattservice.</x:v>
      </x:c>
      <x:c r="I66" s="349" t="str">
        <x:v>https://dreiradcenter.de/</x:v>
      </x:c>
      <x:c r="J66" s="349" t="str">
        <x:v>2026-08-31</x:v>
      </x:c>
    </x:row>
    <x:row r="67" ht="48" customHeight="1">
      <x:c r="A67" s="349" t="str">
        <x:v>Mobilität / Fahrrad- &amp; Spezialradanpassung</x:v>
      </x:c>
      <x:c r="B67" s="349" t="str">
        <x:v>Alb-Store – Eislingen</x:v>
      </x:c>
      <x:c r="C67" s="349" t="str">
        <x:v>Aufnehmen</x:v>
      </x:c>
      <x:c r="D67" s="349" t="str">
        <x:v>A</x:v>
      </x:c>
      <x:c r="E67" s="349" t="str">
        <x:v>Neu</x:v>
      </x:c>
      <x:c r="F67" s="349" t="str">
        <x:v>Eislingen/Fils</x:v>
      </x:c>
      <x:c r="G67" s="349" t="str">
        <x:v>Leistungsangebot primär geprüft; Adresse über Fachhändlerverzeichnis bestätigt; numerische Hauskoordinate offen</x:v>
      </x:c>
      <x:c r="H67" s="349" t="str">
        <x:v>Keine normale Fahrradhandlung als Füllpunkt: Aufnahme wegen ausgewiesenem Handicap-/Therapierad-, Handbike- und Rollstuhl-Zubehörangebot.</x:v>
      </x:c>
      <x:c r="I67" s="349" t="str">
        <x:v>https://www.alb-store.de/produkte/</x:v>
      </x:c>
      <x:c r="J67" s="349" t="str">
        <x:v>2026-08-31</x:v>
      </x:c>
    </x:row>
    <x:row r="68" ht="48" customHeight="1">
      <x:c r="A68" s="349" t="str">
        <x:v>Mobilität / Fahrrad- &amp; Spezialradanpassung</x:v>
      </x:c>
      <x:c r="B68" s="349" t="str">
        <x:v>Dreirad-Zentrum Heidelberg</x:v>
      </x:c>
      <x:c r="C68" s="349" t="str">
        <x:v>Aufnehmen</x:v>
      </x:c>
      <x:c r="D68" s="349" t="str">
        <x:v>A</x:v>
      </x:c>
      <x:c r="E68" s="349" t="str">
        <x:v>Neu</x:v>
      </x:c>
      <x:c r="F68" s="349" t="str">
        <x:v>Heidelberg</x:v>
      </x:c>
      <x:c r="G68" s="349" t="str">
        <x:v>Standortadresse/Kontakt geprüft; numerische Hauskoordinate offen</x:v>
      </x:c>
      <x:c r="H68" s="349" t="str">
        <x:v>Gezielter Spezialradpunkt; nicht als allgemeiner Fahrradladen kategorisieren.</x:v>
      </x:c>
      <x:c r="I68" s="349" t="str">
        <x:v>https://dreirad-zentrum.de/heidelberg/</x:v>
      </x:c>
      <x:c r="J68" s="349" t="str">
        <x:v>2026-08-31</x:v>
      </x:c>
    </x:row>
    <x:row r="69" ht="48" customHeight="1">
      <x:c r="A69" s="349" t="str">
        <x:v>Mobilität / Fahrrad- &amp; Spezialradanpassung</x:v>
      </x:c>
      <x:c r="B69" s="349" t="str">
        <x:v>Dreirad-Zentrum Landau</x:v>
      </x:c>
      <x:c r="C69" s="349" t="str">
        <x:v>Aufnehmen</x:v>
      </x:c>
      <x:c r="D69" s="349" t="str">
        <x:v>A</x:v>
      </x:c>
      <x:c r="E69" s="349" t="str">
        <x:v>Neu</x:v>
      </x:c>
      <x:c r="F69" s="349" t="str">
        <x:v>Landau in der Pfalz</x:v>
      </x:c>
      <x:c r="G69" s="349" t="str">
        <x:v>Standortadresse/Kontakt geprüft; numerische Hauskoordinate offen</x:v>
      </x:c>
      <x:c r="H69" s="349" t="str">
        <x:v>Regionale Spezialrad-Ergänzung Südpfalz.</x:v>
      </x:c>
      <x:c r="I69" s="349" t="str">
        <x:v>https://dreirad-zentrum.de/landau/</x:v>
      </x:c>
      <x:c r="J69" s="349" t="str">
        <x:v>2026-08-31</x:v>
      </x:c>
    </x:row>
    <x:row r="70" ht="48" customHeight="1">
      <x:c r="A70" s="349" t="str">
        <x:v>Mobilität / Fahrrad- &amp; Spezialradanpassung</x:v>
      </x:c>
      <x:c r="B70" s="349" t="str">
        <x:v>Dreirad-Zentrum Karlsruhe</x:v>
      </x:c>
      <x:c r="C70" s="349" t="str">
        <x:v>Aufnehmen</x:v>
      </x:c>
      <x:c r="D70" s="349" t="str">
        <x:v>A</x:v>
      </x:c>
      <x:c r="E70" s="349" t="str">
        <x:v>Neu</x:v>
      </x:c>
      <x:c r="F70" s="349" t="str">
        <x:v>Rheinstetten</x:v>
      </x:c>
      <x:c r="G70" s="349" t="str">
        <x:v>Standortadresse/Kontakt geprüft; numerische Hauskoordinate offen</x:v>
      </x:c>
      <x:c r="H70" s="349" t="str">
        <x:v>Kartenname Karlsruhe beibehalten; tatsächlicher Standort Rheinstetten.</x:v>
      </x:c>
      <x:c r="I70" s="349" t="str">
        <x:v>https://dreirad-zentrum.de/karlsruhe/</x:v>
      </x:c>
      <x:c r="J70" s="349" t="str">
        <x:v>2026-08-31</x:v>
      </x:c>
    </x:row>
    <x:row r="71" ht="48" customHeight="1">
      <x:c r="A71" s="349" t="str">
        <x:v>Mobilität / Fahrrad- &amp; Spezialradanpassung</x:v>
      </x:c>
      <x:c r="B71" s="349" t="str">
        <x:v>Dreirad-Zentrum Heilbronn</x:v>
      </x:c>
      <x:c r="C71" s="349" t="str">
        <x:v>Aufnehmen</x:v>
      </x:c>
      <x:c r="D71" s="349" t="str">
        <x:v>A</x:v>
      </x:c>
      <x:c r="E71" s="349" t="str">
        <x:v>Neu</x:v>
      </x:c>
      <x:c r="F71" s="349" t="str">
        <x:v>Neckarsulm</x:v>
      </x:c>
      <x:c r="G71" s="349" t="str">
        <x:v>Standortadresse/Kontakt geprüft; numerische Hauskoordinate offen</x:v>
      </x:c>
      <x:c r="H71" s="349" t="str">
        <x:v>Kartenname Heilbronn; Standort Neckarsulm-Obereisesheim.</x:v>
      </x:c>
      <x:c r="I71" s="349" t="str">
        <x:v>https://dreirad-zentrum.de/heilbronn/</x:v>
      </x:c>
      <x:c r="J71" s="349" t="str">
        <x:v>2026-08-31</x:v>
      </x:c>
    </x:row>
    <x:row r="72" ht="48" customHeight="1">
      <x:c r="A72" s="349" t="str">
        <x:v>Mobilität / Fahrrad- &amp; Spezialradanpassung</x:v>
      </x:c>
      <x:c r="B72" s="349" t="str">
        <x:v>Dreirad-Zentrum Frankfurt</x:v>
      </x:c>
      <x:c r="C72" s="349" t="str">
        <x:v>Aufnehmen</x:v>
      </x:c>
      <x:c r="D72" s="349" t="str">
        <x:v>A</x:v>
      </x:c>
      <x:c r="E72" s="349" t="str">
        <x:v>Neu</x:v>
      </x:c>
      <x:c r="F72" s="349" t="str">
        <x:v>Frankfurt am Main</x:v>
      </x:c>
      <x:c r="G72" s="349" t="str">
        <x:v>Standortadresse/Kontakt geprüft; numerische Hauskoordinate offen</x:v>
      </x:c>
      <x:c r="H72" s="349" t="str">
        <x:v>Regionaler Rhein-Main-Punkt; Frankfurt-Nieder-Eschbach.</x:v>
      </x:c>
      <x:c r="I72" s="349" t="str">
        <x:v>https://dreirad-zentrum.de/frankfurt/</x:v>
      </x:c>
      <x:c r="J72" s="349" t="str">
        <x:v>2026-08-31</x:v>
      </x:c>
    </x:row>
    <x:row r="73" ht="48" customHeight="1">
      <x:c r="A73" s="349" t="str">
        <x:v>Mobilität / Fahrrad- &amp; Spezialradanpassung</x:v>
      </x:c>
      <x:c r="B73" s="349" t="str">
        <x:v>PRO ACTIV Reha-Technik GmbH</x:v>
      </x:c>
      <x:c r="C73" s="349" t="str">
        <x:v>Aufnehmen</x:v>
      </x:c>
      <x:c r="D73" s="349" t="str">
        <x:v>A+</x:v>
      </x:c>
      <x:c r="E73" s="349" t="str">
        <x:v>Neu</x:v>
      </x:c>
      <x:c r="F73" s="349" t="str">
        <x:v>Dotternhausen</x:v>
      </x:c>
      <x:c r="G73" s="349" t="str">
        <x:v>Adresse/Kontakt geprüft; numerische Hauskoordinate offen</x:v>
      </x:c>
      <x:c r="H73" s="349" t="str">
        <x:v>A+ für Handbike/Adaptivebike und individuelle Reha-Technik.</x:v>
      </x:c>
      <x:c r="I73" s="349" t="str">
        <x:v>https://www.proactiv-gmbh.de/</x:v>
      </x:c>
      <x:c r="J73" s="349" t="str">
        <x:v>2026-08-31</x:v>
      </x:c>
    </x:row>
    <x:row r="74" ht="48" customHeight="1">
      <x:c r="A74" s="349" t="str">
        <x:v>Mobilität / Fahrrad- &amp; Spezialradanpassung</x:v>
      </x:c>
      <x:c r="B74" s="349" t="str">
        <x:v>HASE BIKES GmbH</x:v>
      </x:c>
      <x:c r="C74" s="349" t="str">
        <x:v>Aufnehmen (Technikverweis)</x:v>
      </x:c>
      <x:c r="D74" s="349" t="str">
        <x:v>A+</x:v>
      </x:c>
      <x:c r="E74" s="349" t="str">
        <x:v>Neu</x:v>
      </x:c>
      <x:c r="F74" s="349" t="str">
        <x:v>Waltrop</x:v>
      </x:c>
      <x:c r="G74" s="349" t="str">
        <x:v>Herstelleradresse geprüft; kein Regional-Geocode erforderlich</x:v>
      </x:c>
      <x:c r="H74" s="349" t="str">
        <x:v>Bewusst ohne Regionalpin; zentraler Techniknachweis für Armamputation/Einhandbedienung.</x:v>
      </x:c>
      <x:c r="I74" s="349" t="str">
        <x:v>https://www.hasebikes.com/about/kontakt</x:v>
      </x:c>
      <x:c r="J74" s="349" t="str">
        <x:v>2026-08-31</x:v>
      </x:c>
    </x:row>
    <x:row r="75" ht="48" customHeight="1">
      <x:c r="A75" s="350" t="str">
        <x:v>Wohnen / technische Wohnraumanpassung – Lifttechnik</x:v>
      </x:c>
      <x:c r="B75" s="350" t="str">
        <x:v>Rabe Lifte GmbH</x:v>
      </x:c>
      <x:c r="C75" s="350" t="str">
        <x:v>Aufnehmen</x:v>
      </x:c>
      <x:c r="D75" s="350" t="str">
        <x:v>A+</x:v>
      </x:c>
      <x:c r="E75" s="350" t="str">
        <x:v>Neu</x:v>
      </x:c>
      <x:c r="F75" s="350" t="str">
        <x:v>Speyer</x:v>
      </x:c>
      <x:c r="G75" s="350" t="str">
        <x:v>Adresse/Kontakt geprüft; numerische Hauskoordinate offen</x:v>
      </x:c>
      <x:c r="H75" s="350" t="str">
        <x:v>A+ regionaler Vollanbieter; keine reine Vermittlungsplattform.</x:v>
      </x:c>
      <x:c r="I75" s="350" t="str">
        <x:v>https://rabe-lifte.de/impressum</x:v>
      </x:c>
      <x:c r="J75" s="350" t="str">
        <x:v>2026-08-31</x:v>
      </x:c>
    </x:row>
    <x:row r="76" ht="48" customHeight="1">
      <x:c r="A76" s="350" t="str">
        <x:v>Wohnen / technische Wohnraumanpassung – Lifttechnik</x:v>
      </x:c>
      <x:c r="B76" s="350" t="str">
        <x:v>Rüdiger Schmitt Treppenlifte GmbH</x:v>
      </x:c>
      <x:c r="C76" s="350" t="str">
        <x:v>Aufnehmen – Betriebsstatus prüfen</x:v>
      </x:c>
      <x:c r="D76" s="350" t="str">
        <x:v>A+</x:v>
      </x:c>
      <x:c r="E76" s="350" t="str">
        <x:v>Neu</x:v>
      </x:c>
      <x:c r="F76" s="350" t="str">
        <x:v>St. Leon-Rot</x:v>
      </x:c>
      <x:c r="G76" s="350" t="str">
        <x:v>Büro-/Kontaktadresse geprüft; aktuelle Betriebsfähigkeit vor Beauftragung zusätzlich verifizieren</x:v>
      </x:c>
      <x:c r="H76" s="350" t="str">
        <x:v>Fachlich A+; öffentliche Registerhinweise zum Unternehmensstatus sind uneinheitlich – deshalb Betriebsstatus vor Aktivschaltung prüfen.</x:v>
      </x:c>
      <x:c r="I76" s="350" t="str">
        <x:v>https://www.rs-treppenlifte.de/kontakt.html</x:v>
      </x:c>
      <x:c r="J76" s="350" t="str">
        <x:v>2026-08-31</x:v>
      </x:c>
    </x:row>
    <x:row r="77" ht="48" customHeight="1">
      <x:c r="A77" s="350" t="str">
        <x:v>Wohnen / technische Wohnraumanpassung – Lifttechnik</x:v>
      </x:c>
      <x:c r="B77" s="350" t="str">
        <x:v>STUFENLOS Mobilität nach Maß GmbH – Lift-Zentrum Karlsruhe</x:v>
      </x:c>
      <x:c r="C77" s="350" t="str">
        <x:v>Aufnehmen</x:v>
      </x:c>
      <x:c r="D77" s="350" t="str">
        <x:v>A+</x:v>
      </x:c>
      <x:c r="E77" s="350" t="str">
        <x:v>Neu</x:v>
      </x:c>
      <x:c r="F77" s="350" t="str">
        <x:v>Karlsruhe</x:v>
      </x:c>
      <x:c r="G77" s="350" t="str">
        <x:v>Adresse/Kontakt geprüft; numerische Hauskoordinate offen</x:v>
      </x:c>
      <x:c r="H77" s="350" t="str">
        <x:v>A+ mit breitem Liftportfolio, Ausstellung, Aufmaß, Montage und Service.</x:v>
      </x:c>
      <x:c r="I77" s="350" t="str">
        <x:v>https://treppenlift-karlsruhe.info/ablauf/</x:v>
      </x:c>
      <x:c r="J77" s="350" t="str">
        <x:v>2026-08-31</x:v>
      </x:c>
    </x:row>
    <x:row r="78" ht="48" customHeight="1">
      <x:c r="A78" s="350" t="str">
        <x:v>Wohnen / technische Wohnraumanpassung – Lifttechnik</x:v>
      </x:c>
      <x:c r="B78" s="350" t="str">
        <x:v>CAMA Lift GmbH</x:v>
      </x:c>
      <x:c r="C78" s="350" t="str">
        <x:v>Aufnehmen</x:v>
      </x:c>
      <x:c r="D78" s="350" t="str">
        <x:v>A+</x:v>
      </x:c>
      <x:c r="E78" s="350" t="str">
        <x:v>Neu</x:v>
      </x:c>
      <x:c r="F78" s="350" t="str">
        <x:v>Hofheim-Wallau</x:v>
      </x:c>
      <x:c r="G78" s="350" t="str">
        <x:v>Adresse/Kontakt geprüft; numerische Hauskoordinate offen</x:v>
      </x:c>
      <x:c r="H78" s="350" t="str">
        <x:v>A+ Rhein-Main-Vollanbieter mit Planung, Montage und Service aus einer Hand.</x:v>
      </x:c>
      <x:c r="I78" s="350" t="str">
        <x:v>https://www.cama.de/</x:v>
      </x:c>
      <x:c r="J78" s="350" t="str">
        <x:v>2026-08-31</x:v>
      </x:c>
    </x:row>
    <x:row r="79" ht="48" customHeight="1">
      <x:c r="A79" s="350" t="str">
        <x:v>Wohnen / technische Wohnraumanpassung – Lifttechnik</x:v>
      </x:c>
      <x:c r="B79" s="350" t="str">
        <x:v>Lift Technik Franken – Peter Czieschowitz</x:v>
      </x:c>
      <x:c r="C79" s="350" t="str">
        <x:v>Aufnehmen</x:v>
      </x:c>
      <x:c r="D79" s="350" t="str">
        <x:v>A</x:v>
      </x:c>
      <x:c r="E79" s="350" t="str">
        <x:v>Neu</x:v>
      </x:c>
      <x:c r="F79" s="350" t="str">
        <x:v>Fürth</x:v>
      </x:c>
      <x:c r="G79" s="350" t="str">
        <x:v>Adresse/Kontakt geprüft; numerische Hauskoordinate offen</x:v>
      </x:c>
      <x:c r="H79" s="350" t="str">
        <x:v>A wegen größerer Distanz, aber gezielt relevant für Würzburg/Unterfranken; Montage, Wartung und Reparatur selbst.</x:v>
      </x:c>
      <x:c r="I79" s="350" t="str">
        <x:v>https://lifttechnik-franken.de/</x:v>
      </x:c>
      <x:c r="J79" s="350" t="str">
        <x:v>2026-08-31</x:v>
      </x:c>
    </x:row>
  </x:sheetData>
  <x:mergeCells>
    <x:mergeCell ref="A1:J1"/>
    <x:mergeCell ref="A2:J2"/>
  </x:mergeCells>
  <x:pageMargins left="0.7" right="0.7" top="0.75" bottom="0.75" header="0.3" footer="0.3"/>
  <x:tableParts count="1">
    <x:tablePart xmlns:r="http://schemas.openxmlformats.org/officeDocument/2006/relationships" r:id="Rd381a8af38a7494f"/>
  </x:tableParts>
</x:worksheet>
</file>

<file path=xl/worksheets/sheet35.xml><?xml version="1.0" encoding="utf-8"?>
<x:worksheet xmlns:x="http://schemas.openxmlformats.org/spreadsheetml/2006/main">
  <x:sheetFormatPr defaultRowHeight="15"/>
  <x:cols>
    <x:col min="1" max="1" width="20" hidden="0" customWidth="1"/>
    <x:col min="2" max="2" width="38" hidden="0" customWidth="1"/>
    <x:col min="3" max="3" width="44" hidden="0" customWidth="1"/>
    <x:col min="4" max="4" width="46" hidden="0" customWidth="1"/>
    <x:col min="5" max="5" width="48" hidden="0" customWidth="1"/>
    <x:col min="6" max="6" width="16" hidden="0" customWidth="1"/>
  </x:cols>
  <x:sheetData>
    <x:row r="1" ht="28" customHeight="1">
      <x:c r="A1" s="163" t="str">
        <x:v>Ausschlüsse, Kategorien, Karten- und Evidenzregeln – FINAL 4.4.x</x:v>
      </x:c>
      <x:c r="B1" s="163"/>
      <x:c r="C1" s="163"/>
      <x:c r="D1" s="163"/>
      <x:c r="E1" s="163"/>
      <x:c r="F1" s="163"/>
    </x:row>
    <x:row r="2">
      <x:c r="A2" s="113"/>
      <x:c r="B2" s="113"/>
      <x:c r="C2" s="113"/>
      <x:c r="D2" s="113"/>
      <x:c r="E2" s="113"/>
      <x:c r="F2" s="113"/>
    </x:row>
    <x:row r="3">
      <x:c r="A3" s="113"/>
      <x:c r="B3" s="113"/>
      <x:c r="C3" s="113"/>
      <x:c r="D3" s="113"/>
      <x:c r="E3" s="113"/>
      <x:c r="F3" s="113"/>
    </x:row>
    <x:row r="4" ht="30" customHeight="1">
      <x:c r="A4" s="166" t="str">
        <x:v>Typ</x:v>
      </x:c>
      <x:c r="B4" s="166" t="str">
        <x:v>Thema / Einrichtung</x:v>
      </x:c>
      <x:c r="C4" s="166" t="str">
        <x:v>Verbindliche Regel</x:v>
      </x:c>
      <x:c r="D4" s="166" t="str">
        <x:v>Begründung</x:v>
      </x:c>
      <x:c r="E4" s="166" t="str">
        <x:v>Umsetzung</x:v>
      </x:c>
      <x:c r="F4" s="166" t="str">
        <x:v>Status</x:v>
      </x:c>
    </x:row>
    <x:row r="5">
      <x:c r="A5" s="116" t="str">
        <x:v>Ausschluss</x:v>
      </x:c>
      <x:c r="B5" s="116" t="str">
        <x:v>BFW Kassel</x:v>
      </x:c>
      <x:c r="C5" s="116" t="str">
        <x:v>Nicht aufnehmen</x:v>
      </x:c>
      <x:c r="D5" s="116" t="str">
        <x:v>Bad Vilbel ist der verbindliche BFW-Standort für den Kartenbestand.</x:v>
      </x:c>
      <x:c r="E5" s="116" t="str">
        <x:v>Kein Kartenpunkt / kein Suchtreffer Kassel aus diesem BFW-Komplex.</x:v>
      </x:c>
      <x:c r="F5" s="116" t="str">
        <x:v>verbindlich</x:v>
      </x:c>
    </x:row>
    <x:row r="6">
      <x:c r="A6" s="116" t="str">
        <x:v>Ausschluss</x:v>
      </x:c>
      <x:c r="B6" s="116" t="str">
        <x:v>Seniorenzentrum Storchenpark Speyer</x:v>
      </x:c>
      <x:c r="C6" s="116" t="str">
        <x:v>Phase F entfernen</x:v>
      </x:c>
      <x:c r="D6" s="116" t="str">
        <x:v>Nicht mehr als aktive Phase-F-Einrichtung führen.</x:v>
      </x:c>
      <x:c r="E6" s="116" t="str">
        <x:v>Phase-F-Kategorie und Filterzuordnung löschen.</x:v>
      </x:c>
      <x:c r="F6" s="116" t="str">
        <x:v>verbindlich</x:v>
      </x:c>
    </x:row>
    <x:row r="7">
      <x:c r="A7" s="116" t="str">
        <x:v>Kategorisierung</x:v>
      </x:c>
      <x:c r="B7" s="116" t="str">
        <x:v>Kliniken Schmieder</x:v>
      </x:c>
      <x:c r="C7" s="116" t="str">
        <x:v>Keine Phase-F-Zuordnung</x:v>
      </x:c>
      <x:c r="D7" s="116" t="str">
        <x:v>Schmieder-Standorte nicht als Phase F führen.</x:v>
      </x:c>
      <x:c r="E7" s="116" t="str">
        <x:v>Nur tatsächlich bestätigte Phasen anzeigen.</x:v>
      </x:c>
      <x:c r="F7" s="116" t="str">
        <x:v>verbindlich</x:v>
      </x:c>
    </x:row>
    <x:row r="8">
      <x:c r="A8" s="116" t="str">
        <x:v>Ausschluss</x:v>
      </x:c>
      <x:c r="B8" s="116" t="str">
        <x:v>Kevekordes Ergonomie</x:v>
      </x:c>
      <x:c r="C8" s="116" t="str">
        <x:v>Nicht neu aufnehmen</x:v>
      </x:c>
      <x:c r="D8" s="116" t="str">
        <x:v>Keine neuen Anfragen mehr; kein sinnvoller aktiver Anbieterbestand.</x:v>
      </x:c>
      <x:c r="E8" s="116" t="str">
        <x:v>Nicht in Technik-Import übernehmen.</x:v>
      </x:c>
      <x:c r="F8" s="116" t="str">
        <x:v>verbindlich</x:v>
      </x:c>
    </x:row>
    <x:row r="9">
      <x:c r="A9" s="116" t="str">
        <x:v>Ausschluss</x:v>
      </x:c>
      <x:c r="B9" s="116" t="str">
        <x:v>Wilma Astrid Fleig, Dietzenbach</x:v>
      </x:c>
      <x:c r="C9" s="116" t="str">
        <x:v>Entfernt lassen</x:v>
      </x:c>
      <x:c r="D9" s="116" t="str">
        <x:v>Psychotherapie-Bereinigung bereits beschlossen.</x:v>
      </x:c>
      <x:c r="E9" s="116" t="str">
        <x:v>Kein produktiver Eintrag.</x:v>
      </x:c>
      <x:c r="F9" s="116" t="str">
        <x:v>verbindlich</x:v>
      </x:c>
    </x:row>
    <x:row r="10">
      <x:c r="A10" s="116" t="str">
        <x:v>Ausschluss</x:v>
      </x:c>
      <x:c r="B10" s="116" t="str">
        <x:v>Christine/Christin Gräbner, Geiselbach</x:v>
      </x:c>
      <x:c r="C10" s="116" t="str">
        <x:v>Entfernt lassen</x:v>
      </x:c>
      <x:c r="D10" s="116" t="str">
        <x:v>Psychotherapie-Bereinigung bereits beschlossen.</x:v>
      </x:c>
      <x:c r="E10" s="116" t="str">
        <x:v>Kein produktiver Eintrag.</x:v>
      </x:c>
      <x:c r="F10" s="116" t="str">
        <x:v>verbindlich</x:v>
      </x:c>
    </x:row>
    <x:row r="11">
      <x:c r="A11" s="116" t="str">
        <x:v>Kategorie</x:v>
      </x:c>
      <x:c r="B11" s="116" t="str">
        <x:v>MVZ</x:v>
      </x:c>
      <x:c r="C11" s="116" t="str">
        <x:v>Keine eigene isolierte Hauptkategorie</x:v>
      </x:c>
      <x:c r="D11" s="116" t="str">
        <x:v>MVZ ist Organisationsform, keine Reha-Fachleistung.</x:v>
      </x:c>
      <x:c r="E11" s="116" t="str">
        <x:v>MVZ-Datensätze primär nach Fachgebiet gruppieren.</x:v>
      </x:c>
      <x:c r="F11" s="116" t="str">
        <x:v>verbindlich</x:v>
      </x:c>
    </x:row>
    <x:row r="12">
      <x:c r="A12" s="116" t="str">
        <x:v>Kategorie</x:v>
      </x:c>
      <x:c r="B12" s="116" t="str">
        <x:v>Stephanuswerk Isny</x:v>
      </x:c>
      <x:c r="C12" s="116" t="str">
        <x:v>Phase E/LTA, nicht A-D</x:v>
      </x:c>
      <x:c r="D12" s="116" t="str">
        <x:v>Berufliche Rehabilitation und Übergang in Arbeit; kein medizinisches A-D-Phasenangebot.</x:v>
      </x:c>
      <x:c r="E12" s="116" t="str">
        <x:v>Neurologie Phase E + Berufliche Reha/LTA verknüpfen.</x:v>
      </x:c>
      <x:c r="F12" s="116" t="str">
        <x:v>verbindlich</x:v>
      </x:c>
    </x:row>
    <x:row r="13">
      <x:c r="A13" s="116" t="str">
        <x:v>Begriffsklärung</x:v>
      </x:c>
      <x:c r="B13" s="116" t="str">
        <x:v>Jugendwerk Isny</x:v>
      </x:c>
      <x:c r="C13" s="116" t="str">
        <x:v>Nicht als eigenes neurologisches Jugendwerk anlegen</x:v>
      </x:c>
      <x:c r="D13" s="116" t="str">
        <x:v>Der Isny-Baustein ist Stephanuswerk; das neurologische Jugend-Reha-Angebot ist Hegau-Jugendwerk Gailingen.</x:v>
      </x:c>
      <x:c r="E13" s="116" t="str">
        <x:v>Keine Dublette/falsche Einrichtung erzeugen.</x:v>
      </x:c>
      <x:c r="F13" s="116" t="str">
        <x:v>verbindlich</x:v>
      </x:c>
    </x:row>
    <x:row r="14">
      <x:c r="A14" s="116" t="str">
        <x:v>Pflege</x:v>
      </x:c>
      <x:c r="B14" s="116" t="str">
        <x:v>Pflegeberater GUV</x:v>
      </x:c>
      <x:c r="C14" s="116" t="str">
        <x:v>Kein abstrakter Sammelpunkt</x:v>
      </x:c>
      <x:c r="D14" s="116" t="str">
        <x:v>Pflegeberatung muss an reale Leistungserbringer/Standorte gebunden werden.</x:v>
      </x:c>
      <x:c r="E14" s="116" t="str">
        <x:v>BG-Klinik-Pflegefachberatung + qualifizierte externe Dienste verknüpfen.</x:v>
      </x:c>
      <x:c r="F14" s="116" t="str">
        <x:v>verbindlich</x:v>
      </x:c>
    </x:row>
    <x:row r="15">
      <x:c r="A15" s="116" t="str">
        <x:v>UX</x:v>
      </x:c>
      <x:c r="B15" s="116" t="str">
        <x:v>Filter NeuroCE</x:v>
      </x:c>
      <x:c r="C15" s="116" t="str">
        <x:v>Kein Europa-/Weltzoom</x:v>
      </x:c>
      <x:c r="D15" s="116" t="str">
        <x:v>Filter darf die Kartenansicht nicht auf globale Bounds setzen.</x:v>
      </x:c>
      <x:c r="E15" s="116" t="str">
        <x:v>fitBounds nur auf sichtbare gefilterte Marker; bei 1 Treffer lokaler Zoom.</x:v>
      </x:c>
      <x:c r="F15" s="116" t="str">
        <x:v>4.4.x Fix</x:v>
      </x:c>
    </x:row>
    <x:row r="16">
      <x:c r="A16" s="116" t="str">
        <x:v>UX</x:v>
      </x:c>
      <x:c r="B16" s="116" t="str">
        <x:v>Filter Schmerztherapie</x:v>
      </x:c>
      <x:c r="C16" s="116" t="str">
        <x:v>Kein Europa-/Weltzoom</x:v>
      </x:c>
      <x:c r="D16" s="116" t="str">
        <x:v>Gleicher Darstellungsfehler wie NeuroCE.</x:v>
      </x:c>
      <x:c r="E16" s="116" t="str">
        <x:v>fitBounds nur auf aktive Marker; bei 1 Treffer lokaler Zoom.</x:v>
      </x:c>
      <x:c r="F16" s="116" t="str">
        <x:v>4.4.x Fix</x:v>
      </x:c>
    </x:row>
    <x:row r="17">
      <x:c r="A17" s="116" t="str">
        <x:v>Geo</x:v>
      </x:c>
      <x:c r="B17" s="116" t="str">
        <x:v>Koordinatenstandard</x:v>
      </x:c>
      <x:c r="C17" s="116" t="str">
        <x:v>Keine erfundenen/Ortsmittelpunkt-Koordinaten</x:v>
      </x:c>
      <x:c r="D17" s="116" t="str">
        <x:v>Haus-/Einrichtungspunkt muss belastbar sein.</x:v>
      </x:c>
      <x:c r="E17" s="116" t="str">
        <x:v>Wenn Lat/Lon offen: geprüfte Volladresse + Geocode-Query speichern.</x:v>
      </x:c>
      <x:c r="F17" s="116" t="str">
        <x:v>verbindlich</x:v>
      </x:c>
    </x:row>
    <x:row r="18">
      <x:c r="A18" s="116" t="str">
        <x:v>Pflege</x:v>
      </x:c>
      <x:c r="B18" s="116" t="str">
        <x:v>BG-Klinik-Pflegefachberatung</x:v>
      </x:c>
      <x:c r="C18" s="116" t="str">
        <x:v>Als Subservice am bestehenden Klinikdatensatz führen</x:v>
      </x:c>
      <x:c r="D18" s="116" t="str">
        <x:v>Verhindert doppelte Pins desselben Klinikstandorts.</x:v>
      </x:c>
      <x:c r="E18" s="116" t="str">
        <x:v>Leistung/Direktkontakt als eigener Such-/Filtertreffer, aber kein neuer Marker.</x:v>
      </x:c>
      <x:c r="F18" s="116" t="str">
        <x:v>verbindlich</x:v>
      </x:c>
    </x:row>
    <x:row r="19">
      <x:c r="A19" s="116" t="str">
        <x:v>Karte/Entfernung</x:v>
      </x:c>
      <x:c r="B19" s="116" t="str">
        <x:v>Bundesweite Reha-/Pflege-/Gutachtendienste</x:v>
      </x:c>
      <x:c r="C19" s="116" t="str">
        <x:v>Verwaltungssitz nicht als Versorgungsnähe werten</x:v>
      </x:c>
      <x:c r="D19" s="116" t="str">
        <x:v>InReha, CareService, IHR, RehaCare, ReIntra usw. arbeiten bundesweit.</x:v>
      </x:c>
      <x:c r="E19" s="116" t="str">
        <x:v>HQ darf Umkreis/Fahrzeit nicht verfälschen; Servicegebiet separat auswerten.</x:v>
      </x:c>
      <x:c r="F19" s="116" t="str">
        <x:v>verbindlich</x:v>
      </x:c>
    </x:row>
    <x:row r="20">
      <x:c r="A20" s="116" t="str">
        <x:v>Arbeitsvermittlung</x:v>
      </x:c>
      <x:c r="B20" s="116" t="str">
        <x:v>Evidenzstufen trennen</x:v>
      </x:c>
      <x:c r="C20" s="116" t="str">
        <x:v>BG/UV-Bezug ≠ Versicherungsbezug ≠ AVGS</x:v>
      </x:c>
      <x:c r="D20" s="116" t="str">
        <x:v>Allgemeine Arbeitsmarktintegration darf nicht als BG-Erfahrung etikettiert werden.</x:v>
      </x:c>
      <x:c r="E20" s="116" t="str">
        <x:v>BG-/Kostenträgerbezug explizit dokumentieren; unbekannt bleibt unbekannt.</x:v>
      </x:c>
      <x:c r="F20" s="116" t="str">
        <x:v>verbindlich</x:v>
      </x:c>
    </x:row>
    <x:row r="21">
      <x:c r="A21" s="116" t="str">
        <x:v>Dubletten</x:v>
      </x:c>
      <x:c r="B21" s="116" t="str">
        <x:v>RehaCare / fachübergreifende Anbieter</x:v>
      </x:c>
      <x:c r="C21" s="116" t="str">
        <x:v>Ein logischer Masterdatensatz, mehrere Fach-Tags</x:v>
      </x:c>
      <x:c r="D21" s="116" t="str">
        <x:v>Pflege und berufliche Integration stammen vom selben Anbieter.</x:v>
      </x:c>
      <x:c r="E21" s="116" t="str">
        <x:v>In Fachansichten mehrfach sichtbar, im Master nur einmal.</x:v>
      </x:c>
      <x:c r="F21" s="116" t="str">
        <x:v>verbindlich</x:v>
      </x:c>
    </x:row>
    <x:row r="22">
      <x:c r="A22" s="116" t="str">
        <x:v>Arbeitsvermittlung</x:v>
      </x:c>
      <x:c r="B22" s="116" t="str">
        <x:v>Altbestand/Netzwerk erhalten</x:v>
      </x:c>
      <x:c r="C22" s="116" t="str">
        <x:v>IFD und BA-Reha-Vermittlung nicht durch private Neuaufnahmen verdrängen</x:v>
      </x:c>
      <x:c r="D22" s="116" t="str">
        <x:v>Öffentliche Reha- und SGB-IX-Netzwerkpartner sind operative Ergänzungen.</x:v>
      </x:c>
      <x:c r="E22" s="116" t="str">
        <x:v>Beim Merge als bestehende Netzwerkkontakte erhalten.</x:v>
      </x:c>
      <x:c r="F22" s="116" t="str">
        <x:v>verbindlich</x:v>
      </x:c>
    </x:row>
    <x:row r="23">
      <x:c r="A23" s="116" t="str">
        <x:v>Arbeitsvermittlung</x:v>
      </x:c>
      <x:c r="B23" s="116" t="str">
        <x:v>JobBG Altbestand</x:v>
      </x:c>
      <x:c r="C23" s="116" t="str">
        <x:v>Historisch kennzeichnen, nicht ungeprüft reaktivieren</x:v>
      </x:c>
      <x:c r="D23" s="116" t="str">
        <x:v>Aktuelle regionale Struktur ließ sich in der Abschlussrunde nicht belastbar bestätigen.</x:v>
      </x:c>
      <x:c r="E23" s="116" t="str">
        <x:v>Historische Datensätze nur als Prüfeintrag; vor Reaktivierung Primärprüfung.</x:v>
      </x:c>
      <x:c r="F23" s="116" t="str">
        <x:v>verbindlich</x:v>
      </x:c>
    </x:row>
  </x:sheetData>
  <x:mergeCells>
    <x:mergeCell ref="A1:F1"/>
  </x:mergeCells>
  <x:conditionalFormatting sqref="F5:F23">
    <x:cfRule type="expression" dxfId="29" priority="1">
      <x:formula>F5="verbindlich"</x:formula>
    </x:cfRule>
  </x:conditionalFormatting>
  <x:pageMargins left="0.7" right="0.7" top="0.75" bottom="0.75" header="0.3" footer="0.3"/>
  <x:tableParts count="1">
    <x:tablePart xmlns:r="http://schemas.openxmlformats.org/officeDocument/2006/relationships" r:id="R209e29d191884d71"/>
  </x:tableParts>
</x:worksheet>
</file>

<file path=xl/worksheets/sheet36.xml><?xml version="1.0" encoding="utf-8"?>
<x:worksheet xmlns:x="http://schemas.openxmlformats.org/spreadsheetml/2006/main">
  <x:sheetFormatPr defaultRowHeight="15"/>
  <x:cols>
    <x:col min="1" max="1" width="38" hidden="0" customWidth="1"/>
    <x:col min="2" max="2" width="25" hidden="0" customWidth="1"/>
    <x:col min="3" max="3" width="62" hidden="0" customWidth="1"/>
    <x:col min="4" max="4" width="48" hidden="0" customWidth="1"/>
    <x:col min="5" max="5" width="14" hidden="0" customWidth="1"/>
  </x:cols>
  <x:sheetData>
    <x:row r="1" ht="28" customHeight="1">
      <x:c r="A1" s="163" t="str">
        <x:v>Primär-/Prüfquellen – FINALER Ergänzungsstand 4.4.x</x:v>
      </x:c>
      <x:c r="B1" s="163"/>
      <x:c r="C1" s="163"/>
      <x:c r="D1" s="163"/>
      <x:c r="E1" s="163"/>
    </x:row>
    <x:row r="2">
      <x:c r="A2" s="113"/>
      <x:c r="B2" s="113"/>
      <x:c r="C2" s="113"/>
      <x:c r="D2" s="113"/>
      <x:c r="E2" s="113"/>
    </x:row>
    <x:row r="3">
      <x:c r="A3" s="113"/>
      <x:c r="B3" s="113"/>
      <x:c r="C3" s="113"/>
      <x:c r="D3" s="113"/>
      <x:c r="E3" s="113"/>
    </x:row>
    <x:row r="4" ht="30" customHeight="1">
      <x:c r="A4" s="166" t="str">
        <x:v>Thema / Einrichtung</x:v>
      </x:c>
      <x:c r="B4" s="166" t="str">
        <x:v>Quellentyp</x:v>
      </x:c>
      <x:c r="C4" s="166" t="str">
        <x:v>URL</x:v>
      </x:c>
      <x:c r="D4" s="166" t="str">
        <x:v>Verwendet für</x:v>
      </x:c>
      <x:c r="E4" s="166" t="str">
        <x:v>Prüfdatum</x:v>
      </x:c>
    </x:row>
    <x:row r="5">
      <x:c r="A5" s="116" t="str">
        <x:v>Schmerztherapiezentrum Bad Mergentheim</x:v>
      </x:c>
      <x:c r="B5" s="116" t="str">
        <x:v>Primärquelle</x:v>
      </x:c>
      <x:c r="C5" s="116" t="str">
        <x:v>https://www.schmerzklinik.com/patienten</x:v>
      </x:c>
      <x:c r="D5" s="116" t="str">
        <x:v>Adresse, Kontakt, BG-/Kostenträgerbezug</x:v>
      </x:c>
      <x:c r="E5" s="116" t="str">
        <x:v>2026-08-30</x:v>
      </x:c>
    </x:row>
    <x:row r="6">
      <x:c r="A6" s="116" t="str">
        <x:v>Schmerzpraxis Bad Mergentheim</x:v>
      </x:c>
      <x:c r="B6" s="116" t="str">
        <x:v>Primärquelle</x:v>
      </x:c>
      <x:c r="C6" s="116" t="str">
        <x:v>https://www.schmerzklinik.com/schmerzpraxis</x:v>
      </x:c>
      <x:c r="D6" s="116" t="str">
        <x:v>Ambulanter Standort und BG-Patienten</x:v>
      </x:c>
      <x:c r="E6" s="116" t="str">
        <x:v>2026-08-30</x:v>
      </x:c>
    </x:row>
    <x:row r="7">
      <x:c r="A7" s="116" t="str">
        <x:v>Nowackanlage Karlsruhe</x:v>
      </x:c>
      <x:c r="B7" s="116" t="str">
        <x:v>Primärquelle</x:v>
      </x:c>
      <x:c r="C7" s="116" t="str">
        <x:v>https://www.neurologie-psychiatrie-karlsruhe.de/impressum/</x:v>
      </x:c>
      <x:c r="D7" s="116" t="str">
        <x:v>Adresse, Kontakt, Ärzteteam</x:v>
      </x:c>
      <x:c r="E7" s="116" t="str">
        <x:v>2026-08-30</x:v>
      </x:c>
    </x:row>
    <x:row r="8">
      <x:c r="A8" s="116" t="str">
        <x:v>Nervenheilkunde Weinheim</x:v>
      </x:c>
      <x:c r="B8" s="116" t="str">
        <x:v>Primärquelle</x:v>
      </x:c>
      <x:c r="C8" s="116" t="str">
        <x:v>https://www.nervenheilkunde-weinheim.de/</x:v>
      </x:c>
      <x:c r="D8" s="116" t="str">
        <x:v>Adresse, Kontakt, Fachgebiete</x:v>
      </x:c>
      <x:c r="E8" s="116" t="str">
        <x:v>2026-08-30</x:v>
      </x:c>
    </x:row>
    <x:row r="9">
      <x:c r="A9" s="116" t="str">
        <x:v>Praxis-Zentrum Worms</x:v>
      </x:c>
      <x:c r="B9" s="116" t="str">
        <x:v>Primärquelle</x:v>
      </x:c>
      <x:c r="C9" s="116" t="str">
        <x:v>https://www.np-worms.de/</x:v>
      </x:c>
      <x:c r="D9" s="116" t="str">
        <x:v>Adresse, Kontakt, Fachgebiete</x:v>
      </x:c>
      <x:c r="E9" s="116" t="str">
        <x:v>2026-08-30</x:v>
      </x:c>
    </x:row>
    <x:row r="10">
      <x:c r="A10" s="116" t="str">
        <x:v>Neuropraxis Wertheim</x:v>
      </x:c>
      <x:c r="B10" s="116" t="str">
        <x:v>Primärquelle</x:v>
      </x:c>
      <x:c r="C10" s="116" t="str">
        <x:v>https://www.neuropraxis-wertheim.de/kontakt</x:v>
      </x:c>
      <x:c r="D10" s="116" t="str">
        <x:v>Bestandsabgleich, Kontakt</x:v>
      </x:c>
      <x:c r="E10" s="116" t="str">
        <x:v>2026-08-30</x:v>
      </x:c>
    </x:row>
    <x:row r="11">
      <x:c r="A11" s="116" t="str">
        <x:v>NervenDocks Buchen</x:v>
      </x:c>
      <x:c r="B11" s="116" t="str">
        <x:v>Primärquelle</x:v>
      </x:c>
      <x:c r="C11" s="116" t="str">
        <x:v>https://www.nervendocks.de/</x:v>
      </x:c>
      <x:c r="D11" s="116" t="str">
        <x:v>Bestandsabgleich, Kontakt</x:v>
      </x:c>
      <x:c r="E11" s="116" t="str">
        <x:v>2026-08-30</x:v>
      </x:c>
    </x:row>
    <x:row r="12">
      <x:c r="A12" s="116" t="str">
        <x:v>Praxis Dr. Jürgen Lang</x:v>
      </x:c>
      <x:c r="B12" s="116" t="str">
        <x:v>Primärquelle</x:v>
      </x:c>
      <x:c r="C12" s="116" t="str">
        <x:v>https://www.dr-juergen-lang.de/</x:v>
      </x:c>
      <x:c r="D12" s="116" t="str">
        <x:v>Taubertal-Ergänzung</x:v>
      </x:c>
      <x:c r="E12" s="116" t="str">
        <x:v>2026-08-30</x:v>
      </x:c>
    </x:row>
    <x:row r="13">
      <x:c r="A13" s="116" t="str">
        <x:v>MVZ Neuro Würzburg</x:v>
      </x:c>
      <x:c r="B13" s="116" t="str">
        <x:v>Primärquelle</x:v>
      </x:c>
      <x:c r="C13" s="116" t="str">
        <x:v>https://www.mvz-neuro.de/</x:v>
      </x:c>
      <x:c r="D13" s="116" t="str">
        <x:v>Unterfranken-Ergänzung</x:v>
      </x:c>
      <x:c r="E13" s="116" t="str">
        <x:v>2026-08-30</x:v>
      </x:c>
    </x:row>
    <x:row r="14">
      <x:c r="A14" s="116" t="str">
        <x:v>meditz Würzburg</x:v>
      </x:c>
      <x:c r="B14" s="116" t="str">
        <x:v>Primärquelle</x:v>
      </x:c>
      <x:c r="C14" s="116" t="str">
        <x:v>https://www.meditz-wuerzburg.de/de/kontakt</x:v>
      </x:c>
      <x:c r="D14" s="116" t="str">
        <x:v>Unterfranken-Ergänzung, Kontakt</x:v>
      </x:c>
      <x:c r="E14" s="116" t="str">
        <x:v>2026-08-30</x:v>
      </x:c>
    </x:row>
    <x:row r="15">
      <x:c r="A15" s="116" t="str">
        <x:v>Nervenärzte Schweinfurt</x:v>
      </x:c>
      <x:c r="B15" s="116" t="str">
        <x:v>Primärquelle</x:v>
      </x:c>
      <x:c r="C15" s="116" t="str">
        <x:v>https://nervenaerzte-schweinfurt.de/</x:v>
      </x:c>
      <x:c r="D15" s="116" t="str">
        <x:v>Unterfranken-Ergänzung</x:v>
      </x:c>
      <x:c r="E15" s="116" t="str">
        <x:v>2026-08-30</x:v>
      </x:c>
    </x:row>
    <x:row r="16">
      <x:c r="A16" s="116" t="str">
        <x:v>BFW Frankfurt Bad Vilbel</x:v>
      </x:c>
      <x:c r="B16" s="116" t="str">
        <x:v>Primärquelle</x:v>
      </x:c>
      <x:c r="C16" s="116" t="str">
        <x:v>https://bfw-frankfurt.de/infos-links/kontakte</x:v>
      </x:c>
      <x:c r="D16" s="116" t="str">
        <x:v>Adresse, Kontakt, BG-Ansprechpartner</x:v>
      </x:c>
      <x:c r="E16" s="116" t="str">
        <x:v>2026-08-30</x:v>
      </x:c>
    </x:row>
    <x:row r="17">
      <x:c r="A17" s="116" t="str">
        <x:v>BFW Frankfurt Anfahrt</x:v>
      </x:c>
      <x:c r="B17" s="116" t="str">
        <x:v>Primärquelle</x:v>
      </x:c>
      <x:c r="C17" s="116" t="str">
        <x:v>https://bfw-frankfurt.de/infos-links/ihr-weg-zu-uns/</x:v>
      </x:c>
      <x:c r="D17" s="116" t="str">
        <x:v>Standort Bad Vilbel</x:v>
      </x:c>
      <x:c r="E17" s="116" t="str">
        <x:v>2026-08-30</x:v>
      </x:c>
    </x:row>
    <x:row r="18">
      <x:c r="A18" s="116" t="str">
        <x:v>Fahrschule Zawatzky</x:v>
      </x:c>
      <x:c r="B18" s="116" t="str">
        <x:v>Primärquelle</x:v>
      </x:c>
      <x:c r="C18" s="116" t="str">
        <x:v>https://zawatzky.de/fahrschule/kontakt/</x:v>
      </x:c>
      <x:c r="D18" s="116" t="str">
        <x:v>Adresse, Kontakt</x:v>
      </x:c>
      <x:c r="E18" s="116" t="str">
        <x:v>2026-08-30</x:v>
      </x:c>
    </x:row>
    <x:row r="19">
      <x:c r="A19" s="116" t="str">
        <x:v>Mobilcenter Zawatzky</x:v>
      </x:c>
      <x:c r="B19" s="116" t="str">
        <x:v>Primärquelle</x:v>
      </x:c>
      <x:c r="C19" s="116" t="str">
        <x:v>https://zawatzky.de/standorte/</x:v>
      </x:c>
      <x:c r="D19" s="116" t="str">
        <x:v>Trennung Fahrschule/Umbau</x:v>
      </x:c>
      <x:c r="E19" s="116" t="str">
        <x:v>2026-08-30</x:v>
      </x:c>
    </x:row>
    <x:row r="20">
      <x:c r="A20" s="116" t="str">
        <x:v>Fahrschule Klaus</x:v>
      </x:c>
      <x:c r="B20" s="116" t="str">
        <x:v>Primärquelle</x:v>
      </x:c>
      <x:c r="C20" s="116" t="str">
        <x:v>https://www.fahrschuleklaus.de/</x:v>
      </x:c>
      <x:c r="D20" s="116" t="str">
        <x:v>Standort Ludwigshafen</x:v>
      </x:c>
      <x:c r="E20" s="116" t="str">
        <x:v>2026-08-30</x:v>
      </x:c>
    </x:row>
    <x:row r="21">
      <x:c r="A21" s="116" t="str">
        <x:v>pebb gmbh</x:v>
      </x:c>
      <x:c r="B21" s="116" t="str">
        <x:v>Primärquelle</x:v>
      </x:c>
      <x:c r="C21" s="116" t="str">
        <x:v>https://www.pebb.de/kontakt/impressum/</x:v>
      </x:c>
      <x:c r="D21" s="116" t="str">
        <x:v>Adresse, Kontakt</x:v>
      </x:c>
      <x:c r="E21" s="116" t="str">
        <x:v>2026-08-30</x:v>
      </x:c>
    </x:row>
    <x:row r="22">
      <x:c r="A22" s="116" t="str">
        <x:v>pebb zwei gmbh</x:v>
      </x:c>
      <x:c r="B22" s="116" t="str">
        <x:v>Primärquelle</x:v>
      </x:c>
      <x:c r="C22" s="116" t="str">
        <x:v>https://www.pebbzwei.de/standorte/rheinland-pfalz-saarland/</x:v>
      </x:c>
      <x:c r="D22" s="116" t="str">
        <x:v>Adresse, Kontakt, separater Standortdatensatz</x:v>
      </x:c>
      <x:c r="E22" s="116" t="str">
        <x:v>2026-08-30</x:v>
      </x:c>
    </x:row>
    <x:row r="23">
      <x:c r="A23" s="116" t="str">
        <x:v>reha assist</x:v>
      </x:c>
      <x:c r="B23" s="116" t="str">
        <x:v>Primärquelle</x:v>
      </x:c>
      <x:c r="C23" s="116" t="str">
        <x:v>https://www.reha-assist.com/pflegeberatung/</x:v>
      </x:c>
      <x:c r="D23" s="116" t="str">
        <x:v>Pflegeberatung und Leistungen</x:v>
      </x:c>
      <x:c r="E23" s="116" t="str">
        <x:v>2026-08-30</x:v>
      </x:c>
    </x:row>
    <x:row r="24">
      <x:c r="A24" s="116" t="str">
        <x:v>reha assist Kontakt</x:v>
      </x:c>
      <x:c r="B24" s="116" t="str">
        <x:v>Primärquelle</x:v>
      </x:c>
      <x:c r="C24" s="116" t="str">
        <x:v>https://www.reha-assist.com/kontakt/</x:v>
      </x:c>
      <x:c r="D24" s="116" t="str">
        <x:v>Adresse, Telefon, Fax, E-Mail</x:v>
      </x:c>
      <x:c r="E24" s="116" t="str">
        <x:v>2026-08-30</x:v>
      </x:c>
    </x:row>
    <x:row r="25">
      <x:c r="A25" s="116" t="str">
        <x:v>Stephanuswerk Isny</x:v>
      </x:c>
      <x:c r="B25" s="116" t="str">
        <x:v>Primärquelle</x:v>
      </x:c>
      <x:c r="C25" s="116" t="str">
        <x:v>https://www.stephanuswerk-isny.de/bildungszentrum/</x:v>
      </x:c>
      <x:c r="D25" s="116" t="str">
        <x:v>Phase E/LTA-Kategorisierung</x:v>
      </x:c>
      <x:c r="E25" s="116" t="str">
        <x:v>2026-08-30</x:v>
      </x:c>
    </x:row>
    <x:row r="26">
      <x:c r="A26" s="116" t="str">
        <x:v>Limburgerhof St. Anastasia</x:v>
      </x:c>
      <x:c r="B26" s="116" t="str">
        <x:v>Primärquelle</x:v>
      </x:c>
      <x:c r="C26" s="116" t="str">
        <x:v>https://www.caritas-speyer.de/standorte/caritas-altenzentren/st-anastasia</x:v>
      </x:c>
      <x:c r="D26" s="116" t="str">
        <x:v>Phase F und Kontakt</x:v>
      </x:c>
      <x:c r="E26" s="116" t="str">
        <x:v>2026-08-30</x:v>
      </x:c>
    </x:row>
    <x:row r="27">
      <x:c r="A27" s="116" t="str">
        <x:v>Geo: Nowackanlage 15</x:v>
      </x:c>
      <x:c r="B27" s="116" t="str">
        <x:v>Adress-/Kartenquelle</x:v>
      </x:c>
      <x:c r="C27" s="116" t="str">
        <x:v>https://www.auskunft.de/</x:v>
      </x:c>
      <x:c r="D27" s="116" t="str">
        <x:v>adressbezogene Koordinate</x:v>
      </x:c>
      <x:c r="E27" s="116" t="str">
        <x:v>2026-08-30</x:v>
      </x:c>
    </x:row>
    <x:row r="28">
      <x:c r="A28" s="116" t="str">
        <x:v>Geo: reha assist / Kleinbahnstraße 27</x:v>
      </x:c>
      <x:c r="B28" s="116" t="str">
        <x:v>OSM-basierte Kartenquelle</x:v>
      </x:c>
      <x:c r="C28" s="116" t="str">
        <x:v>https://mapcarta.com/de/W101037140</x:v>
      </x:c>
      <x:c r="D28" s="116" t="str">
        <x:v>Gebäudekoordinate</x:v>
      </x:c>
      <x:c r="E28" s="116" t="str">
        <x:v>2026-08-30</x:v>
      </x:c>
    </x:row>
    <x:row r="29">
      <x:c r="A29" s="116" t="str">
        <x:v>Kristina Braun – Pflegegutachten</x:v>
      </x:c>
      <x:c r="B29" s="116" t="str">
        <x:v>Primärquelle</x:v>
      </x:c>
      <x:c r="C29" s="116" t="str">
        <x:v>https://www.pflegesachverstaendige-braun.de/</x:v>
      </x:c>
      <x:c r="D29" s="116" t="str">
        <x:v>SGB VII/BG-Bezug; Adresse/Kontakt</x:v>
      </x:c>
      <x:c r="E29" s="116" t="str">
        <x:v>2026-08-30</x:v>
      </x:c>
    </x:row>
    <x:row r="30">
      <x:c r="A30" s="116" t="str">
        <x:v>BG Klinik Ludwigshafen – Pflegefachberatung</x:v>
      </x:c>
      <x:c r="B30" s="116" t="str">
        <x:v>Primärquelle</x:v>
      </x:c>
      <x:c r="C30" s="116" t="str">
        <x:v>https://www.bg-kliniken.de/klinik-ludwigshafen/unfallversicherungstraeger/pflegefachberatung/</x:v>
      </x:c>
      <x:c r="D30" s="116" t="str">
        <x:v>Pflegegutachten/Pflegefachberatung/Pflegetraining UVT</x:v>
      </x:c>
      <x:c r="E30" s="116" t="str">
        <x:v>2026-08-30</x:v>
      </x:c>
    </x:row>
    <x:row r="31">
      <x:c r="A31" s="116" t="str">
        <x:v>BG Unfallklinik Frankfurt – Pflegefachberatung</x:v>
      </x:c>
      <x:c r="B31" s="116" t="str">
        <x:v>Primärquelle</x:v>
      </x:c>
      <x:c r="C31" s="116" t="str">
        <x:v>https://www.bg-kliniken.de/unfallklinik-frankfurt/uvt-servicezentrum/pflegefachberatung/</x:v>
      </x:c>
      <x:c r="D31" s="116" t="str">
        <x:v>Pflegebegutachtung im UVT-Auftrag</x:v>
      </x:c>
      <x:c r="E31" s="116" t="str">
        <x:v>2026-08-30</x:v>
      </x:c>
    </x:row>
    <x:row r="32">
      <x:c r="A32" s="116" t="str">
        <x:v>BG Klinik Tübingen – Pflegefachberatung</x:v>
      </x:c>
      <x:c r="B32" s="116" t="str">
        <x:v>Primärquelle</x:v>
      </x:c>
      <x:c r="C32" s="116" t="str">
        <x:v>https://www.bg-kliniken.de/klinik-tuebingen/pflegefachberatung/</x:v>
      </x:c>
      <x:c r="D32" s="116" t="str">
        <x:v>Pflegefachberatung/Pflegegutachten UVT</x:v>
      </x:c>
      <x:c r="E32" s="116" t="str">
        <x:v>2026-08-30</x:v>
      </x:c>
    </x:row>
    <x:row r="33">
      <x:c r="A33" s="116" t="str">
        <x:v>CareService</x:v>
      </x:c>
      <x:c r="B33" s="116" t="str">
        <x:v>Primärquelle</x:v>
      </x:c>
      <x:c r="C33" s="116" t="str">
        <x:v>https://www.careservice.de/</x:v>
      </x:c>
      <x:c r="D33" s="116" t="str">
        <x:v>§44 SGB VII; Pflegegutachten; GUV-Bezug</x:v>
      </x:c>
      <x:c r="E33" s="116" t="str">
        <x:v>2026-08-30</x:v>
      </x:c>
    </x:row>
    <x:row r="34">
      <x:c r="A34" s="116" t="str">
        <x:v>B-I-S / Wolfgang Müller</x:v>
      </x:c>
      <x:c r="B34" s="116" t="str">
        <x:v>Sachverständigenverzeichnis</x:v>
      </x:c>
      <x:c r="C34" s="116" t="str">
        <x:v>https://www.dgusv.de/</x:v>
      </x:c>
      <x:c r="D34" s="116" t="str">
        <x:v>Pflegegutachten §44 SGB VII; Qualifikation/Adresse</x:v>
      </x:c>
      <x:c r="E34" s="116" t="str">
        <x:v>2026-08-30</x:v>
      </x:c>
    </x:row>
    <x:row r="35">
      <x:c r="A35" s="116" t="str">
        <x:v>ORGAMed Dortmund</x:v>
      </x:c>
      <x:c r="B35" s="116" t="str">
        <x:v>Primärquelle</x:v>
      </x:c>
      <x:c r="C35" s="116" t="str">
        <x:v>https://www.orgamed-dortmund.de/</x:v>
      </x:c>
      <x:c r="D35" s="116" t="str">
        <x:v>BG-Pflegegutachten / SGB VII / Case Management</x:v>
      </x:c>
      <x:c r="E35" s="116" t="str">
        <x:v>2026-08-30</x:v>
      </x:c>
    </x:row>
    <x:row r="36">
      <x:c r="A36" s="116" t="str">
        <x:v>InReha</x:v>
      </x:c>
      <x:c r="B36" s="116" t="str">
        <x:v>Primärquelle</x:v>
      </x:c>
      <x:c r="C36" s="116" t="str">
        <x:v>https://www.inreha.net/</x:v>
      </x:c>
      <x:c r="D36" s="116" t="str">
        <x:v>BG-/UK-Reha-Management; berufliche Integration</x:v>
      </x:c>
      <x:c r="E36" s="116" t="str">
        <x:v>2026-08-30</x:v>
      </x:c>
    </x:row>
    <x:row r="37">
      <x:c r="A37" s="116" t="str">
        <x:v>CAMAS Integration &amp; Consulting</x:v>
      </x:c>
      <x:c r="B37" s="116" t="str">
        <x:v>Primärquelle</x:v>
      </x:c>
      <x:c r="C37" s="116" t="str">
        <x:v>https://www.camas-integration.de/</x:v>
      </x:c>
      <x:c r="D37" s="116" t="str">
        <x:v>Versicherungs-/Reha-Bezug; Nierstein</x:v>
      </x:c>
      <x:c r="E37" s="116" t="str">
        <x:v>2026-08-30</x:v>
      </x:c>
    </x:row>
    <x:row r="38">
      <x:c r="A38" s="116" t="str">
        <x:v>RehaCare</x:v>
      </x:c>
      <x:c r="B38" s="116" t="str">
        <x:v>Primärquelle</x:v>
      </x:c>
      <x:c r="C38" s="116" t="str">
        <x:v>https://www.rehacare.net/</x:v>
      </x:c>
      <x:c r="D38" s="116" t="str">
        <x:v>Jobakquise; berufliche Reha; Pflege-/Hilfsmittelmanagement</x:v>
      </x:c>
      <x:c r="E38" s="116" t="str">
        <x:v>2026-08-30</x:v>
      </x:c>
    </x:row>
    <x:row r="39">
      <x:c r="A39" s="116" t="str">
        <x:v>IHR Rehabilitations-Dienst</x:v>
      </x:c>
      <x:c r="B39" s="116" t="str">
        <x:v>Primärquelle</x:v>
      </x:c>
      <x:c r="C39" s="116" t="str">
        <x:v>https://www.ihr-rehadienst.com/</x:v>
      </x:c>
      <x:c r="D39" s="116" t="str">
        <x:v>LTA; Jobvermittlung; Arbeitsplatzanpassung</x:v>
      </x:c>
      <x:c r="E39" s="116" t="str">
        <x:v>2026-08-30</x:v>
      </x:c>
    </x:row>
    <x:row r="40">
      <x:c r="A40" s="116" t="str">
        <x:v>ReIntra</x:v>
      </x:c>
      <x:c r="B40" s="116" t="str">
        <x:v>Primärquelle</x:v>
      </x:c>
      <x:c r="C40" s="116" t="str">
        <x:v>https://www.reintra.com/</x:v>
      </x:c>
      <x:c r="D40" s="116" t="str">
        <x:v>Reha-Management; berufliche Integration</x:v>
      </x:c>
      <x:c r="E40" s="116" t="str">
        <x:v>2026-08-30</x:v>
      </x:c>
    </x:row>
    <x:row r="41">
      <x:c r="A41" s="116" t="str">
        <x:v>Donner + Partner</x:v>
      </x:c>
      <x:c r="B41" s="116" t="str">
        <x:v>Primärquelle</x:v>
      </x:c>
      <x:c r="C41" s="116" t="str">
        <x:v>https://www.donner-partner.de/</x:v>
      </x:c>
      <x:c r="D41" s="116" t="str">
        <x:v>Karlsruhe/Heilbronn/Tauberbischofsheim/Wertheim/Ingelheim; RIA/Integration</x:v>
      </x:c>
      <x:c r="E41" s="116" t="str">
        <x:v>2026-08-30</x:v>
      </x:c>
    </x:row>
    <x:row r="42">
      <x:c r="A42" s="116" t="str">
        <x:v>WOT Work Opportunities Trainings</x:v>
      </x:c>
      <x:c r="B42" s="116" t="str">
        <x:v>Primärquelle</x:v>
      </x:c>
      <x:c r="C42" s="116" t="str">
        <x:v>https://www.wot-trainings.com/</x:v>
      </x:c>
      <x:c r="D42" s="116" t="str">
        <x:v>Ludwigshafen/Mannheim; AVGS/Jobcoaching</x:v>
      </x:c>
      <x:c r="E42" s="116" t="str">
        <x:v>2026-08-30</x:v>
      </x:c>
    </x:row>
    <x:row r="43">
      <x:c r="A43" s="116" t="str">
        <x:v>CBE Rhein-Neckar</x:v>
      </x:c>
      <x:c r="B43" s="116" t="str">
        <x:v>Primärquelle</x:v>
      </x:c>
      <x:c r="C43" s="116" t="str">
        <x:v>https://www.cberheinneckar.de/</x:v>
      </x:c>
      <x:c r="D43" s="116" t="str">
        <x:v>Private Arbeitsvermittlung/AVGS; Leimen</x:v>
      </x:c>
      <x:c r="E43" s="116" t="str">
        <x:v>2026-08-30</x:v>
      </x:c>
    </x:row>
    <x:row r="44">
      <x:c r="A44" s="116" t="str">
        <x:v>INQUA Institut</x:v>
      </x:c>
      <x:c r="B44" s="116" t="str">
        <x:v>Primärquelle</x:v>
      </x:c>
      <x:c r="C44" s="116" t="str">
        <x:v>https://www.inqua-institut.de/</x:v>
      </x:c>
      <x:c r="D44" s="116" t="str">
        <x:v>Mannheim-/Online-Karrierecoaching; AVGS</x:v>
      </x:c>
      <x:c r="E44" s="116" t="str">
        <x:v>2026-08-30</x:v>
      </x:c>
    </x:row>
    <x:row r="45">
      <x:c r="A45" s="116" t="str">
        <x:v>JobCoaching Jetzt!</x:v>
      </x:c>
      <x:c r="B45" s="116" t="str">
        <x:v>Primärquelle</x:v>
      </x:c>
      <x:c r="C45" s="116" t="str">
        <x:v>https://www.jobcoaching-jetzt.de/</x:v>
      </x:c>
      <x:c r="D45" s="116" t="str">
        <x:v>Reha-Coaching / AVGS</x:v>
      </x:c>
      <x:c r="E45" s="116" t="str">
        <x:v>2026-08-30</x:v>
      </x:c>
    </x:row>
    <x:row r="46">
      <x:c r="A46" s="116" t="str">
        <x:v>AWO Mannheim Arbeitsvermittlung</x:v>
      </x:c>
      <x:c r="B46" s="116" t="str">
        <x:v>Altbestand + Primärquelle</x:v>
      </x:c>
      <x:c r="C46" s="116" t="str">
        <x:v>https://www.awo-mannheim.de/arbeitsvermittlung</x:v>
      </x:c>
      <x:c r="D46" s="116" t="str">
        <x:v>Bestandserhalt Arbeitsvermittlung</x:v>
      </x:c>
      <x:c r="E46" s="116" t="str">
        <x:v>2026-08-30</x:v>
      </x:c>
    </x:row>
    <x:row r="47">
      <x:c r="A47" s="116" t="str">
        <x:v>IFA Mannheim</x:v>
      </x:c>
      <x:c r="B47" s="116" t="str">
        <x:v>Altbestand + Primärquelle</x:v>
      </x:c>
      <x:c r="C47" s="116" t="str">
        <x:v>https://ifa-arbeit.de/</x:v>
      </x:c>
      <x:c r="D47" s="116" t="str">
        <x:v>Bestandserhalt private Arbeitsvermittlung</x:v>
      </x:c>
      <x:c r="E47" s="116" t="str">
        <x:v>2026-08-30</x:v>
      </x:c>
    </x:row>
    <x:row r="48">
      <x:c r="A48" s="116" t="str">
        <x:v>IFD Heidelberg-Mosbach</x:v>
      </x:c>
      <x:c r="B48" s="116" t="str">
        <x:v>Altbestand + Primärquelle</x:v>
      </x:c>
      <x:c r="C48" s="116" t="str">
        <x:v>https://www.ifd-bw.de/ansprechpartner-vor-ort/integrationsfachdienste/heidelberg-mosbach/</x:v>
      </x:c>
      <x:c r="D48" s="116" t="str">
        <x:v>SGB-IX-Netzwerk / Arbeitsintegration</x:v>
      </x:c>
      <x:c r="E48" s="116" t="str">
        <x:v>2026-08-30</x:v>
      </x:c>
    </x:row>
    <x:row r="49">
      <x:c r="A49" s="116" t="str">
        <x:v>Agentur für Arbeit Heidelberg</x:v>
      </x:c>
      <x:c r="B49" s="116" t="str">
        <x:v>Primärquelle</x:v>
      </x:c>
      <x:c r="C49" s="116" t="str">
        <x:v>https://www.arbeitsagentur.de/vor-ort/heidelberg</x:v>
      </x:c>
      <x:c r="D49" s="116" t="str">
        <x:v>Reha-Ansprechstelle / Netzwerk</x:v>
      </x:c>
      <x:c r="E49" s="116" t="str">
        <x:v>2026-08-30</x:v>
      </x:c>
    </x:row>
    <x:row r="50">
      <x:c r="A50" s="116" t="str">
        <x:v>Agentur für Arbeit Mainz</x:v>
      </x:c>
      <x:c r="B50" s="116" t="str">
        <x:v>Primärquelle</x:v>
      </x:c>
      <x:c r="C50" s="116" t="str">
        <x:v>https://www.arbeitsagentur.de/vor-ort/mainz/ihrejobsuche</x:v>
      </x:c>
      <x:c r="D50" s="116" t="str">
        <x:v>Reha-Team / Arbeitsvermittlung</x:v>
      </x:c>
      <x:c r="E50" s="116" t="str">
        <x:v>2026-08-30</x:v>
      </x:c>
    </x:row>
    <x:row r="51">
      <x:c r="A51" s="116" t="str">
        <x:v>Agentur für Arbeit Darmstadt</x:v>
      </x:c>
      <x:c r="B51" s="116" t="str">
        <x:v>Primärquelle</x:v>
      </x:c>
      <x:c r="C51" s="116" t="str">
        <x:v>https://www.arbeitsagentur.de/vor-ort/darmstadt/rehasb</x:v>
      </x:c>
      <x:c r="D51" s="116" t="str">
        <x:v>Reha-/SB-Arbeitsvermittlung</x:v>
      </x:c>
      <x:c r="E51" s="116" t="str">
        <x:v>2026-08-30</x:v>
      </x:c>
    </x:row>
    <x:row r="52">
      <x:c r="A52" s="116" t="str">
        <x:v>JobBG Heidelberg/Mainz</x:v>
      </x:c>
      <x:c r="B52" s="116" t="str">
        <x:v>Altbestand / Prüfstatus</x:v>
      </x:c>
      <x:c r="C52" s="116" t="str">
        <x:v>http://www.jobbg.de</x:v>
      </x:c>
      <x:c r="D52" s="116" t="str">
        <x:v>Historische BG-Arbeitsvermittlung; aktuelle regionale Struktur offen</x:v>
      </x:c>
      <x:c r="E52" s="116" t="str">
        <x:v>2026-08-30</x:v>
      </x:c>
    </x:row>
    <x:row r="53">
      <x:c r="A53" s="116" t="str">
        <x:v>Fuß-Check GmbH</x:v>
      </x:c>
      <x:c r="B53" s="116" t="str">
        <x:v>Primärquelle</x:v>
      </x:c>
      <x:c r="C53" s="116" t="str">
        <x:v>https://www.fuss-check.de/</x:v>
      </x:c>
      <x:c r="D53" s="116" t="str">
        <x:v>Saarlouis; orthopädische Fuß-/Sicherheitsschuhversorgung</x:v>
      </x:c>
      <x:c r="E53" s="116" t="str">
        <x:v>2026-08-30</x:v>
      </x:c>
    </x:row>
    <x:row r="54">
      <x:c r="A54" s="116" t="str">
        <x:v>Arbeitsmedizin Speyer – Stephanie Grabs</x:v>
      </x:c>
      <x:c r="B54" s="116" t="str">
        <x:v>Primärquelle</x:v>
      </x:c>
      <x:c r="C54" s="116" t="str">
        <x:v>https://bsafb.de/betriebsaerzte/dr-med-stephanie-grabs/; https://www.aek-pfalz.de/assets/downloads/Li_betriebsarzt.pdf</x:v>
      </x:c>
      <x:c r="D54" s="116" t="str">
        <x:v>Namens-, Adress-, Hauskoordinaten- und Regionsprüfung; Arbeitsmedizin</x:v>
      </x:c>
      <x:c r="E54" s="116" t="str">
        <x:v>2026-09-01</x:v>
      </x:c>
    </x:row>
    <x:row r="55">
      <x:c r="A55" s="116" t="str">
        <x:v>ZNS Mannheim</x:v>
      </x:c>
      <x:c r="B55" s="116" t="str">
        <x:v>Primärquelle</x:v>
      </x:c>
      <x:c r="C55" s="116" t="str">
        <x:v>https://www.zns-mannheim.de/</x:v>
      </x:c>
      <x:c r="D55" s="116" t="str">
        <x:v>größere Neuro-Psych-Praxis Mannheim</x:v>
      </x:c>
      <x:c r="E55" s="116" t="str">
        <x:v>2026-08-30</x:v>
      </x:c>
    </x:row>
    <x:row r="56">
      <x:c r="A56" s="116" t="str">
        <x:v>PiPP Heidelberg</x:v>
      </x:c>
      <x:c r="B56" s="116" t="str">
        <x:v>Primärquelle</x:v>
      </x:c>
      <x:c r="C56" s="116" t="str">
        <x:v>https://www.pipp-heidelberg.de/</x:v>
      </x:c>
      <x:c r="D56" s="116" t="str">
        <x:v>Neuro/Psych/Psychotherapie Heidelberg</x:v>
      </x:c>
      <x:c r="E56" s="116" t="str">
        <x:v>2026-08-30</x:v>
      </x:c>
    </x:row>
    <x:row r="57">
      <x:c r="A57" s="116" t="str">
        <x:v>Praxis Denzel &amp; Ehrmann Heilbronn</x:v>
      </x:c>
      <x:c r="B57" s="116" t="str">
        <x:v>Primärquelle</x:v>
      </x:c>
      <x:c r="C57" s="116" t="str">
        <x:v>https://www.neurologie-heilbronn.de/</x:v>
      </x:c>
      <x:c r="D57" s="116" t="str">
        <x:v>Neuro/Psych Heilbronn</x:v>
      </x:c>
      <x:c r="E57" s="116" t="str">
        <x:v>2026-08-30</x:v>
      </x:c>
    </x:row>
    <x:row r="58">
      <x:c r="A58" s="116" t="str">
        <x:v>Praxis Dr. Stefan Unglaub Frankfurt</x:v>
      </x:c>
      <x:c r="B58" s="116" t="str">
        <x:v>Primärquelle</x:v>
      </x:c>
      <x:c r="C58" s="116" t="str">
        <x:v>https://www.neurologie-frankfurt.de/</x:v>
      </x:c>
      <x:c r="D58" s="116" t="str">
        <x:v>größere Neuro/Psych-Praxis Rhein-Main</x:v>
      </x:c>
      <x:c r="E58" s="116" t="str">
        <x:v>2026-08-30</x:v>
      </x:c>
    </x:row>
    <x:row r="59" ht="38" customHeight="1">
      <x:c r="A59" s="349" t="str">
        <x:v>HP Velotechnik – Reha/Therapie &amp; Einhandbedienung</x:v>
      </x:c>
      <x:c r="B59" s="349" t="str">
        <x:v>Primärquelle</x:v>
      </x:c>
      <x:c r="C59" s="349" t="str">
        <x:v>https://www.hpvelotechnik.com/de/liegeraeder-trikes/liegerad-zubehoer/reha-und-therapie-medizinische-hilfsmittel-und-zubehoer-fuer-besondere-beduerfnisse/</x:v>
      </x:c>
      <x:c r="D59" s="349" t="str">
        <x:v>Einhandbedienung, Reha-Zubehör, Spezialrad-Eignung</x:v>
      </x:c>
      <x:c r="E59" s="349" t="str">
        <x:v>2026-08-31</x:v>
      </x:c>
    </x:row>
    <x:row r="60" ht="38" customHeight="1">
      <x:c r="A60" s="349" t="str">
        <x:v>HEIM Dreiradzentrum Neckaralb</x:v>
      </x:c>
      <x:c r="B60" s="349" t="str">
        <x:v>Primärquelle</x:v>
      </x:c>
      <x:c r="C60" s="349" t="str">
        <x:v>https://dreiradcenter.de/</x:v>
      </x:c>
      <x:c r="D60" s="349" t="str">
        <x:v>Spezialräder, individuelle Anpassungen, Umbauten, Werkstatt</x:v>
      </x:c>
      <x:c r="E60" s="349" t="str">
        <x:v>2026-08-31</x:v>
      </x:c>
    </x:row>
    <x:row r="61" ht="38" customHeight="1">
      <x:c r="A61" s="349" t="str">
        <x:v>Alb-Store</x:v>
      </x:c>
      <x:c r="B61" s="349" t="str">
        <x:v>Primärquelle</x:v>
      </x:c>
      <x:c r="C61" s="349" t="str">
        <x:v>https://www.alb-store.de/produkte/</x:v>
      </x:c>
      <x:c r="D61" s="349" t="str">
        <x:v>Dreirad, Therapierad, Handbike/Rollstuhl-Zubehör</x:v>
      </x:c>
      <x:c r="E61" s="349" t="str">
        <x:v>2026-08-31</x:v>
      </x:c>
    </x:row>
    <x:row r="62" ht="38" customHeight="1">
      <x:c r="A62" s="349" t="str">
        <x:v>Dreirad-Zentrum Heidelberg</x:v>
      </x:c>
      <x:c r="B62" s="349" t="str">
        <x:v>Primärquelle</x:v>
      </x:c>
      <x:c r="C62" s="349" t="str">
        <x:v>https://dreirad-zentrum.de/heidelberg/</x:v>
      </x:c>
      <x:c r="D62" s="349" t="str">
        <x:v>Standort, Kontakt, Dreiradberatung und Service</x:v>
      </x:c>
      <x:c r="E62" s="349" t="str">
        <x:v>2026-08-31</x:v>
      </x:c>
    </x:row>
    <x:row r="63" ht="38" customHeight="1">
      <x:c r="A63" s="349" t="str">
        <x:v>Dreirad-Zentrum Landau</x:v>
      </x:c>
      <x:c r="B63" s="349" t="str">
        <x:v>Primärquelle</x:v>
      </x:c>
      <x:c r="C63" s="349" t="str">
        <x:v>https://dreirad-zentrum.de/landau/</x:v>
      </x:c>
      <x:c r="D63" s="349" t="str">
        <x:v>Standort, Handicap-/Dreiradberatung, Service</x:v>
      </x:c>
      <x:c r="E63" s="349" t="str">
        <x:v>2026-08-31</x:v>
      </x:c>
    </x:row>
    <x:row r="64" ht="38" customHeight="1">
      <x:c r="A64" s="349" t="str">
        <x:v>Dreirad-Zentrum Karlsruhe</x:v>
      </x:c>
      <x:c r="B64" s="349" t="str">
        <x:v>Primärquelle</x:v>
      </x:c>
      <x:c r="C64" s="349" t="str">
        <x:v>https://dreirad-zentrum.de/karlsruhe/</x:v>
      </x:c>
      <x:c r="D64" s="349" t="str">
        <x:v>Standort Rheinstetten, Kontakt, Dreiradberatung</x:v>
      </x:c>
      <x:c r="E64" s="349" t="str">
        <x:v>2026-08-31</x:v>
      </x:c>
    </x:row>
    <x:row r="65" ht="38" customHeight="1">
      <x:c r="A65" s="349" t="str">
        <x:v>Dreirad-Zentrum Heilbronn</x:v>
      </x:c>
      <x:c r="B65" s="349" t="str">
        <x:v>Primärquelle</x:v>
      </x:c>
      <x:c r="C65" s="349" t="str">
        <x:v>https://dreirad-zentrum.de/heilbronn/</x:v>
      </x:c>
      <x:c r="D65" s="349" t="str">
        <x:v>Standort Neckarsulm, Kontakt, Werkstatt</x:v>
      </x:c>
      <x:c r="E65" s="349" t="str">
        <x:v>2026-08-31</x:v>
      </x:c>
    </x:row>
    <x:row r="66" ht="38" customHeight="1">
      <x:c r="A66" s="349" t="str">
        <x:v>Dreirad-Zentrum Frankfurt</x:v>
      </x:c>
      <x:c r="B66" s="349" t="str">
        <x:v>Primärquelle</x:v>
      </x:c>
      <x:c r="C66" s="349" t="str">
        <x:v>https://dreirad-zentrum.de/frankfurt/</x:v>
      </x:c>
      <x:c r="D66" s="349" t="str">
        <x:v>Standort, Kontakt, Service</x:v>
      </x:c>
      <x:c r="E66" s="349" t="str">
        <x:v>2026-08-31</x:v>
      </x:c>
    </x:row>
    <x:row r="67" ht="38" customHeight="1">
      <x:c r="A67" s="349" t="str">
        <x:v>PRO ACTIV Reha-Technik</x:v>
      </x:c>
      <x:c r="B67" s="349" t="str">
        <x:v>Primärquelle</x:v>
      </x:c>
      <x:c r="C67" s="349" t="str">
        <x:v>https://www.proactiv-gmbh.de/</x:v>
      </x:c>
      <x:c r="D67" s="349" t="str">
        <x:v>Handbike, Adaptivbike, Rollstuhl-Zuggeräte, Individualisierung</x:v>
      </x:c>
      <x:c r="E67" s="349" t="str">
        <x:v>2026-08-31</x:v>
      </x:c>
    </x:row>
    <x:row r="68" ht="38" customHeight="1">
      <x:c r="A68" s="349" t="str">
        <x:v>HASE BIKES – Einhandbedienung</x:v>
      </x:c>
      <x:c r="B68" s="349" t="str">
        <x:v>Primärquelle</x:v>
      </x:c>
      <x:c r="C68" s="349" t="str">
        <x:v>https://www.hasebikes.com/service/faq</x:v>
      </x:c>
      <x:c r="D68" s="349" t="str">
        <x:v>Arm-/Handausfall, Amputation, Einhandbedienung</x:v>
      </x:c>
      <x:c r="E68" s="349" t="str">
        <x:v>2026-08-31</x:v>
      </x:c>
    </x:row>
    <x:row r="69" ht="38" customHeight="1">
      <x:c r="A69" s="350" t="str">
        <x:v>Rabe Lifte</x:v>
      </x:c>
      <x:c r="B69" s="350" t="str">
        <x:v>Primärquelle</x:v>
      </x:c>
      <x:c r="C69" s="350" t="str">
        <x:v>https://www.rabe-lifte.de/</x:v>
      </x:c>
      <x:c r="D69" s="350" t="str">
        <x:v>Treppen-, Plattform- und Hublifte; Beratung/Installation/Service</x:v>
      </x:c>
      <x:c r="E69" s="350" t="str">
        <x:v>2026-08-31</x:v>
      </x:c>
    </x:row>
    <x:row r="70" ht="38" customHeight="1">
      <x:c r="A70" s="350" t="str">
        <x:v>Rüdiger Schmitt Treppenlifte</x:v>
      </x:c>
      <x:c r="B70" s="350" t="str">
        <x:v>Primärquelle</x:v>
      </x:c>
      <x:c r="C70" s="350" t="str">
        <x:v>https://www.rs-treppenlifte.de/</x:v>
      </x:c>
      <x:c r="D70" s="350" t="str">
        <x:v>Planung, Montage, Service, Sitz-/Hub-/Senkrechtlift</x:v>
      </x:c>
      <x:c r="E70" s="350" t="str">
        <x:v>2026-08-31</x:v>
      </x:c>
    </x:row>
    <x:row r="71" ht="38" customHeight="1">
      <x:c r="A71" s="350" t="str">
        <x:v>STUFENLOS Karlsruhe</x:v>
      </x:c>
      <x:c r="B71" s="350" t="str">
        <x:v>Primärquelle</x:v>
      </x:c>
      <x:c r="C71" s="350" t="str">
        <x:v>https://www.stufen-los.de/</x:v>
      </x:c>
      <x:c r="D71" s="350" t="str">
        <x:v>Treppen-, Rollstuhl-/Plattform-, Hublifte, Homelift/Kleinaufzug; Montage/Service</x:v>
      </x:c>
      <x:c r="E71" s="350" t="str">
        <x:v>2026-08-31</x:v>
      </x:c>
    </x:row>
    <x:row r="72" ht="38" customHeight="1">
      <x:c r="A72" s="350" t="str">
        <x:v>CAMA Lift</x:v>
      </x:c>
      <x:c r="B72" s="350" t="str">
        <x:v>Primärquelle</x:v>
      </x:c>
      <x:c r="C72" s="350" t="str">
        <x:v>https://www.cama.de/</x:v>
      </x:c>
      <x:c r="D72" s="350" t="str">
        <x:v>Aufzug, Homelift, Plattform-/Treppenlift, Hubbühne; Planung/Montage/Service</x:v>
      </x:c>
      <x:c r="E72" s="350" t="str">
        <x:v>2026-08-31</x:v>
      </x:c>
    </x:row>
    <x:row r="73" ht="38" customHeight="1">
      <x:c r="A73" s="350" t="str">
        <x:v>Lift Technik Franken</x:v>
      </x:c>
      <x:c r="B73" s="350" t="str">
        <x:v>Primärquelle</x:v>
      </x:c>
      <x:c r="C73" s="350" t="str">
        <x:v>https://lifttechnik-franken.de/</x:v>
      </x:c>
      <x:c r="D73" s="350" t="str">
        <x:v>Treppen-/Sitz-, Hub-, Rollstuhl-, Plattform-/Vertikal- und Senkrechtlifte; Montage/Wartung/Reparatur</x:v>
      </x:c>
      <x:c r="E73" s="350" t="str">
        <x:v>2026-08-31</x:v>
      </x:c>
    </x:row>
    <x:row r="74" ht="38" customHeight="1">
      <x:c r="A74" s="350" t="str">
        <x:v>Rüdiger Schmitt – Betriebsstatus Prüfhinweis</x:v>
      </x:c>
      <x:c r="B74" s="350" t="str">
        <x:v>Prüfquelle</x:v>
      </x:c>
      <x:c r="C74" s="350" t="str">
        <x:v>https://openregister.de/company/DE-HRB-B1601-716093</x:v>
      </x:c>
      <x:c r="D74" s="350" t="str">
        <x:v>Zusätzliche Statusprüfung vor Aktivschaltung/Beauftragung</x:v>
      </x:c>
      <x:c r="E74" s="350" t="str">
        <x:v>2026-08-31</x:v>
      </x:c>
    </x:row>
  </x:sheetData>
  <x:mergeCells>
    <x:mergeCell ref="A1:E1"/>
  </x:mergeCells>
  <x:pageMargins left="0.7" right="0.7" top="0.75" bottom="0.75" header="0.3" footer="0.3"/>
  <x:tableParts count="1">
    <x:tablePart xmlns:r="http://schemas.openxmlformats.org/officeDocument/2006/relationships" r:id="Rccd7643ebaa14cef"/>
  </x:tableParts>
</x:worksheet>
</file>

<file path=xl/worksheets/sheet37.xml><?xml version="1.0" encoding="utf-8"?>
<x:worksheet xmlns:x="http://schemas.openxmlformats.org/spreadsheetml/2006/main">
  <x:sheetFormatPr defaultRowHeight="15"/>
  <x:cols>
    <x:col min="1" max="1" width="34" hidden="0" customWidth="1"/>
    <x:col min="2" max="2" width="22" hidden="0" customWidth="1"/>
    <x:col min="3" max="3" width="4" hidden="0" customWidth="1"/>
    <x:col min="4" max="4" width="30" hidden="0" customWidth="1"/>
    <x:col min="5" max="5" width="18" hidden="0" customWidth="1"/>
    <x:col min="6" max="6" width="48" hidden="0" customWidth="1"/>
    <x:col min="7" max="7" width="24" hidden="0" customWidth="1"/>
    <x:col min="8" max="8" width="32" hidden="0" customWidth="1"/>
  </x:cols>
  <x:sheetData>
    <x:row r="1">
      <x:c r="A1" s="293" t="str">
        <x:v>BG-RehaManager Südwest – 100-%-Abschlussprüfung Masterdaten / Karte 4.4.x</x:v>
      </x:c>
      <x:c r="B1" s="293"/>
      <x:c r="C1" s="293"/>
      <x:c r="D1" s="293"/>
      <x:c r="E1" s="293"/>
      <x:c r="F1" s="293"/>
      <x:c r="G1" s="293"/>
      <x:c r="H1" s="293"/>
    </x:row>
    <x:row r="2">
      <x:c r="A2" s="294" t="str">
        <x:v>Fachlicher Master ist einschließlich Schlussrunde vom 31.08.2026 abgeschlossen; offen bleiben überwiegend numerische Kartenpunkte, der technische Merge in die Web-App und einzelne ausdrücklich markierte Statusprüfungen.</x:v>
      </x:c>
      <x:c r="B2" s="294"/>
      <x:c r="C2" s="294"/>
      <x:c r="D2" s="294"/>
      <x:c r="E2" s="294"/>
      <x:c r="F2" s="294"/>
      <x:c r="G2" s="294"/>
      <x:c r="H2" s="294"/>
    </x:row>
    <x:row r="3">
      <x:c r="A3" s="295"/>
      <x:c r="B3" s="295"/>
      <x:c r="C3" s="295"/>
      <x:c r="D3" s="295"/>
      <x:c r="E3" s="295"/>
      <x:c r="F3" s="295"/>
      <x:c r="G3" s="295"/>
      <x:c r="H3" s="295"/>
    </x:row>
    <x:row r="4">
      <x:c r="A4" s="298" t="str">
        <x:v>Prüfkennzahl</x:v>
      </x:c>
      <x:c r="B4" s="298" t="str">
        <x:v>Ergebnis</x:v>
      </x:c>
      <x:c r="C4" s="298"/>
      <x:c r="D4" s="298" t="str">
        <x:v>Prüfbereich</x:v>
      </x:c>
      <x:c r="E4" s="298" t="str">
        <x:v>Status</x:v>
      </x:c>
      <x:c r="F4" s="298" t="str">
        <x:v>Was noch zu tun ist</x:v>
      </x:c>
      <x:c r="G4" s="298" t="str">
        <x:v>Blockiert Masterabschluss?</x:v>
      </x:c>
      <x:c r="H4" s="298" t="str">
        <x:v>Empfehlung</x:v>
      </x:c>
    </x:row>
    <x:row r="5">
      <x:c r="A5" s="299" t="str">
        <x:v>Letzter greifbarer Produktivstand</x:v>
      </x:c>
      <x:c r="B5" s="299" t="str">
        <x:v>4.3 · 25.08.2026</x:v>
      </x:c>
      <x:c r="C5" s="299"/>
      <x:c r="D5" s="299" t="str">
        <x:v>Fachliche Anbieterabdeckung</x:v>
      </x:c>
      <x:c r="E5" s="299" t="str">
        <x:v>GRÜN</x:v>
      </x:c>
      <x:c r="F5" s="299" t="str">
        <x:v>Keine weitere allgemeine Anbieterrecherche</x:v>
      </x:c>
      <x:c r="G5" s="299" t="str">
        <x:v>Nein</x:v>
      </x:c>
      <x:c r="H5" s="299" t="str">
        <x:v>Bestand einfrieren</x:v>
      </x:c>
    </x:row>
    <x:row r="6">
      <x:c r="A6" s="299" t="str">
        <x:v>Einrichtungen im Produktivstand</x:v>
      </x:c>
      <x:c r="B6" s="299" t="n">
        <x:v>426</x:v>
      </x:c>
      <x:c r="C6" s="299"/>
      <x:c r="D6" s="299" t="str">
        <x:v>Altbestand / Merge</x:v>
      </x:c>
      <x:c r="E6" s="299" t="str">
        <x:v>GELB</x:v>
      </x:c>
      <x:c r="F6" s="299" t="str">
        <x:v>4.4.x gegen Web-App importieren; Bestandsupdates nicht als Dubletten anlegen</x:v>
      </x:c>
      <x:c r="G6" s="299" t="str">
        <x:v>Nein</x:v>
      </x:c>
      <x:c r="H6" s="299" t="str">
        <x:v>Merge + Stichprobe</x:v>
      </x:c>
    </x:row>
    <x:row r="7">
      <x:c r="A7" s="299" t="str">
        <x:v>davon mit Lat/Lon</x:v>
      </x:c>
      <x:c r="B7" s="299" t="n">
        <x:v>418</x:v>
      </x:c>
      <x:c r="C7" s="299"/>
      <x:c r="D7" s="299" t="str">
        <x:v>Geodaten Produktiv 4.3</x:v>
      </x:c>
      <x:c r="E7" s="299" t="str">
        <x:v>GELB</x:v>
      </x:c>
      <x:c r="F7" s="299" t="str">
        <x:v>8 Referenzadressen ohne Lat/Lon; davon 4 operativ hoch relevant</x:v>
      </x:c>
      <x:c r="G7" s="299" t="str">
        <x:v>Nein</x:v>
      </x:c>
      <x:c r="H7" s="299" t="str">
        <x:v>manuell priorisiert nachziehen</x:v>
      </x:c>
    </x:row>
    <x:row r="8">
      <x:c r="A8" s="299" t="str">
        <x:v>Produktive Referenzadressen ohne Lat/Lon</x:v>
      </x:c>
      <x:c r="B8" s="299" t="n">
        <x:v>8</x:v>
      </x:c>
      <x:c r="C8" s="299"/>
      <x:c r="D8" s="299" t="str">
        <x:v>Geodaten Final 4.4.x</x:v>
      </x:c>
      <x:c r="E8" s="299" t="str">
        <x:v>GELB</x:v>
      </x:c>
      <x:c r="F8" s="299" t="str">
        <x:v>61 neue/ergänzte reale Punkte ohne Lat/Lon</x:v>
      </x:c>
      <x:c r="G8" s="299" t="str">
        <x:v>Nein</x:v>
      </x:c>
      <x:c r="H8" s="299" t="str">
        <x:v>wichtige Punkte manuell, Technikblock gesammelt geokodieren</x:v>
      </x:c>
    </x:row>
    <x:row r="9">
      <x:c r="A9" s="299" t="str">
        <x:v>Finale 4.4.x Import-/Änderungszeilen</x:v>
      </x:c>
      <x:c r="B9" s="299" t="n">
        <x:v>121</x:v>
      </x:c>
      <x:c r="C9" s="299"/>
      <x:c r="D9" s="299" t="str">
        <x:v>Bundesweite Dienste</x:v>
      </x:c>
      <x:c r="E9" s="299" t="str">
        <x:v>GRÜN</x:v>
      </x:c>
      <x:c r="F9" s="299" t="str">
        <x:v>31.08.-Schlussrunde mit 15 Datensätzen in den finalen Import einbeziehen</x:v>
      </x:c>
      <x:c r="G9" s="299" t="str">
        <x:v>Nein</x:v>
      </x:c>
      <x:c r="H9" s="299" t="str">
        <x:v>Servicegebiet statt Entfernung</x:v>
      </x:c>
    </x:row>
    <x:row r="10">
      <x:c r="A10" s="299" t="str">
        <x:v>4.4.x Kartenpunkte ohne belastbare Lat/Lon</x:v>
      </x:c>
      <x:c r="B10" s="299" t="n">
        <x:v>75</x:v>
      </x:c>
      <x:c r="C10" s="299"/>
      <x:c r="D10" s="299" t="str">
        <x:v>BG-Klinik Pflegeberatung</x:v>
      </x:c>
      <x:c r="E10" s="299" t="str">
        <x:v>GRÜN</x:v>
      </x:c>
      <x:c r="F10" s="299" t="str">
        <x:v>61 bisherige + 14 neue reale Punkte ohne Lat/Lon; HASE BIKES bleibt bewusst ohne Regionalpin</x:v>
      </x:c>
      <x:c r="G10" s="299" t="str">
        <x:v>Nein</x:v>
      </x:c>
      <x:c r="H10" s="299" t="str">
        <x:v>Such-/Filtertreffer prüfen</x:v>
      </x:c>
    </x:row>
    <x:row r="11">
      <x:c r="A11" s="299" t="str">
        <x:v>Davon sofort manuell sinnvoll</x:v>
      </x:c>
      <x:c r="B11" s="299" t="n">
        <x:v>34</x:v>
      </x:c>
      <x:c r="C11" s="299"/>
      <x:c r="D11" s="299" t="str">
        <x:v>Ausschlüsse/Kategorien</x:v>
      </x:c>
      <x:c r="E11" s="299" t="str">
        <x:v>GELB</x:v>
      </x:c>
      <x:c r="F11" s="299" t="str">
        <x:v>Bisherige 20 Prioritätspunkte + 14 neue reale Kartenpunkte aus Fahrrad/Lifttechnik</x:v>
      </x:c>
      <x:c r="G11" s="299" t="str">
        <x:v>Nein</x:v>
      </x:c>
      <x:c r="H11" s="299" t="str">
        <x:v>nach Merge visuell prüfen</x:v>
      </x:c>
    </x:row>
    <x:row r="12">
      <x:c r="A12" s="299" t="str">
        <x:v>Fachlicher Analysegrad</x:v>
      </x:c>
      <x:c r="B12" s="299" t="str">
        <x:v>ca. 99 %</x:v>
      </x:c>
      <x:c r="C12" s="299"/>
      <x:c r="D12" s="299" t="str">
        <x:v>UX Filter/Zoom</x:v>
      </x:c>
      <x:c r="E12" s="299" t="str">
        <x:v>GELB</x:v>
      </x:c>
      <x:c r="F12" s="299" t="str">
        <x:v>NeuroCE/Schmerztherapie und Einzeltreffer auf lokalen Bounds testen</x:v>
      </x:c>
      <x:c r="G12" s="299" t="str">
        <x:v>Nein</x:v>
      </x:c>
      <x:c r="H12" s="299" t="str">
        <x:v>3–5 Klicktests</x:v>
      </x:c>
    </x:row>
    <x:row r="13">
      <x:c r="A13" s="299" t="str">
        <x:v>Masterdaten-Freigabe</x:v>
      </x:c>
      <x:c r="B13" s="299" t="str">
        <x:v>FACHLICH ABSCHLUSSFÄHIG</x:v>
      </x:c>
      <x:c r="C13" s="299"/>
      <x:c r="D13" s="299"/>
      <x:c r="E13" s="299"/>
      <x:c r="F13" s="299"/>
      <x:c r="G13" s="299"/>
      <x:c r="H13" s="299"/>
    </x:row>
    <x:row r="14">
      <x:c r="A14" s="299"/>
      <x:c r="B14" s="299"/>
      <x:c r="C14" s="299"/>
      <x:c r="D14" s="299"/>
      <x:c r="E14" s="299"/>
      <x:c r="F14" s="299"/>
      <x:c r="G14" s="299"/>
      <x:c r="H14" s="299"/>
    </x:row>
    <x:row r="15">
      <x:c r="A15" s="299"/>
      <x:c r="B15" s="299"/>
      <x:c r="C15" s="299"/>
      <x:c r="D15" s="299"/>
      <x:c r="E15" s="299"/>
      <x:c r="F15" s="299"/>
      <x:c r="G15" s="299"/>
      <x:c r="H15" s="299"/>
    </x:row>
    <x:row r="16">
      <x:c r="A16" s="299" t="str">
        <x:v>Freigabeentscheidung</x:v>
      </x:c>
      <x:c r="B16" s="299"/>
      <x:c r="C16" s="299"/>
      <x:c r="D16" s="299"/>
      <x:c r="E16" s="299"/>
      <x:c r="F16" s="299"/>
      <x:c r="G16" s="299"/>
      <x:c r="H16" s="299"/>
    </x:row>
    <x:row r="17">
      <x:c r="A17" s="300" t="str">
        <x:v>Nach der fachlichen Vollständigkeitsprüfung und der Schlussrunde Fahrrad-/Spezialradanpassung sowie Lifttechnik ist der Masterdatenbestand 4.4.x freigabefähig. Die verbleibenden Kartenpunkte sind dokumentierte Geodaten-/Statusnacharbeit, keine fachlichen Versorgungslücken.</x:v>
      </x:c>
      <x:c r="B17" s="300"/>
      <x:c r="C17" s="300"/>
      <x:c r="D17" s="300"/>
      <x:c r="E17" s="300"/>
      <x:c r="F17" s="300"/>
      <x:c r="G17" s="300"/>
      <x:c r="H17" s="300"/>
    </x:row>
    <x:row r="18">
      <x:c r="A18" s="300"/>
      <x:c r="B18" s="300"/>
      <x:c r="C18" s="300"/>
      <x:c r="D18" s="300"/>
      <x:c r="E18" s="300"/>
      <x:c r="F18" s="300"/>
      <x:c r="G18" s="300"/>
      <x:c r="H18" s="300"/>
    </x:row>
    <x:row r="19">
      <x:c r="A19" s="300"/>
      <x:c r="B19" s="300"/>
      <x:c r="C19" s="300"/>
      <x:c r="D19" s="300"/>
      <x:c r="E19" s="300"/>
      <x:c r="F19" s="300"/>
      <x:c r="G19" s="300"/>
      <x:c r="H19" s="300"/>
    </x:row>
    <x:row r="20">
      <x:c r="A20" s="300"/>
      <x:c r="B20" s="300"/>
      <x:c r="C20" s="300"/>
      <x:c r="D20" s="300"/>
      <x:c r="E20" s="300"/>
      <x:c r="F20" s="300"/>
      <x:c r="G20" s="300"/>
      <x:c r="H20" s="300"/>
    </x:row>
    <x:row r="22">
      <x:c r="A22" s="311" t="str">
        <x:v>Farblegende für die manuelle Kartenbearbeitung</x:v>
      </x:c>
      <x:c r="B22" s="311"/>
      <x:c r="C22" s="311"/>
      <x:c r="D22" s="311"/>
      <x:c r="E22" s="311"/>
      <x:c r="F22" s="311"/>
      <x:c r="G22" s="311"/>
      <x:c r="H22" s="311"/>
    </x:row>
    <x:row r="23">
      <x:c r="A23" s="313" t="str">
        <x:v>ROT</x:v>
      </x:c>
      <x:c r="B23" s="313" t="str">
        <x:v>Sofort manuell korrigieren / austauschen</x:v>
      </x:c>
      <x:c r="D23" s="321" t="str">
        <x:v>Praktisch heißt das: Erst Rot abarbeiten, dann Orange, dann Gelb testen. Danach ist der Masterbestand aus meiner Sicht abgeschlossen.</x:v>
      </x:c>
      <x:c r="E23" s="321"/>
      <x:c r="F23" s="321"/>
      <x:c r="G23" s="321"/>
      <x:c r="H23" s="321"/>
    </x:row>
    <x:row r="24">
      <x:c r="A24" s="315" t="str">
        <x:v>ORANGE</x:v>
      </x:c>
      <x:c r="B24" s="315" t="str">
        <x:v>Manuell geokodieren / Pin prüfen / Hauspunkt setzen</x:v>
      </x:c>
      <x:c r="D24" s="321"/>
      <x:c r="E24" s="321"/>
      <x:c r="F24" s="321"/>
      <x:c r="G24" s="321"/>
      <x:c r="H24" s="321"/>
    </x:row>
    <x:row r="25">
      <x:c r="A25" s="317" t="str">
        <x:v>GELB</x:v>
      </x:c>
      <x:c r="B25" s="317" t="str">
        <x:v>Funktionsprüfung / UX-Test / mittlere Priorität</x:v>
      </x:c>
      <x:c r="D25" s="321"/>
      <x:c r="E25" s="321"/>
      <x:c r="F25" s="321"/>
      <x:c r="G25" s="321"/>
      <x:c r="H25" s="321"/>
    </x:row>
    <x:row r="26">
      <x:c r="A26" s="319" t="str">
        <x:v>GRÜN</x:v>
      </x:c>
      <x:c r="B26" s="319" t="str">
        <x:v>Fachlich abgeschlossen – keine weitere Recherche</x:v>
      </x:c>
      <x:c r="D26" s="321"/>
      <x:c r="E26" s="321"/>
      <x:c r="F26" s="321"/>
      <x:c r="G26" s="321"/>
      <x:c r="H26" s="321"/>
    </x:row>
  </x:sheetData>
  <x:mergeCells>
    <x:mergeCell ref="A1:H1"/>
    <x:mergeCell ref="A2:H2"/>
    <x:mergeCell ref="A16:H16"/>
    <x:mergeCell ref="A17:H20"/>
    <x:mergeCell ref="A22:H22"/>
    <x:mergeCell ref="D23:H26"/>
  </x:mergeCells>
  <x:conditionalFormatting sqref="E5:E12">
    <x:cfRule type="expression" dxfId="33" priority="1">
      <x:formula>E5="GRÜN"</x:formula>
    </x:cfRule>
    <x:cfRule type="expression" dxfId="34" priority="2">
      <x:formula>E5="GELB"</x:formula>
    </x:cfRule>
  </x:conditionalFormatting>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12" hidden="0" customWidth="1"/>
    <x:col min="3" max="3" width="38" hidden="0" customWidth="1"/>
    <x:col min="4" max="4" width="30" hidden="0" customWidth="1"/>
    <x:col min="5" max="5" width="40" hidden="0" customWidth="1"/>
    <x:col min="6" max="6" width="22" hidden="0" customWidth="1"/>
    <x:col min="7" max="7" width="44" hidden="0" customWidth="1"/>
    <x:col min="8" max="8" width="40" hidden="0" customWidth="1"/>
    <x:col min="9" max="9" width="55" hidden="0" customWidth="1"/>
    <x:col min="10" max="10" width="48" hidden="0" customWidth="1"/>
    <x:col min="11" max="11" width="16" hidden="0" customWidth="1"/>
    <x:col min="12" max="12" width="12" hidden="0" customWidth="1"/>
    <x:col min="13" max="13" width="32" hidden="0" customWidth="1"/>
  </x:cols>
  <x:sheetData>
    <x:row r="1">
      <x:c r="A1" s="341" t="str">
        <x:v>Manuelle Kartenprüfung – farblich markierte Restliste 4.4.x</x:v>
      </x:c>
      <x:c r="B1" s="341"/>
      <x:c r="C1" s="341"/>
      <x:c r="D1" s="341"/>
      <x:c r="E1" s="341"/>
      <x:c r="F1" s="341"/>
      <x:c r="G1" s="341"/>
      <x:c r="H1" s="341"/>
      <x:c r="I1" s="341"/>
      <x:c r="J1" s="341"/>
      <x:c r="K1" s="341"/>
      <x:c r="L1" s="341"/>
      <x:c r="M1" s="341"/>
    </x:row>
    <x:row r="2">
      <x:c r="A2" s="334" t="str">
        <x:v>Rot = sofort korrigieren, Orange = jetzt manuell setzen/prüfen, Gelb = Funktionstest oder Sammel-Geocode, Blau = nur Stichprobe.</x:v>
      </x:c>
      <x:c r="B2" s="334"/>
      <x:c r="C2" s="334"/>
      <x:c r="D2" s="334"/>
      <x:c r="E2" s="334"/>
      <x:c r="F2" s="334"/>
      <x:c r="G2" s="334"/>
      <x:c r="H2" s="334"/>
      <x:c r="I2" s="334"/>
      <x:c r="J2" s="334"/>
      <x:c r="K2" s="334"/>
      <x:c r="L2" s="321"/>
      <x:c r="M2" s="321"/>
    </x:row>
    <x:row r="3">
      <x:c r="A3" s="295"/>
      <x:c r="B3" s="295"/>
      <x:c r="C3" s="295"/>
      <x:c r="D3" s="295"/>
      <x:c r="E3" s="295"/>
      <x:c r="F3" s="295"/>
      <x:c r="G3" s="295"/>
      <x:c r="H3" s="295"/>
      <x:c r="I3" s="295"/>
      <x:c r="J3" s="295"/>
      <x:c r="K3" s="295"/>
    </x:row>
    <x:row r="4">
      <x:c r="A4" s="342" t="str">
        <x:v>Quelle/Stand</x:v>
      </x:c>
      <x:c r="B4" s="342" t="str">
        <x:v>Priorität</x:v>
      </x:c>
      <x:c r="C4" s="342" t="str">
        <x:v>Einrichtung</x:v>
      </x:c>
      <x:c r="D4" s="342" t="str">
        <x:v>Bereich/Kategorie</x:v>
      </x:c>
      <x:c r="E4" s="342" t="str">
        <x:v>Adresse</x:v>
      </x:c>
      <x:c r="F4" s="342" t="str">
        <x:v>Ort</x:v>
      </x:c>
      <x:c r="G4" s="342" t="str">
        <x:v>Geo-Status</x:v>
      </x:c>
      <x:c r="H4" s="342" t="str">
        <x:v>Manuelle Aktion</x:v>
      </x:c>
      <x:c r="I4" s="342" t="str">
        <x:v>Hinweis</x:v>
      </x:c>
      <x:c r="J4" s="342" t="str">
        <x:v>Kartenstatus/Quelle</x:v>
      </x:c>
      <x:c r="K4" s="342" t="str">
        <x:v>ID</x:v>
      </x:c>
      <x:c r="L4" s="311" t="str">
        <x:v>Ampel</x:v>
      </x:c>
      <x:c r="M4" s="311" t="str">
        <x:v>Kurzempfehlung</x:v>
      </x:c>
    </x:row>
    <x:row r="5">
      <x:c r="A5" s="378" t="str">
        <x:v>Produktiv 4.3</x:v>
      </x:c>
      <x:c r="B5" s="379" t="str">
        <x:v>HOCH</x:v>
      </x:c>
      <x:c r="C5" s="378" t="str">
        <x:v>Arbeitsmedizin Speyer – Dr. med. Stephanie Grabs</x:v>
      </x:c>
      <x:c r="D5" s="378" t="str">
        <x:v>Arbeitsmedizin</x:v>
      </x:c>
      <x:c r="E5" s="378" t="str">
        <x:v>Eselsdamm 46, 67346 Speyer</x:v>
      </x:c>
      <x:c r="F5" s="378" t="str">
        <x:v>Speyer</x:v>
      </x:c>
      <x:c r="G5" s="378" t="str">
        <x:v>Korrigiert; Hauspunkt geprüft</x:v>
      </x:c>
      <x:c r="H5" s="378" t="str">
        <x:v>ERLEDIGT – produktiv übernommen</x:v>
      </x:c>
      <x:c r="I5" s="378" t="str">
        <x:v>Altstand Krabs/Edelsgraben vollständig ersetzt; Pfalz / Rheinhessen korrekt zugeordnet.</x:v>
      </x:c>
      <x:c r="J5" s="378" t="str">
        <x:v>OpenStreetMap/Nominatim – Hauspunkt 01.09.2026 geprüft</x:v>
      </x:c>
      <x:c r="K5" s="378" t="n">
        <x:v>125</x:v>
      </x:c>
      <x:c r="L5" s="380" t="str">
        <x:v>Grün</x:v>
      </x:c>
      <x:c r="M5" s="381" t="str">
        <x:v>erledigt</x:v>
      </x:c>
    </x:row>
    <x:row r="6">
      <x:c r="A6" s="327" t="str">
        <x:v>Produktiv 4.3</x:v>
      </x:c>
      <x:c r="B6" s="329" t="str">
        <x:v>HOCH</x:v>
      </x:c>
      <x:c r="C6" s="327" t="str">
        <x:v>Reha-Zentrum HESS Pforzheim</x:v>
      </x:c>
      <x:c r="D6" s="327" t="str">
        <x:v>EAP, ABMR, EFL / FCE</x:v>
      </x:c>
      <x:c r="E6" s="327" t="str">
        <x:v>Industriestraße 45 75217 Birkenfeld bei Pforzheim</x:v>
      </x:c>
      <x:c r="F6" s="327" t="str">
        <x:v>Birkenfeld bei Pforzheim</x:v>
      </x:c>
      <x:c r="G6" s="327" t="str">
        <x:v>Referenzadresse ohne Lat/Lon</x:v>
      </x:c>
      <x:c r="H6" s="327" t="str">
        <x:v>Hauspunkt manuell setzen</x:v>
      </x:c>
      <x:c r="I6" s="327" t="str">
        <x:v>Reha-Zentrum HESS ist EAP/ABMR/EFL-relevant; sinnvoller manueller Kartenpunkt.</x:v>
      </x:c>
      <x:c r="J6" s="327" t="str">
        <x:v>OpenStreetMap/Nominatim – Vollprüfung 21.08.2026: keine belastbare adressgenaue Koordinate übernommen; Masterfreigabe Referenzadresse 25.08.2026</x:v>
      </x:c>
      <x:c r="K6" s="327" t="n">
        <x:v>311</x:v>
      </x:c>
      <x:c r="L6" s="315" t="str">
        <x:v>Orange</x:v>
      </x:c>
      <x:c r="M6" s="328" t="str">
        <x:v>jetzt manuell setzen / prüfen</x:v>
      </x:c>
    </x:row>
    <x:row r="7">
      <x:c r="A7" s="327" t="str">
        <x:v>Produktiv 4.3</x:v>
      </x:c>
      <x:c r="B7" s="329" t="str">
        <x:v>HOCH</x:v>
      </x:c>
      <x:c r="C7" s="327" t="str">
        <x:v>MfB-Schuhmann GmbH</x:v>
      </x:c>
      <x:c r="D7" s="327" t="str">
        <x:v>Leistungen zur Teilhabe am Arbeitsleben (LTA), Kfz-Hilfe / Mobilität</x:v>
      </x:c>
      <x:c r="E7" s="327" t="str">
        <x:v>Bahnbrückenstraße 1 76703 Kraichtal</x:v>
      </x:c>
      <x:c r="F7" s="327" t="str">
        <x:v>Kraichtal</x:v>
      </x:c>
      <x:c r="G7" s="327" t="str">
        <x:v>Referenzadresse ohne Lat/Lon</x:v>
      </x:c>
      <x:c r="H7" s="327" t="str">
        <x:v>Hauspunkt manuell setzen</x:v>
      </x:c>
      <x:c r="I7" s="327" t="str">
        <x:v>MfB-Schuhmann ist für LTA/Kfz-Hilfe operativ relevant.</x:v>
      </x:c>
      <x:c r="J7" s="327" t="str">
        <x:v>OpenStreetMap/Nominatim – Vollprüfung 21.08.2026: keine belastbare adressgenaue Koordinate übernommen; Masterfreigabe Referenzadresse 25.08.2026</x:v>
      </x:c>
      <x:c r="K7" s="327" t="n">
        <x:v>322</x:v>
      </x:c>
      <x:c r="L7" s="315" t="str">
        <x:v>Orange</x:v>
      </x:c>
      <x:c r="M7" s="328" t="str">
        <x:v>jetzt manuell setzen / prüfen</x:v>
      </x:c>
    </x:row>
    <x:row r="8">
      <x:c r="A8" s="327" t="str">
        <x:v>Produktiv 4.3</x:v>
      </x:c>
      <x:c r="B8" s="329" t="str">
        <x:v>HOCH</x:v>
      </x:c>
      <x:c r="C8" s="327" t="str">
        <x:v>MEDIAN Reha-Zentrum Wiesbaden-Sonnenberg</x:v>
      </x:c>
      <x:c r="D8" s="327" t="str">
        <x:v>BGSW, Stationäre Reha</x:v>
      </x:c>
      <x:c r="E8" s="327" t="str">
        <x:v>Leibnizstr. 23/25 65191 Wiesbaden</x:v>
      </x:c>
      <x:c r="F8" s="327" t="str">
        <x:v>Wiesbaden</x:v>
      </x:c>
      <x:c r="G8" s="327" t="str">
        <x:v>Referenzadresse ohne Lat/Lon</x:v>
      </x:c>
      <x:c r="H8" s="327" t="str">
        <x:v>Hauspunkt manuell setzen</x:v>
      </x:c>
      <x:c r="I8" s="327" t="str">
        <x:v>BGSW-Standort; für Distanz-/Umkreissuche besonders relevant.</x:v>
      </x:c>
      <x:c r="J8" s="327" t="str">
        <x:v>DGUV Landesverbände – BGSW 100 km um Buchen.pdf; Masterfreigabe Referenzadresse 25.08.2026</x:v>
      </x:c>
      <x:c r="K8" s="327" t="n">
        <x:v>440</x:v>
      </x:c>
      <x:c r="L8" s="315" t="str">
        <x:v>Orange</x:v>
      </x:c>
      <x:c r="M8" s="328" t="str">
        <x:v>jetzt manuell setzen / prüfen</x:v>
      </x:c>
    </x:row>
    <x:row r="9">
      <x:c r="A9" s="331" t="str">
        <x:v>Produktiv 4.3</x:v>
      </x:c>
      <x:c r="B9" s="333" t="str">
        <x:v>MITTEL</x:v>
      </x:c>
      <x:c r="C9" s="331" t="str">
        <x:v>Der Schuhmacher Florian Berger</x:v>
      </x:c>
      <x:c r="D9" s="331" t="str">
        <x:v>Sonstige</x:v>
      </x:c>
      <x:c r="E9" s="331" t="str">
        <x:v>Soironstraße 2 68167 Mannheim</x:v>
      </x:c>
      <x:c r="F9" s="331" t="str">
        <x:v>Mannheim</x:v>
      </x:c>
      <x:c r="G9" s="331" t="str">
        <x:v>Referenzadresse ohne Lat/Lon</x:v>
      </x:c>
      <x:c r="H9" s="331" t="str">
        <x:v>Hauspunkt manuell setzen</x:v>
      </x:c>
      <x:c r="I9" s="331" t="str">
        <x:v>Orthopädieschuhtechnik/Spezialanbieter; nützlich, aber nicht blockierend.</x:v>
      </x:c>
      <x:c r="J9" s="331" t="str">
        <x:v>Cylex/Finde Offen 18.03.2026; numerischer Hauspunkt noch nicht belastbar ermittelt; Masterfreigabe Referenzadresse 25.08.2026</x:v>
      </x:c>
      <x:c r="K9" s="331" t="n">
        <x:v>53</x:v>
      </x:c>
      <x:c r="L9" s="317" t="str">
        <x:v>Gelb</x:v>
      </x:c>
      <x:c r="M9" s="332" t="str">
        <x:v>bei Gelegenheit / im Sammel-Geocode</x:v>
      </x:c>
    </x:row>
    <x:row r="10">
      <x:c r="A10" s="331" t="str">
        <x:v>Produktiv 4.3</x:v>
      </x:c>
      <x:c r="B10" s="333" t="str">
        <x:v>MITTEL</x:v>
      </x:c>
      <x:c r="C10" s="331" t="str">
        <x:v>Dr. med. Gerda Sutthoff</x:v>
      </x:c>
      <x:c r="D10" s="331" t="str">
        <x:v>Psychotherapie DGUV</x:v>
      </x:c>
      <x:c r="E10" s="331" t="str">
        <x:v>Sperrlohestraße 29 97996 Niederstetten</x:v>
      </x:c>
      <x:c r="F10" s="331" t="str">
        <x:v>Niederstetten</x:v>
      </x:c>
      <x:c r="G10" s="331" t="str">
        <x:v>Referenzadresse ohne Lat/Lon</x:v>
      </x:c>
      <x:c r="H10" s="331" t="str">
        <x:v>Hauspunkt manuell setzen</x:v>
      </x:c>
      <x:c r="I10" s="331" t="str">
        <x:v>DGUV-Psychotherapie; Adresse geprüft.</x:v>
      </x:c>
      <x:c r="J10" s="331" t="str">
        <x:v>Praxiswebsite / Masterprüfung 4.3; Masterfreigabe Referenzadresse 25.08.2026</x:v>
      </x:c>
      <x:c r="K10" s="331" t="n">
        <x:v>289</x:v>
      </x:c>
      <x:c r="L10" s="317" t="str">
        <x:v>Gelb</x:v>
      </x:c>
      <x:c r="M10" s="332" t="str">
        <x:v>bei Gelegenheit / im Sammel-Geocode</x:v>
      </x:c>
    </x:row>
    <x:row r="11">
      <x:c r="A11" s="331" t="str">
        <x:v>Produktiv 4.3</x:v>
      </x:c>
      <x:c r="B11" s="333" t="str">
        <x:v>MITTEL</x:v>
      </x:c>
      <x:c r="C11" s="331" t="str">
        <x:v>Thomas Gustorf</x:v>
      </x:c>
      <x:c r="D11" s="331" t="str">
        <x:v>Psychotherapie DGUV</x:v>
      </x:c>
      <x:c r="E11" s="331" t="str">
        <x:v>Eichenlaubstr.45 75181 Pforzheim</x:v>
      </x:c>
      <x:c r="F11" s="331" t="str">
        <x:v>Pforzheim</x:v>
      </x:c>
      <x:c r="G11" s="331" t="str">
        <x:v>Referenzadresse ohne Lat/Lon</x:v>
      </x:c>
      <x:c r="H11" s="331" t="str">
        <x:v>Hauspunkt manuell setzen</x:v>
      </x:c>
      <x:c r="I11" s="331" t="str">
        <x:v>DGUV-Psychotherapie; Adresse geprüft.</x:v>
      </x:c>
      <x:c r="J11" s="331" t="str">
        <x:v>OpenStreetMap/Nominatim – Vollprüfung 21.08.2026: keine belastbare adressgenaue Koordinate übernommen; Masterfreigabe Referenzadresse 25.08.2026</x:v>
      </x:c>
      <x:c r="K11" s="331" t="n">
        <x:v>305</x:v>
      </x:c>
      <x:c r="L11" s="317" t="str">
        <x:v>Gelb</x:v>
      </x:c>
      <x:c r="M11" s="332" t="str">
        <x:v>bei Gelegenheit / im Sammel-Geocode</x:v>
      </x:c>
    </x:row>
    <x:row r="12">
      <x:c r="A12" s="331" t="str">
        <x:v>Produktiv 4.3</x:v>
      </x:c>
      <x:c r="B12" s="333" t="str">
        <x:v>MITTEL</x:v>
      </x:c>
      <x:c r="C12" s="331" t="str">
        <x:v>EUTB LK Germersheim</x:v>
      </x:c>
      <x:c r="D12" s="331" t="str">
        <x:v>EUTB, Beratung / Teilhabe</x:v>
      </x:c>
      <x:c r="E12" s="331" t="str">
        <x:v>Gutenbergstraße 7a 76761 Rülzheim</x:v>
      </x:c>
      <x:c r="F12" s="331" t="str">
        <x:v>Rülzheim</x:v>
      </x:c>
      <x:c r="G12" s="331" t="str">
        <x:v>Referenzadresse ohne Lat/Lon</x:v>
      </x:c>
      <x:c r="H12" s="331" t="str">
        <x:v>Hauspunkt manuell setzen</x:v>
      </x:c>
      <x:c r="I12" s="331" t="str">
        <x:v>EUTB Rülzheim wurde bereits visuell bestätigt; numerischen Punkt nachtragen.</x:v>
      </x:c>
      <x:c r="J12" s="331" t="str">
        <x:v>Offizieller EUTB-Beratungsatlas / Betreiberadresse + manuelle Screenshot-Hauspunktprüfung 25.08.2026; Masterfreigabe Referenzadresse 25.08.2026</x:v>
      </x:c>
      <x:c r="K12" s="331" t="n">
        <x:v>432</x:v>
      </x:c>
      <x:c r="L12" s="317" t="str">
        <x:v>Gelb</x:v>
      </x:c>
      <x:c r="M12" s="332" t="str">
        <x:v>bei Gelegenheit / im Sammel-Geocode</x:v>
      </x:c>
    </x:row>
    <x:row r="13">
      <x:c r="A13" s="327" t="str">
        <x:v>Final 4.4.x</x:v>
      </x:c>
      <x:c r="B13" s="329" t="str">
        <x:v>HOCH</x:v>
      </x:c>
      <x:c r="C13" s="327" t="str">
        <x:v>Berufsförderungswerk Frankfurt am Main e.V. – Bad Vilbel</x:v>
      </x:c>
      <x:c r="D13" s="327" t="str">
        <x:v>Berufliche Reha</x:v>
      </x:c>
      <x:c r="E13" s="327" t="str">
        <x:v>Huizener Straße 60 61118 Bad Vilbel</x:v>
      </x:c>
      <x:c r="F13" s="327" t="str">
        <x:v>Bad Vilbel</x:v>
      </x:c>
      <x:c r="G13" s="327" t="str">
        <x:v>Hausadresse verifiziert; numerische Einrichtungskordinate noch nicht belastbar separat bestätigt</x:v>
      </x:c>
      <x:c r="H13" s="327" t="str">
        <x:v>Manuell geokodieren / Pin prüfen</x:v>
      </x:c>
      <x:c r="I13" s="327" t="str">
        <x:v>Bad Vilbel verbindlich aufnehmen. Regionalcenter Kassel ausdrücklich nicht in den Kartenbestand übernehmen.</x:v>
      </x:c>
      <x:c r="J13" s="327" t="str">
        <x:v>Neuer Kartenpunkt – nach Geocode-Freigabe</x:v>
      </x:c>
      <x:c r="K13" s="327" t="str">
        <x:v>BR44-001</x:v>
      </x:c>
      <x:c r="L13" s="315" t="str">
        <x:v>Orange</x:v>
      </x:c>
      <x:c r="M13" s="328" t="str">
        <x:v>jetzt manuell setzen / prüfen</x:v>
      </x:c>
    </x:row>
    <x:row r="14">
      <x:c r="A14" s="327" t="str">
        <x:v>Final 4.4.x</x:v>
      </x:c>
      <x:c r="B14" s="329" t="str">
        <x:v>HOCH</x:v>
      </x:c>
      <x:c r="C14" s="327" t="str">
        <x:v>KVJS – Technischer Beratungsdienst Integrationsamt</x:v>
      </x:c>
      <x:c r="D14" s="327" t="str">
        <x:v>Technische Arbeitsplatzanpassung</x:v>
      </x:c>
      <x:c r="E14" s="327" t="str">
        <x:v>Kaiser-Joseph-Straße 170 79098 Freiburg im Breisgau</x:v>
      </x:c>
      <x:c r="F14" s="327" t="str">
        <x:v>Freiburg im Breisgau</x:v>
      </x:c>
      <x:c r="G14" s="327" t="str">
        <x:v>Adresse/Kontakt geprüft; numerische Hauskoordinate noch nicht separat verifiziert</x:v>
      </x:c>
      <x:c r="H14" s="327" t="str">
        <x:v>Manuell geokodieren / Pin prüfen</x:v>
      </x:c>
      <x:c r="I14" s="327" t="str">
        <x:v>KVJS-Standort Freiburg.</x:v>
      </x:c>
      <x:c r="J14" s="327" t="str">
        <x:v>Kartenpunkt – verifizierter Teilstandort</x:v>
      </x:c>
      <x:c r="K14" s="327" t="str">
        <x:v>T-042-FR</x:v>
      </x:c>
      <x:c r="L14" s="315" t="str">
        <x:v>Orange</x:v>
      </x:c>
      <x:c r="M14" s="328" t="str">
        <x:v>jetzt manuell setzen / prüfen</x:v>
      </x:c>
    </x:row>
    <x:row r="15">
      <x:c r="A15" s="327" t="str">
        <x:v>Final 4.4.x</x:v>
      </x:c>
      <x:c r="B15" s="329" t="str">
        <x:v>HOCH</x:v>
      </x:c>
      <x:c r="C15" s="327" t="str">
        <x:v>KVJS – Technischer Beratungsdienst Integrationsamt</x:v>
      </x:c>
      <x:c r="D15" s="327" t="str">
        <x:v>Technische Arbeitsplatzanpassung</x:v>
      </x:c>
      <x:c r="E15" s="327" t="str">
        <x:v>Erzbergerstraße 119 76133 Karlsruhe</x:v>
      </x:c>
      <x:c r="F15" s="327" t="str">
        <x:v>Karlsruhe</x:v>
      </x:c>
      <x:c r="G15" s="327" t="str">
        <x:v>Adresse/Kontakt geprüft; numerische Hauskoordinate noch nicht separat verifiziert</x:v>
      </x:c>
      <x:c r="H15" s="327" t="str">
        <x:v>Manuell geokodieren / Pin prüfen</x:v>
      </x:c>
      <x:c r="I15" s="327" t="str">
        <x:v>KVJS-Standort Karlsruhe.</x:v>
      </x:c>
      <x:c r="J15" s="327" t="str">
        <x:v>Kartenpunkt – verifizierter Teilstandort</x:v>
      </x:c>
      <x:c r="K15" s="327" t="str">
        <x:v>T-042-KA</x:v>
      </x:c>
      <x:c r="L15" s="315" t="str">
        <x:v>Orange</x:v>
      </x:c>
      <x:c r="M15" s="328" t="str">
        <x:v>jetzt manuell setzen / prüfen</x:v>
      </x:c>
    </x:row>
    <x:row r="16">
      <x:c r="A16" s="327" t="str">
        <x:v>Final 4.4.x</x:v>
      </x:c>
      <x:c r="B16" s="329" t="str">
        <x:v>HOCH</x:v>
      </x:c>
      <x:c r="C16" s="327" t="str">
        <x:v>LSJV Rheinland-Pfalz – Technischer Beratungsdienst Integrationsamt</x:v>
      </x:c>
      <x:c r="D16" s="327" t="str">
        <x:v>Technische Arbeitsplatzanpassung</x:v>
      </x:c>
      <x:c r="E16" s="327" t="str">
        <x:v>Rheinallee 97-101 55118 Mainz</x:v>
      </x:c>
      <x:c r="F16" s="327" t="str">
        <x:v>Mainz</x:v>
      </x:c>
      <x:c r="G16" s="327" t="str">
        <x:v>Adresse/Kontakt geprüft; numerische Hauskoordinate noch nicht separat verifiziert</x:v>
      </x:c>
      <x:c r="H16" s="327" t="str">
        <x:v>Manuell geokodieren / Pin prüfen</x:v>
      </x:c>
      <x:c r="I16" s="327" t="str">
        <x:v>Integrationsamt/Technischer Beratungsdienst Mainz als Kartenpunkt.</x:v>
      </x:c>
      <x:c r="J16" s="327" t="str">
        <x:v>Kartenpunkt – Adresse geprüft</x:v>
      </x:c>
      <x:c r="K16" s="327" t="str">
        <x:v>T-043</x:v>
      </x:c>
      <x:c r="L16" s="315" t="str">
        <x:v>Orange</x:v>
      </x:c>
      <x:c r="M16" s="328" t="str">
        <x:v>jetzt manuell setzen / prüfen</x:v>
      </x:c>
    </x:row>
    <x:row r="17">
      <x:c r="A17" s="327" t="str">
        <x:v>Final 4.4.x</x:v>
      </x:c>
      <x:c r="B17" s="329" t="str">
        <x:v>HOCH</x:v>
      </x:c>
      <x:c r="C17" s="327" t="str">
        <x:v>Zentrum für Nervenheilkunde Mannheim (ZNS)</x:v>
      </x:c>
      <x:c r="D17" s="327" t="str">
        <x:v>Neurologisch-psychiatrische Praxen</x:v>
      </x:c>
      <x:c r="E17" s="327" t="str">
        <x:v>E2, 15 68159 Mannheim</x:v>
      </x:c>
      <x:c r="F17" s="327" t="str">
        <x:v>Mannheim</x:v>
      </x:c>
      <x:c r="G17" s="327" t="str">
        <x:v>Adresse/Kontakt geprüft; numerische Hauskoordinate offen</x:v>
      </x:c>
      <x:c r="H17" s="327" t="str">
        <x:v>Manuell geokodieren / Pin prüfen</x:v>
      </x:c>
      <x:c r="I17" s="327" t="str">
        <x:v>A+; große Mehrarztstruktur, schließt Mannheim-Lücke.</x:v>
      </x:c>
      <x:c r="J17" s="327" t="str">
        <x:v>Neuer Kartenpunkt – nach Geocode-Freigabe</x:v>
      </x:c>
      <x:c r="K17" s="327" t="str">
        <x:v>NP44-008</x:v>
      </x:c>
      <x:c r="L17" s="315" t="str">
        <x:v>Orange</x:v>
      </x:c>
      <x:c r="M17" s="328" t="str">
        <x:v>jetzt manuell setzen / prüfen</x:v>
      </x:c>
    </x:row>
    <x:row r="18">
      <x:c r="A18" s="327" t="str">
        <x:v>Final 4.4.x</x:v>
      </x:c>
      <x:c r="B18" s="329" t="str">
        <x:v>HOCH</x:v>
      </x:c>
      <x:c r="C18" s="327" t="str">
        <x:v>CAMAS Integration &amp; Consulting – Nierstein</x:v>
      </x:c>
      <x:c r="D18" s="327" t="str">
        <x:v>Arbeitsvermittlung / Reha-Integration</x:v>
      </x:c>
      <x:c r="E18" s="327" t="str">
        <x:v>Mainzer Straße 44 55283 Nierstein</x:v>
      </x:c>
      <x:c r="F18" s="327" t="str">
        <x:v>Nierstein</x:v>
      </x:c>
      <x:c r="G18" s="327" t="str">
        <x:v>Standort/Kontakt geprüft; numerische Hauskoordinate offen</x:v>
      </x:c>
      <x:c r="H18" s="327" t="str">
        <x:v>Manuell geokodieren / Pin prüfen</x:v>
      </x:c>
      <x:c r="I18" s="327" t="str">
        <x:v>A+; regionaler Südwest-Standort mit Versicherungs-/Reha-Bezug.</x:v>
      </x:c>
      <x:c r="J18" s="327" t="str">
        <x:v>Regionaler Kartenpunkt – nach Geocode-Freigabe</x:v>
      </x:c>
      <x:c r="K18" s="327" t="str">
        <x:v>AV44-002</x:v>
      </x:c>
      <x:c r="L18" s="315" t="str">
        <x:v>Orange</x:v>
      </x:c>
      <x:c r="M18" s="328" t="str">
        <x:v>jetzt manuell setzen / prüfen</x:v>
      </x:c>
    </x:row>
    <x:row r="19">
      <x:c r="A19" s="327" t="str">
        <x:v>Final 4.4.x</x:v>
      </x:c>
      <x:c r="B19" s="329" t="str">
        <x:v>HOCH</x:v>
      </x:c>
      <x:c r="C19" s="327" t="str">
        <x:v>pebb zwei gmbh – Ober-Hilbersheim</x:v>
      </x:c>
      <x:c r="D19" s="327" t="str">
        <x:v>Berufliche Reha / Arbeitsvermittlung</x:v>
      </x:c>
      <x:c r="E19" s="327" t="str">
        <x:v>Sprendlinger Straße 20a 55437 Ober-Hilbersheim</x:v>
      </x:c>
      <x:c r="F19" s="327" t="str">
        <x:v>Ober-Hilbersheim</x:v>
      </x:c>
      <x:c r="G19" s="327" t="str">
        <x:v>Hausadresse und Kontakt verifiziert; numerische Hauskoordinate noch nicht separat belastbar bestätigt</x:v>
      </x:c>
      <x:c r="H19" s="327" t="str">
        <x:v>Manuell geokodieren / Pin prüfen</x:v>
      </x:c>
      <x:c r="I19" s="327" t="str">
        <x:v>Besonders relevant als Reha-Arbeitsvermittler; nicht mit pebb gmbh zusammenziehen.</x:v>
      </x:c>
      <x:c r="J19" s="327" t="str">
        <x:v>Neuer Kartenpunkt – gleicher Standort, eigener Datensatz</x:v>
      </x:c>
      <x:c r="K19" s="327" t="str">
        <x:v>CO44-002</x:v>
      </x:c>
      <x:c r="L19" s="315" t="str">
        <x:v>Orange</x:v>
      </x:c>
      <x:c r="M19" s="328" t="str">
        <x:v>jetzt manuell setzen / prüfen</x:v>
      </x:c>
    </x:row>
    <x:row r="20">
      <x:c r="A20" s="327" t="str">
        <x:v>Final 4.4.x</x:v>
      </x:c>
      <x:c r="B20" s="329" t="str">
        <x:v>HOCH</x:v>
      </x:c>
      <x:c r="C20" s="327" t="str">
        <x:v>Pilz GmbH &amp; Co. KG</x:v>
      </x:c>
      <x:c r="D20" s="327" t="str">
        <x:v>Technische Arbeitsplatzanpassung</x:v>
      </x:c>
      <x:c r="E20" s="327" t="str">
        <x:v>Felix-Wankel-Straße 2 73760 Ostfildern</x:v>
      </x:c>
      <x:c r="F20" s="327" t="str">
        <x:v>Ostfildern</x:v>
      </x:c>
      <x:c r="G20" s="327" t="str">
        <x:v>Adresse/Kontakt geprüft; numerische Hauskoordinate noch nicht separat verifiziert</x:v>
      </x:c>
      <x:c r="H20" s="327" t="str">
        <x:v>Manuell geokodieren / Pin prüfen</x:v>
      </x:c>
      <x:c r="I20" s="327" t="str">
        <x:v>Standort verifiziert.</x:v>
      </x:c>
      <x:c r="J20" s="327" t="str">
        <x:v>Kartenpunkt – Adresse geprüft</x:v>
      </x:c>
      <x:c r="K20" s="327" t="str">
        <x:v>T-033</x:v>
      </x:c>
      <x:c r="L20" s="315" t="str">
        <x:v>Orange</x:v>
      </x:c>
      <x:c r="M20" s="328" t="str">
        <x:v>jetzt manuell setzen / prüfen</x:v>
      </x:c>
    </x:row>
    <x:row r="21">
      <x:c r="A21" s="327" t="str">
        <x:v>Final 4.4.x</x:v>
      </x:c>
      <x:c r="B21" s="329" t="str">
        <x:v>HOCH</x:v>
      </x:c>
      <x:c r="C21" s="327" t="str">
        <x:v>KVJS – Technischer Beratungsdienst Integrationsamt</x:v>
      </x:c>
      <x:c r="D21" s="327" t="str">
        <x:v>Technische Arbeitsplatzanpassung</x:v>
      </x:c>
      <x:c r="E21" s="327" t="str">
        <x:v>Lindenspürstraße 39 70176 Stuttgart</x:v>
      </x:c>
      <x:c r="F21" s="327" t="str">
        <x:v>Stuttgart</x:v>
      </x:c>
      <x:c r="G21" s="327" t="str">
        <x:v>Adresse/Kontakt geprüft; numerische Hauskoordinate noch nicht separat verifiziert</x:v>
      </x:c>
      <x:c r="H21" s="327" t="str">
        <x:v>Manuell geokodieren / Pin prüfen</x:v>
      </x:c>
      <x:c r="I21" s="327" t="str">
        <x:v>KVJS-Standort Stuttgart.</x:v>
      </x:c>
      <x:c r="J21" s="327" t="str">
        <x:v>Kartenpunkt – verifizierter Teilstandort</x:v>
      </x:c>
      <x:c r="K21" s="327" t="str">
        <x:v>T-042-ST</x:v>
      </x:c>
      <x:c r="L21" s="315" t="str">
        <x:v>Orange</x:v>
      </x:c>
      <x:c r="M21" s="328" t="str">
        <x:v>jetzt manuell setzen / prüfen</x:v>
      </x:c>
    </x:row>
    <x:row r="22">
      <x:c r="A22" s="327" t="str">
        <x:v>Final 4.4.x</x:v>
      </x:c>
      <x:c r="B22" s="329" t="str">
        <x:v>HOCH</x:v>
      </x:c>
      <x:c r="C22" s="327" t="str">
        <x:v>Faude Tec GmbH</x:v>
      </x:c>
      <x:c r="D22" s="327" t="str">
        <x:v>Technische Arbeitsplatzanpassung</x:v>
      </x:c>
      <x:c r="E22" s="327" t="str">
        <x:v>Robert-Mayer-Straße 3 73660 Urbach</x:v>
      </x:c>
      <x:c r="F22" s="327" t="str">
        <x:v>Urbach</x:v>
      </x:c>
      <x:c r="G22" s="327" t="str">
        <x:v>Adresse/Kontakt geprüft; numerische Hauskoordinate noch nicht separat verifiziert</x:v>
      </x:c>
      <x:c r="H22" s="327" t="str">
        <x:v>Manuell geokodieren / Pin prüfen</x:v>
      </x:c>
      <x:c r="I22" s="327" t="str">
        <x:v>Für Karte Besucheradresse Urbach verwenden; Börtlingen (Ödweilerhof 3) ist Rechnungsadresse.</x:v>
      </x:c>
      <x:c r="J22" s="327" t="str">
        <x:v>Kartenpunkt – Adresse geprüft</x:v>
      </x:c>
      <x:c r="K22" s="327" t="str">
        <x:v>T-030</x:v>
      </x:c>
      <x:c r="L22" s="315" t="str">
        <x:v>Orange</x:v>
      </x:c>
      <x:c r="M22" s="328" t="str">
        <x:v>jetzt manuell setzen / prüfen</x:v>
      </x:c>
    </x:row>
    <x:row r="23">
      <x:c r="A23" s="327" t="str">
        <x:v>Final 4.4.x</x:v>
      </x:c>
      <x:c r="B23" s="329" t="str">
        <x:v>HOCH</x:v>
      </x:c>
      <x:c r="C23" s="327" t="str">
        <x:v>Humanelektronik GmbH</x:v>
      </x:c>
      <x:c r="D23" s="327" t="str">
        <x:v>Technische Arbeitsplatzanpassung</x:v>
      </x:c>
      <x:c r="E23" s="327" t="str">
        <x:v>Weinsheimer Straße 57a 67547 Worms</x:v>
      </x:c>
      <x:c r="F23" s="327" t="str">
        <x:v>Worms</x:v>
      </x:c>
      <x:c r="G23" s="327" t="str">
        <x:v>Adresse/Kontakt geprüft; numerische Hauskoordinate noch nicht separat verifiziert</x:v>
      </x:c>
      <x:c r="H23" s="327" t="str">
        <x:v>Manuell geokodieren / Pin prüfen</x:v>
      </x:c>
      <x:c r="I23" s="327" t="str">
        <x:v>Standort verifiziert.</x:v>
      </x:c>
      <x:c r="J23" s="327" t="str">
        <x:v>Kartenpunkt – Adresse geprüft</x:v>
      </x:c>
      <x:c r="K23" s="327" t="str">
        <x:v>T-035</x:v>
      </x:c>
      <x:c r="L23" s="315" t="str">
        <x:v>Orange</x:v>
      </x:c>
      <x:c r="M23" s="328" t="str">
        <x:v>jetzt manuell setzen / prüfen</x:v>
      </x:c>
    </x:row>
    <x:row r="24">
      <x:c r="A24" s="327" t="str">
        <x:v>Final 4.4.x</x:v>
      </x:c>
      <x:c r="B24" s="329" t="str">
        <x:v>HOCH</x:v>
      </x:c>
      <x:c r="C24" s="327" t="str">
        <x:v>Meier &amp; Schütte GmbH &amp; Co. KG</x:v>
      </x:c>
      <x:c r="D24" s="327" t="str">
        <x:v>Technische Arbeitsplatzanpassung</x:v>
      </x:c>
      <x:c r="E24" s="327" t="str">
        <x:v>Weinsheimer Straße 57a 67547 Worms</x:v>
      </x:c>
      <x:c r="F24" s="327" t="str">
        <x:v>Worms</x:v>
      </x:c>
      <x:c r="G24" s="327" t="str">
        <x:v>Adresse/Kontakt geprüft; numerische Hauskoordinate noch nicht separat verifiziert</x:v>
      </x:c>
      <x:c r="H24" s="327" t="str">
        <x:v>Manuell geokodieren / Pin prüfen</x:v>
      </x:c>
      <x:c r="I24" s="327" t="str">
        <x:v>Standort verifiziert; gleicher Gebäudestandort wie Humanelektronik möglich.</x:v>
      </x:c>
      <x:c r="J24" s="327" t="str">
        <x:v>Kartenpunkt – Adresse geprüft</x:v>
      </x:c>
      <x:c r="K24" s="327" t="str">
        <x:v>T-036</x:v>
      </x:c>
      <x:c r="L24" s="315" t="str">
        <x:v>Orange</x:v>
      </x:c>
      <x:c r="M24" s="328" t="str">
        <x:v>jetzt manuell setzen / prüfen</x:v>
      </x:c>
    </x:row>
    <x:row r="25">
      <x:c r="A25" s="327" t="str">
        <x:v>Final 4.4.x</x:v>
      </x:c>
      <x:c r="B25" s="329" t="str">
        <x:v>HOCH</x:v>
      </x:c>
      <x:c r="C25" s="327" t="str">
        <x:v>Pflegesachverständige Kristina Braun</x:v>
      </x:c>
      <x:c r="D25" s="327" t="str">
        <x:v>Pflegeberatung / Pflegegutachten</x:v>
      </x:c>
      <x:c r="E25" s="327" t="str">
        <x:v>In den Hofgärten 2 67551 Worms</x:v>
      </x:c>
      <x:c r="F25" s="327" t="str">
        <x:v>Worms</x:v>
      </x:c>
      <x:c r="G25" s="327" t="str">
        <x:v>Hausadresse/Kontakt geprüft; numerische Hauskoordinate bewusst offen</x:v>
      </x:c>
      <x:c r="H25" s="327" t="str">
        <x:v>Manuell geokodieren / Pin prüfen</x:v>
      </x:c>
      <x:c r="I25" s="327" t="str">
        <x:v>A+ wegen ausdrücklichem SGB-VII-/BG-Bezug.</x:v>
      </x:c>
      <x:c r="J25" s="327" t="str">
        <x:v>Regionaler Kartenpunkt – nach Geocode-Freigabe</x:v>
      </x:c>
      <x:c r="K25" s="327" t="str">
        <x:v>PF44-002</x:v>
      </x:c>
      <x:c r="L25" s="315" t="str">
        <x:v>Orange</x:v>
      </x:c>
      <x:c r="M25" s="328" t="str">
        <x:v>jetzt manuell setzen / prüfen</x:v>
      </x:c>
    </x:row>
    <x:row r="26">
      <x:c r="A26" s="327" t="str">
        <x:v>Final 4.4.x</x:v>
      </x:c>
      <x:c r="B26" s="329" t="str">
        <x:v>HOCH</x:v>
      </x:c>
      <x:c r="C26" s="327" t="str">
        <x:v>BG Unfallklinik Frankfurt – Pflegefachberatung / Pflegebegutachtung</x:v>
      </x:c>
      <x:c r="D26" s="327" t="str">
        <x:v>Pflegeberatung / Pflegegutachten</x:v>
      </x:c>
      <x:c r="E26" s="327" t="str">
        <x:v>Friedberger Landstraße 430 60389 Frankfurt am Main</x:v>
      </x:c>
      <x:c r="F26" s="327" t="str">
        <x:v>Frankfurt am Main</x:v>
      </x:c>
      <x:c r="G26" s="327" t="str">
        <x:v>Bestehender Klinikstandort; kein neuer Geopunkt erforderlich</x:v>
      </x:c>
      <x:c r="H26" s="327" t="str">
        <x:v>Bestand nach Merge visuell kontrollieren</x:v>
      </x:c>
      <x:c r="I26" s="327" t="str">
        <x:v>A+; Pflegebegutachtung ausdrücklich im UVT-Auftrag.</x:v>
      </x:c>
      <x:c r="J26" s="327" t="str">
        <x:v>Subservice am bestehenden BG-Unfallklinik-Pin – kein neuer Pin</x:v>
      </x:c>
      <x:c r="K26" s="327" t="str">
        <x:v>PF44-004</x:v>
      </x:c>
      <x:c r="L26" s="315" t="str">
        <x:v>Orange</x:v>
      </x:c>
      <x:c r="M26" s="328" t="str">
        <x:v>jetzt manuell setzen / prüfen</x:v>
      </x:c>
    </x:row>
    <x:row r="27">
      <x:c r="A27" s="327" t="str">
        <x:v>Final 4.4.x</x:v>
      </x:c>
      <x:c r="B27" s="329" t="str">
        <x:v>HOCH</x:v>
      </x:c>
      <x:c r="C27" s="327" t="str">
        <x:v>BG Klinik Ludwigshafen – Pflegefachberatung / Pflegegutachten</x:v>
      </x:c>
      <x:c r="D27" s="327" t="str">
        <x:v>Pflegeberatung / Pflegegutachten</x:v>
      </x:c>
      <x:c r="E27" s="327" t="str">
        <x:v>Ludwig-Guttmann-Straße 13 67071 Ludwigshafen am Rhein</x:v>
      </x:c>
      <x:c r="F27" s="327" t="str">
        <x:v>Ludwigshafen am Rhein</x:v>
      </x:c>
      <x:c r="G27" s="327" t="str">
        <x:v>Bestehender Klinikstandort; kein neuer Geopunkt erforderlich</x:v>
      </x:c>
      <x:c r="H27" s="327" t="str">
        <x:v>Bestand nach Merge visuell kontrollieren</x:v>
      </x:c>
      <x:c r="I27" s="327" t="str">
        <x:v>Pflegefachberatung als direkt anwählbare Leistung/Direktkontakt am Klinikdatensatz.</x:v>
      </x:c>
      <x:c r="J27" s="327" t="str">
        <x:v>Subservice am bestehenden BG-Klinik-Pin – kein neuer Pin</x:v>
      </x:c>
      <x:c r="K27" s="327" t="str">
        <x:v>PF44-003</x:v>
      </x:c>
      <x:c r="L27" s="315" t="str">
        <x:v>Orange</x:v>
      </x:c>
      <x:c r="M27" s="328" t="str">
        <x:v>jetzt manuell setzen / prüfen</x:v>
      </x:c>
    </x:row>
    <x:row r="28">
      <x:c r="A28" s="327" t="str">
        <x:v>Final 4.4.x</x:v>
      </x:c>
      <x:c r="B28" s="329" t="str">
        <x:v>HOCH</x:v>
      </x:c>
      <x:c r="C28" s="327" t="str">
        <x:v>BG Klinik Tübingen – Pflegefachberatung / Pflegegutachten</x:v>
      </x:c>
      <x:c r="D28" s="327" t="str">
        <x:v>Pflegeberatung / Pflegegutachten</x:v>
      </x:c>
      <x:c r="E28" s="327" t="str">
        <x:v>Schnarrenbergstraße 95 72076 Tübingen</x:v>
      </x:c>
      <x:c r="F28" s="327" t="str">
        <x:v>Tübingen</x:v>
      </x:c>
      <x:c r="G28" s="327" t="str">
        <x:v>Bestehender Klinikstandort; kein neuer Geopunkt erforderlich</x:v>
      </x:c>
      <x:c r="H28" s="327" t="str">
        <x:v>Bestand nach Merge visuell kontrollieren</x:v>
      </x:c>
      <x:c r="I28" s="327" t="str">
        <x:v>A+; direkte Pflegefachberatung/Pflegegutachten für UVT.</x:v>
      </x:c>
      <x:c r="J28" s="327" t="str">
        <x:v>Subservice am bestehenden BG-Klinik-Pin – kein neuer Pin</x:v>
      </x:c>
      <x:c r="K28" s="327" t="str">
        <x:v>PF44-005</x:v>
      </x:c>
      <x:c r="L28" s="315" t="str">
        <x:v>Orange</x:v>
      </x:c>
      <x:c r="M28" s="328" t="str">
        <x:v>jetzt manuell setzen / prüfen</x:v>
      </x:c>
    </x:row>
    <x:row r="29">
      <x:c r="A29" s="331" t="str">
        <x:v>Final 4.4.x</x:v>
      </x:c>
      <x:c r="B29" s="333" t="str">
        <x:v>MITTEL</x:v>
      </x:c>
      <x:c r="C29" s="331" t="str">
        <x:v>B-I-S e.K. – Wolfgang Müller</x:v>
      </x:c>
      <x:c r="D29" s="331" t="str">
        <x:v>Pflegeberatung / Pflegegutachten</x:v>
      </x:c>
      <x:c r="E29" s="331" t="str">
        <x:v>Blautalstraße 33 89134 Blaustein</x:v>
      </x:c>
      <x:c r="F29" s="331" t="str">
        <x:v>Blaustein</x:v>
      </x:c>
      <x:c r="G29" s="331" t="str">
        <x:v>Adresse/Qualifikation geprüft; numerische Hauskoordinate offen</x:v>
      </x:c>
      <x:c r="H29" s="331" t="str">
        <x:v>Manuell geokodieren / Pin prüfen</x:v>
      </x:c>
      <x:c r="I29" s="331" t="str">
        <x:v>A; zertifizierter Sachverständiger mit ausdrücklichem SGB-VII-Bezug. Qualifikation/Adresse über Sachverständigenverzeichnis belegt; eigene Website bewusst nicht übernommen.</x:v>
      </x:c>
      <x:c r="J29" s="331" t="str">
        <x:v>Regionaler Kartenpunkt – nach Geocode-Freigabe</x:v>
      </x:c>
      <x:c r="K29" s="331" t="str">
        <x:v>PF44-007</x:v>
      </x:c>
      <x:c r="L29" s="317" t="str">
        <x:v>Gelb</x:v>
      </x:c>
      <x:c r="M29" s="332" t="str">
        <x:v>bei Gelegenheit / im Sammel-Geocode</x:v>
      </x:c>
    </x:row>
    <x:row r="30">
      <x:c r="A30" s="331" t="str">
        <x:v>Final 4.4.x</x:v>
      </x:c>
      <x:c r="B30" s="333" t="str">
        <x:v>MITTEL</x:v>
      </x:c>
      <x:c r="C30" s="331" t="str">
        <x:v>Praxis Dr. Stefan Unglaub et al. – Neurologie &amp; Psychiatrie</x:v>
      </x:c>
      <x:c r="D30" s="331" t="str">
        <x:v>Neurologisch-psychiatrische Praxen</x:v>
      </x:c>
      <x:c r="E30" s="331" t="str">
        <x:v>Pfingstweidstraße 3 60316 Frankfurt am Main</x:v>
      </x:c>
      <x:c r="F30" s="331" t="str">
        <x:v>Frankfurt am Main</x:v>
      </x:c>
      <x:c r="G30" s="331" t="str">
        <x:v>Hauptstandort geprüft; numerische Hauskoordinate offen</x:v>
      </x:c>
      <x:c r="H30" s="331" t="str">
        <x:v>Manuell geokodieren / Pin prüfen</x:v>
      </x:c>
      <x:c r="I30" s="331" t="str">
        <x:v>A; Hauptstandort Zentrum. Frankfurt-Höchst nicht zusätzlich als Pflichtpunkt angelegt.</x:v>
      </x:c>
      <x:c r="J30" s="331" t="str">
        <x:v>Neuer Hauptstandort – nach Geocode-Freigabe</x:v>
      </x:c>
      <x:c r="K30" s="331" t="str">
        <x:v>NP44-011</x:v>
      </x:c>
      <x:c r="L30" s="317" t="str">
        <x:v>Gelb</x:v>
      </x:c>
      <x:c r="M30" s="332" t="str">
        <x:v>bei Gelegenheit / im Sammel-Geocode</x:v>
      </x:c>
    </x:row>
    <x:row r="31">
      <x:c r="A31" s="331" t="str">
        <x:v>Final 4.4.x</x:v>
      </x:c>
      <x:c r="B31" s="333" t="str">
        <x:v>MITTEL</x:v>
      </x:c>
      <x:c r="C31" s="331" t="str">
        <x:v>PiPP – Praxis für Psychiatrie, Psychotherapie und Neurologie Heidelberg</x:v>
      </x:c>
      <x:c r="D31" s="331" t="str">
        <x:v>Neurologisch-psychiatrische Praxen</x:v>
      </x:c>
      <x:c r="E31" s="331" t="str">
        <x:v>Rohrbacher Straße 149 69126 Heidelberg</x:v>
      </x:c>
      <x:c r="F31" s="331" t="str">
        <x:v>Heidelberg</x:v>
      </x:c>
      <x:c r="G31" s="331" t="str">
        <x:v>Praxisadresse geprüft; numerische Hauskoordinate offen</x:v>
      </x:c>
      <x:c r="H31" s="331" t="str">
        <x:v>Manuell geokodieren / Pin prüfen</x:v>
      </x:c>
      <x:c r="I31" s="331" t="str">
        <x:v>A; zweiter Eingang/Geschäftsanschrift teilweise Görresstraße 22 – nicht als zweite Praxis anlegen.</x:v>
      </x:c>
      <x:c r="J31" s="331" t="str">
        <x:v>Neuer Kartenpunkt – nach Geocode-Freigabe</x:v>
      </x:c>
      <x:c r="K31" s="331" t="str">
        <x:v>NP44-009</x:v>
      </x:c>
      <x:c r="L31" s="317" t="str">
        <x:v>Gelb</x:v>
      </x:c>
      <x:c r="M31" s="332" t="str">
        <x:v>bei Gelegenheit / im Sammel-Geocode</x:v>
      </x:c>
    </x:row>
    <x:row r="32">
      <x:c r="A32" s="331" t="str">
        <x:v>Final 4.4.x</x:v>
      </x:c>
      <x:c r="B32" s="333" t="str">
        <x:v>MITTEL</x:v>
      </x:c>
      <x:c r="C32" s="331" t="str">
        <x:v>Praxis Denzel &amp; Ehrmann – Neurologie / Psychiatrie / Psychotherapie</x:v>
      </x:c>
      <x:c r="D32" s="331" t="str">
        <x:v>Neurologisch-psychiatrische Praxen</x:v>
      </x:c>
      <x:c r="E32" s="331" t="str">
        <x:v>Gutenbergstraße 51 74074 Heilbronn</x:v>
      </x:c>
      <x:c r="F32" s="331" t="str">
        <x:v>Heilbronn</x:v>
      </x:c>
      <x:c r="G32" s="331" t="str">
        <x:v>Adresse/Kontakt geprüft; numerische Hauskoordinate offen</x:v>
      </x:c>
      <x:c r="H32" s="331" t="str">
        <x:v>Manuell geokodieren / Pin prüfen</x:v>
      </x:c>
      <x:c r="I32" s="331" t="str">
        <x:v>A; schließt die noch offene Heilbronn-Lücke.</x:v>
      </x:c>
      <x:c r="J32" s="331" t="str">
        <x:v>Neuer Kartenpunkt – nach Geocode-Freigabe</x:v>
      </x:c>
      <x:c r="K32" s="331" t="str">
        <x:v>NP44-010</x:v>
      </x:c>
      <x:c r="L32" s="317" t="str">
        <x:v>Gelb</x:v>
      </x:c>
      <x:c r="M32" s="332" t="str">
        <x:v>bei Gelegenheit / im Sammel-Geocode</x:v>
      </x:c>
    </x:row>
    <x:row r="33">
      <x:c r="A33" s="331" t="str">
        <x:v>Final 4.4.x</x:v>
      </x:c>
      <x:c r="B33" s="333" t="str">
        <x:v>MITTEL</x:v>
      </x:c>
      <x:c r="C33" s="331" t="str">
        <x:v>pebb gmbh – Ober-Hilbersheim</x:v>
      </x:c>
      <x:c r="D33" s="331" t="str">
        <x:v>Berufliche Reha / Coaching</x:v>
      </x:c>
      <x:c r="E33" s="331" t="str">
        <x:v>Sprendlinger Straße 20a 55437 Ober-Hilbersheim</x:v>
      </x:c>
      <x:c r="F33" s="331" t="str">
        <x:v>Ober-Hilbersheim</x:v>
      </x:c>
      <x:c r="G33" s="331" t="str">
        <x:v>Hausadresse und Kontakt verifiziert; numerische Hauskoordinate noch nicht separat belastbar bestätigt</x:v>
      </x:c>
      <x:c r="H33" s="331" t="str">
        <x:v>Manuell geokodieren / Pin prüfen</x:v>
      </x:c>
      <x:c r="I33" s="331" t="str">
        <x:v>pebb und pebb zwei am selben Standort getrennt führen und verknüpfen.</x:v>
      </x:c>
      <x:c r="J33" s="331" t="str">
        <x:v>Neuer Kartenpunkt – nach Geocode-Freigabe</x:v>
      </x:c>
      <x:c r="K33" s="331" t="str">
        <x:v>CO44-001</x:v>
      </x:c>
      <x:c r="L33" s="317" t="str">
        <x:v>Gelb</x:v>
      </x:c>
      <x:c r="M33" s="332" t="str">
        <x:v>bei Gelegenheit / im Sammel-Geocode</x:v>
      </x:c>
    </x:row>
    <x:row r="34">
      <x:c r="A34" s="331" t="str">
        <x:v>Final 4.4.x</x:v>
      </x:c>
      <x:c r="B34" s="333" t="str">
        <x:v>MITTEL</x:v>
      </x:c>
      <x:c r="C34" s="331" t="str">
        <x:v>Asklepios Schlossberg Klinik Bad König</x:v>
      </x:c>
      <x:c r="D34" s="331" t="str">
        <x:v>Neurologische Reha</x:v>
      </x:c>
      <x:c r="E34" s="331" t="str">
        <x:v>Frankfurter Straße 33 64732 Bad König</x:v>
      </x:c>
      <x:c r="F34" s="331" t="str">
        <x:v>Bad König</x:v>
      </x:c>
      <x:c r="G34" s="331" t="str">
        <x:v>Einrichtungsstandort geprüft</x:v>
      </x:c>
      <x:c r="H34" s="331" t="str">
        <x:v>Bestand nach Merge visuell kontrollieren</x:v>
      </x:c>
      <x:c r="I34" s="331" t="str">
        <x:v>Keine zusätzliche Phase-C-Zuordnung übernehmen.</x:v>
      </x:c>
      <x:c r="J34" s="331" t="str">
        <x:v>Bestand – Phase-B-Zuordnung bestätigen</x:v>
      </x:c>
      <x:c r="K34" s="331" t="str">
        <x:v>BEST-B01</x:v>
      </x:c>
      <x:c r="L34" s="317" t="str">
        <x:v>Gelb</x:v>
      </x:c>
      <x:c r="M34" s="332" t="str">
        <x:v>bei Gelegenheit / im Sammel-Geocode</x:v>
      </x:c>
    </x:row>
    <x:row r="35">
      <x:c r="A35" s="331" t="str">
        <x:v>Final 4.4.x</x:v>
      </x:c>
      <x:c r="B35" s="333" t="str">
        <x:v>MITTEL</x:v>
      </x:c>
      <x:c r="C35" s="331" t="str">
        <x:v>Gerd Waldvogel – Kfz-Sachverständiger</x:v>
      </x:c>
      <x:c r="D35" s="331" t="str">
        <x:v>Kfz &amp; Mobilität</x:v>
      </x:c>
      <x:c r="E35" s="331" t="str">
        <x:v>Am Kalkofen 20 64732 Bad König</x:v>
      </x:c>
      <x:c r="F35" s="331" t="str">
        <x:v>Bad König</x:v>
      </x:c>
      <x:c r="G35" s="331" t="str">
        <x:v>adressbezogener Punkt geprüft</x:v>
      </x:c>
      <x:c r="H35" s="331" t="str">
        <x:v>Bestand nach Merge visuell kontrollieren</x:v>
      </x:c>
      <x:c r="I35" s="331" t="str">
        <x:v>PLZ 64732 ist der aktuelle/geprüfte Stand.</x:v>
      </x:c>
      <x:c r="J35" s="331" t="str">
        <x:v>Bestehenden Kartenpunkt beibehalten</x:v>
      </x:c>
      <x:c r="K35" s="331" t="str">
        <x:v>BEST-319</x:v>
      </x:c>
      <x:c r="L35" s="317" t="str">
        <x:v>Gelb</x:v>
      </x:c>
      <x:c r="M35" s="332" t="str">
        <x:v>bei Gelegenheit / im Sammel-Geocode</x:v>
      </x:c>
    </x:row>
    <x:row r="36">
      <x:c r="A36" s="331" t="str">
        <x:v>Final 4.4.x</x:v>
      </x:c>
      <x:c r="B36" s="333" t="str">
        <x:v>MITTEL</x:v>
      </x:c>
      <x:c r="C36" s="331" t="str">
        <x:v>NervenDocks – Praxis für Neurologie &amp; Psychiatrie</x:v>
      </x:c>
      <x:c r="D36" s="331" t="str">
        <x:v>Neurologisch-psychiatrische Praxen</x:v>
      </x:c>
      <x:c r="E36" s="331" t="str">
        <x:v>Dr.-Konrad-Adenauer-Straße 37c 74722 Buchen</x:v>
      </x:c>
      <x:c r="F36" s="331" t="str">
        <x:v>Buchen</x:v>
      </x:c>
      <x:c r="G36" s="331" t="str">
        <x:v>adressgenau verifiziert</x:v>
      </x:c>
      <x:c r="H36" s="331" t="str">
        <x:v>Bestand nach Merge visuell kontrollieren</x:v>
      </x:c>
      <x:c r="I36" s="331" t="str">
        <x:v>Deckt die gezielte Odenwald-Lücke bereits ab.</x:v>
      </x:c>
      <x:c r="J36" s="331" t="str">
        <x:v>Bestehenden Kartenpunkt priorisieren/taggen</x:v>
      </x:c>
      <x:c r="K36" s="331" t="str">
        <x:v>BEST-152</x:v>
      </x:c>
      <x:c r="L36" s="317" t="str">
        <x:v>Gelb</x:v>
      </x:c>
      <x:c r="M36" s="332" t="str">
        <x:v>bei Gelegenheit / im Sammel-Geocode</x:v>
      </x:c>
    </x:row>
    <x:row r="37">
      <x:c r="A37" s="331" t="str">
        <x:v>Final 4.4.x</x:v>
      </x:c>
      <x:c r="B37" s="333" t="str">
        <x:v>MITTEL</x:v>
      </x:c>
      <x:c r="C37" s="331" t="str">
        <x:v>fast forward Karriereberatung GmbH</x:v>
      </x:c>
      <x:c r="D37" s="331" t="str">
        <x:v>Arbeitsvermittlung / Coaching</x:v>
      </x:c>
      <x:c r="E37" s="331" t="str">
        <x:v>Frankfurt am Main</x:v>
      </x:c>
      <x:c r="F37" s="331" t="str">
        <x:v>Frankfurt am Main</x:v>
      </x:c>
      <x:c r="G37" s="331" t="str">
        <x:v>Altbestand; Standortdetails vor Einsatz erneut prüfen</x:v>
      </x:c>
      <x:c r="H37" s="331" t="str">
        <x:v>Bestand nach Merge visuell kontrollieren</x:v>
      </x:c>
      <x:c r="I37" s="331" t="str">
        <x:v>Nicht löschen, aber klar unterhalb echter Reha-Integrationsdienste priorisieren.</x:v>
      </x:c>
      <x:c r="J37" s="331" t="str">
        <x:v>Bestand als Ergänzungsanbieter erhalten; nicht priorisieren</x:v>
      </x:c>
      <x:c r="K37" s="331" t="str">
        <x:v>AV-BEST-210</x:v>
      </x:c>
      <x:c r="L37" s="317" t="str">
        <x:v>Gelb</x:v>
      </x:c>
      <x:c r="M37" s="332" t="str">
        <x:v>bei Gelegenheit / im Sammel-Geocode</x:v>
      </x:c>
    </x:row>
    <x:row r="38">
      <x:c r="A38" s="331" t="str">
        <x:v>Final 4.4.x</x:v>
      </x:c>
      <x:c r="B38" s="333" t="str">
        <x:v>MITTEL</x:v>
      </x:c>
      <x:c r="C38" s="331" t="str">
        <x:v>SRH Kurpfalzkrankenhaus Heidelberg</x:v>
      </x:c>
      <x:c r="D38" s="331" t="str">
        <x:v>Neurologische Reha</x:v>
      </x:c>
      <x:c r="E38" s="331" t="str">
        <x:v>Bonhoefferstraße 5 69123 Heidelberg</x:v>
      </x:c>
      <x:c r="F38" s="331" t="str">
        <x:v>Heidelberg</x:v>
      </x:c>
      <x:c r="G38" s="331" t="str">
        <x:v>Einrichtungsstandort geprüft</x:v>
      </x:c>
      <x:c r="H38" s="331" t="str">
        <x:v>Bestand nach Merge visuell kontrollieren</x:v>
      </x:c>
      <x:c r="I38" s="331" t="str">
        <x:v>Keine zusätzliche Phase-C-Zuordnung übernehmen.</x:v>
      </x:c>
      <x:c r="J38" s="331" t="str">
        <x:v>Bestand – Phase-B-Zuordnung bestätigen</x:v>
      </x:c>
      <x:c r="K38" s="331" t="str">
        <x:v>BEST-B02</x:v>
      </x:c>
      <x:c r="L38" s="317" t="str">
        <x:v>Gelb</x:v>
      </x:c>
      <x:c r="M38" s="332" t="str">
        <x:v>bei Gelegenheit / im Sammel-Geocode</x:v>
      </x:c>
    </x:row>
    <x:row r="39">
      <x:c r="A39" s="331" t="str">
        <x:v>Final 4.4.x</x:v>
      </x:c>
      <x:c r="B39" s="333" t="str">
        <x:v>MITTEL</x:v>
      </x:c>
      <x:c r="C39" s="331" t="str">
        <x:v>Stephanuswerk Isny – Bildungszentrum</x:v>
      </x:c>
      <x:c r="D39" s="331" t="str">
        <x:v>Berufliche Reha / Neurologie Phase E</x:v>
      </x:c>
      <x:c r="E39" s="331" t="str">
        <x:v>Maierhöfener Straße 56 88316 Isny im Allgäu</x:v>
      </x:c>
      <x:c r="F39" s="331" t="str">
        <x:v>Isny im Allgäu</x:v>
      </x:c>
      <x:c r="G39" s="331" t="str">
        <x:v>Hausadresse verifiziert</x:v>
      </x:c>
      <x:c r="H39" s="331" t="str">
        <x:v>Bestand nach Merge visuell kontrollieren</x:v>
      </x:c>
      <x:c r="I39" s="331" t="str">
        <x:v>Phase E/LTA; ausdrücklich keine medizinische Phase-A-D-Klinik.</x:v>
      </x:c>
      <x:c r="J39" s="331" t="str">
        <x:v>Bestehenden Kartenpunkt fachlich korrigieren</x:v>
      </x:c>
      <x:c r="K39" s="331" t="str">
        <x:v>BEST-340</x:v>
      </x:c>
      <x:c r="L39" s="317" t="str">
        <x:v>Gelb</x:v>
      </x:c>
      <x:c r="M39" s="332" t="str">
        <x:v>bei Gelegenheit / im Sammel-Geocode</x:v>
      </x:c>
    </x:row>
    <x:row r="40">
      <x:c r="A40" s="331" t="str">
        <x:v>Final 4.4.x</x:v>
      </x:c>
      <x:c r="B40" s="333" t="str">
        <x:v>MITTEL</x:v>
      </x:c>
      <x:c r="C40" s="331" t="str">
        <x:v>Jochen Martini – Architektur/Gutachten Wohnen</x:v>
      </x:c>
      <x:c r="D40" s="331" t="str">
        <x:v>Soziale Teilhabe / Wohnen</x:v>
      </x:c>
      <x:c r="E40" s="331" t="str">
        <x:v>Am Dicken Stein 49 67466 Lambrecht (Pfalz)</x:v>
      </x:c>
      <x:c r="F40" s="331" t="str">
        <x:v>Lambrecht (Pfalz)</x:v>
      </x:c>
      <x:c r="G40" s="331" t="str">
        <x:v>Adresse bestätigt; numerische Hauskoordinate im Gesamtimport nicht neu überschrieben</x:v>
      </x:c>
      <x:c r="H40" s="331" t="str">
        <x:v>Bestand nach Merge visuell kontrollieren</x:v>
      </x:c>
      <x:c r="I40" s="331" t="str">
        <x:v>Soziale Teilhabe/Wohnen als eigenständiger Bereich; Martini darf nicht erneut verloren gehen.</x:v>
      </x:c>
      <x:c r="J40" s="331" t="str">
        <x:v>Bestehenden Kartenpunkt verbindlich beibehalten</x:v>
      </x:c>
      <x:c r="K40" s="331" t="str">
        <x:v>BEST-SOZ1</x:v>
      </x:c>
      <x:c r="L40" s="317" t="str">
        <x:v>Gelb</x:v>
      </x:c>
      <x:c r="M40" s="332" t="str">
        <x:v>bei Gelegenheit / im Sammel-Geocode</x:v>
      </x:c>
    </x:row>
    <x:row r="41">
      <x:c r="A41" s="331" t="str">
        <x:v>Final 4.4.x</x:v>
      </x:c>
      <x:c r="B41" s="333" t="str">
        <x:v>MITTEL</x:v>
      </x:c>
      <x:c r="C41" s="331" t="str">
        <x:v>Junge Pflege St. Anastasia – Fachpflege Neurophase F</x:v>
      </x:c>
      <x:c r="D41" s="331" t="str">
        <x:v>Neurologische Reha</x:v>
      </x:c>
      <x:c r="E41" s="331" t="str">
        <x:v>Albert-Schweitzer-Straße 3 67117 Limburgerhof</x:v>
      </x:c>
      <x:c r="F41" s="331" t="str">
        <x:v>Limburgerhof</x:v>
      </x:c>
      <x:c r="G41" s="331" t="str">
        <x:v>Gebäude-/Adresspunkt verifiziert</x:v>
      </x:c>
      <x:c r="H41" s="331" t="str">
        <x:v>Bestand nach Merge visuell kontrollieren</x:v>
      </x:c>
      <x:c r="I41" s="331" t="str">
        <x:v>Aktiver Phase-F-Standort; Storchenpark Speyer dagegen entfernen.</x:v>
      </x:c>
      <x:c r="J41" s="331" t="str">
        <x:v>Bestand – Phase F bestätigen</x:v>
      </x:c>
      <x:c r="K41" s="331" t="str">
        <x:v>BEST-F01</x:v>
      </x:c>
      <x:c r="L41" s="317" t="str">
        <x:v>Gelb</x:v>
      </x:c>
      <x:c r="M41" s="332" t="str">
        <x:v>bei Gelegenheit / im Sammel-Geocode</x:v>
      </x:c>
    </x:row>
    <x:row r="42">
      <x:c r="A42" s="331" t="str">
        <x:v>Final 4.4.x</x:v>
      </x:c>
      <x:c r="B42" s="333" t="str">
        <x:v>MITTEL</x:v>
      </x:c>
      <x:c r="C42" s="331" t="str">
        <x:v>AWO Mannheim – Arbeit &amp; Migration / Arbeitsvermittlung</x:v>
      </x:c>
      <x:c r="D42" s="331" t="str">
        <x:v>Arbeitsvermittlung / Jobakquise</x:v>
      </x:c>
      <x:c r="E42" s="331" t="str">
        <x:v>Donarstraße 45 68305 Mannheim</x:v>
      </x:c>
      <x:c r="F42" s="331" t="str">
        <x:v>Mannheim</x:v>
      </x:c>
      <x:c r="G42" s="331" t="str">
        <x:v>Altbestand adressgenau verifiziert</x:v>
      </x:c>
      <x:c r="H42" s="331" t="str">
        <x:v>Bestand nach Merge visuell kontrollieren</x:v>
      </x:c>
      <x:c r="I42" s="331" t="str">
        <x:v>Historischer A-Anbieter; darf beim Merge nicht verloren gehen.</x:v>
      </x:c>
      <x:c r="J42" s="331" t="str">
        <x:v>Bestehenden Kartenpunkt beibehalten</x:v>
      </x:c>
      <x:c r="K42" s="331" t="str">
        <x:v>AV-BEST-209</x:v>
      </x:c>
      <x:c r="L42" s="317" t="str">
        <x:v>Gelb</x:v>
      </x:c>
      <x:c r="M42" s="332" t="str">
        <x:v>bei Gelegenheit / im Sammel-Geocode</x:v>
      </x:c>
    </x:row>
    <x:row r="43">
      <x:c r="A43" s="331" t="str">
        <x:v>Final 4.4.x</x:v>
      </x:c>
      <x:c r="B43" s="333" t="str">
        <x:v>MITTEL</x:v>
      </x:c>
      <x:c r="C43" s="331" t="str">
        <x:v>IFA – Institut für Arbeitsvermittlung und Kommunikation</x:v>
      </x:c>
      <x:c r="D43" s="331" t="str">
        <x:v>Arbeitsvermittlung / Jobakquise</x:v>
      </x:c>
      <x:c r="E43" s="331" t="str">
        <x:v>Talstraße 32a 68259 Mannheim</x:v>
      </x:c>
      <x:c r="F43" s="331" t="str">
        <x:v>Mannheim</x:v>
      </x:c>
      <x:c r="G43" s="331" t="str">
        <x:v>Altbestand adressgenau verifiziert</x:v>
      </x:c>
      <x:c r="H43" s="331" t="str">
        <x:v>Bestand nach Merge visuell kontrollieren</x:v>
      </x:c>
      <x:c r="I43" s="331" t="str">
        <x:v>Historischer B-Anbieter; keine Reha-Erfahrung hinzuerfinden.</x:v>
      </x:c>
      <x:c r="J43" s="331" t="str">
        <x:v>Bestehenden Kartenpunkt beibehalten</x:v>
      </x:c>
      <x:c r="K43" s="331" t="str">
        <x:v>AV-BEST-206</x:v>
      </x:c>
      <x:c r="L43" s="317" t="str">
        <x:v>Gelb</x:v>
      </x:c>
      <x:c r="M43" s="332" t="str">
        <x:v>bei Gelegenheit / im Sammel-Geocode</x:v>
      </x:c>
    </x:row>
    <x:row r="44">
      <x:c r="A44" s="331" t="str">
        <x:v>Final 4.4.x</x:v>
      </x:c>
      <x:c r="B44" s="333" t="str">
        <x:v>MITTEL</x:v>
      </x:c>
      <x:c r="C44" s="331" t="str">
        <x:v>Mobilcenter Zawatzky GmbH – Meckesheim</x:v>
      </x:c>
      <x:c r="D44" s="331" t="str">
        <x:v>Kfz &amp; Mobilität</x:v>
      </x:c>
      <x:c r="E44" s="331" t="str">
        <x:v>Bemannsbruch 2-4 74909 Meckesheim</x:v>
      </x:c>
      <x:c r="F44" s="331" t="str">
        <x:v>Meckesheim</x:v>
      </x:c>
      <x:c r="G44" s="331" t="str">
        <x:v>adressgenau verifiziert</x:v>
      </x:c>
      <x:c r="H44" s="331" t="str">
        <x:v>Bestand nach Merge visuell kontrollieren</x:v>
      </x:c>
      <x:c r="I44" s="331" t="str">
        <x:v>Umbau und Fahrschule getrennt führen, aber verknüpfen.</x:v>
      </x:c>
      <x:c r="J44" s="331" t="str">
        <x:v>Bestehenden Kartenpunkt beibehalten</x:v>
      </x:c>
      <x:c r="K44" s="331" t="str">
        <x:v>BEST-224</x:v>
      </x:c>
      <x:c r="L44" s="317" t="str">
        <x:v>Gelb</x:v>
      </x:c>
      <x:c r="M44" s="332" t="str">
        <x:v>bei Gelegenheit / im Sammel-Geocode</x:v>
      </x:c>
    </x:row>
    <x:row r="45">
      <x:c r="A45" s="331" t="str">
        <x:v>Final 4.4.x</x:v>
      </x:c>
      <x:c r="B45" s="333" t="str">
        <x:v>MITTEL</x:v>
      </x:c>
      <x:c r="C45" s="331" t="str">
        <x:v>Fuß-Check GmbH – Saarlouis</x:v>
      </x:c>
      <x:c r="D45" s="331" t="str">
        <x:v>Hilfsmittel / Orthopädieschuhtechnik</x:v>
      </x:c>
      <x:c r="E45" s="331" t="str">
        <x:v>Lothringer Straße 3-5 66740 Saarlouis</x:v>
      </x:c>
      <x:c r="F45" s="331" t="str">
        <x:v>Saarlouis</x:v>
      </x:c>
      <x:c r="G45" s="331" t="str">
        <x:v>Adresse/Kontakt geprüft; numerische Hauskoordinate in dieser Runde nicht neu gesetzt</x:v>
      </x:c>
      <x:c r="H45" s="331" t="str">
        <x:v>Bestand nach Merge visuell kontrollieren</x:v>
      </x:c>
      <x:c r="I45" s="331" t="str">
        <x:v>Die früher besprochene Sprechstunde an der BG Klinik Ludwigshafen erst wieder als Unterdienst führen, wenn aktuell eindeutig bestätigt.</x:v>
      </x:c>
      <x:c r="J45" s="331" t="str">
        <x:v>Bestehenden Spezialanbieter beibehalten</x:v>
      </x:c>
      <x:c r="K45" s="331" t="str">
        <x:v>SP44-001</x:v>
      </x:c>
      <x:c r="L45" s="317" t="str">
        <x:v>Gelb</x:v>
      </x:c>
      <x:c r="M45" s="332" t="str">
        <x:v>bei Gelegenheit / im Sammel-Geocode</x:v>
      </x:c>
    </x:row>
    <x:row r="46">
      <x:c r="A46" s="382" t="str">
        <x:v>Final 4.4.x</x:v>
      </x:c>
      <x:c r="B46" s="383" t="str">
        <x:v>MITTEL</x:v>
      </x:c>
      <x:c r="C46" s="382" t="str">
        <x:v>Arbeitsmedizin Speyer – Dr. med. Stephanie Grabs</x:v>
      </x:c>
      <x:c r="D46" s="382" t="str">
        <x:v>Arbeitsmedizin</x:v>
      </x:c>
      <x:c r="E46" s="382" t="str">
        <x:v>Eselsdamm 46, 67346 Speyer</x:v>
      </x:c>
      <x:c r="F46" s="382" t="str">
        <x:v>Speyer</x:v>
      </x:c>
      <x:c r="G46" s="382" t="str">
        <x:v>Adresse und numerische Hauskoordinate geprüft</x:v>
      </x:c>
      <x:c r="H46" s="382" t="str">
        <x:v>Bestand nach Merge visuell kontrolliert</x:v>
      </x:c>
      <x:c r="I46" s="382" t="str">
        <x:v>Korrektur vollständig umgesetzt; 49.3217624 / 8.4402816; keine Dublette.</x:v>
      </x:c>
      <x:c r="J46" s="382" t="str">
        <x:v>Kartenpunkt – Koordinate geprüft</x:v>
      </x:c>
      <x:c r="K46" s="382" t="str">
        <x:v>AM44-001</x:v>
      </x:c>
      <x:c r="L46" s="384" t="str">
        <x:v>Grün</x:v>
      </x:c>
      <x:c r="M46" s="385" t="str">
        <x:v>erledigt</x:v>
      </x:c>
    </x:row>
    <x:row r="47">
      <x:c r="A47" s="331" t="str">
        <x:v>Final 4.4.x</x:v>
      </x:c>
      <x:c r="B47" s="333" t="str">
        <x:v>MITTEL</x:v>
      </x:c>
      <x:c r="C47" s="331" t="str">
        <x:v>Neuropraxis Wertheim</x:v>
      </x:c>
      <x:c r="D47" s="331" t="str">
        <x:v>Neurologisch-psychiatrische Praxen</x:v>
      </x:c>
      <x:c r="E47" s="331" t="str">
        <x:v>Bahnhofstraße 33 97877 Wertheim</x:v>
      </x:c>
      <x:c r="F47" s="331" t="str">
        <x:v>Wertheim</x:v>
      </x:c>
      <x:c r="G47" s="331" t="str">
        <x:v>adressgenau verifiziert</x:v>
      </x:c>
      <x:c r="H47" s="331" t="str">
        <x:v>Bestand nach Merge visuell kontrollieren</x:v>
      </x:c>
      <x:c r="I47" s="331" t="str">
        <x:v>Verbindlich als fester Aufnahmebestand; Kategorie von 'Sonstige' auf Neurologie/Psychiatrie bereinigen.</x:v>
      </x:c>
      <x:c r="J47" s="331" t="str">
        <x:v>Bestehenden Kartenpunkt aktualisieren</x:v>
      </x:c>
      <x:c r="K47" s="331" t="str">
        <x:v>BEST-153</x:v>
      </x:c>
      <x:c r="L47" s="317" t="str">
        <x:v>Gelb</x:v>
      </x:c>
      <x:c r="M47" s="332" t="str">
        <x:v>bei Gelegenheit / im Sammel-Geocode</x:v>
      </x:c>
    </x:row>
    <x:row r="48">
      <x:c r="A48" s="331" t="str">
        <x:v>Final 4.4.x</x:v>
      </x:c>
      <x:c r="B48" s="333" t="str">
        <x:v>MITTEL</x:v>
      </x:c>
      <x:c r="C48" s="331" t="str">
        <x:v>Bundesagentur für Arbeit – Technischer Beratungsdienst</x:v>
      </x:c>
      <x:c r="D48" s="331" t="str">
        <x:v>Technische Arbeitsplatzanpassung</x:v>
      </x:c>
      <x:c r="E48" s="331" t="str"/>
      <x:c r="F48" s="331"/>
      <x:c r="G48" s="331" t="str">
        <x:v>Kein Einzelpunkt erforderlich</x:v>
      </x:c>
      <x:c r="H48" s="331" t="str">
        <x:v>Kein Pin – Such-/Serviceeintrag kontrollieren</x:v>
      </x:c>
      <x:c r="I48" s="331" t="str">
        <x:v>Bundesweiter Fachdienst; kein einzelner Kartenpunkt. Zugang über regionale Agentur für Arbeit/Jobcenter.</x:v>
      </x:c>
      <x:c r="J48" s="331" t="str">
        <x:v>Kein Einzelpunkt – bundesweiter Fachdienst</x:v>
      </x:c>
      <x:c r="K48" s="331" t="str">
        <x:v>T-044</x:v>
      </x:c>
      <x:c r="L48" s="317" t="str">
        <x:v>Gelb</x:v>
      </x:c>
      <x:c r="M48" s="332" t="str">
        <x:v>bei Gelegenheit / im Sammel-Geocode</x:v>
      </x:c>
    </x:row>
    <x:row r="49">
      <x:c r="A49" s="331" t="str">
        <x:v>Final 4.4.x</x:v>
      </x:c>
      <x:c r="B49" s="333" t="str">
        <x:v>MITTEL</x:v>
      </x:c>
      <x:c r="C49" s="331" t="str">
        <x:v>CareService – Pflegegutachten &amp; Versorgungsmanagement</x:v>
      </x:c>
      <x:c r="D49" s="331" t="str">
        <x:v>Pflegeberatung / Pflegegutachten</x:v>
      </x:c>
      <x:c r="E49" s="331" t="str">
        <x:v>Kammerrathsfeldstraße 20 40593 Düsseldorf</x:v>
      </x:c>
      <x:c r="F49" s="331" t="str">
        <x:v>Düsseldorf</x:v>
      </x:c>
      <x:c r="G49" s="331" t="str">
        <x:v>Kontakt-/Sitzadresse geprüft; HQ nicht als Versorgungsnähe interpretieren</x:v>
      </x:c>
      <x:c r="H49" s="331" t="str">
        <x:v>Kein Pin – Such-/Serviceeintrag kontrollieren</x:v>
      </x:c>
      <x:c r="I49" s="331" t="str">
        <x:v>A+; für schwere Pflegefälle besonders hoher GUV-Nutzen.</x:v>
      </x:c>
      <x:c r="J49" s="331" t="str">
        <x:v>Überregionaler Dienst – HQ nicht für Distanz-/Umkreisranking</x:v>
      </x:c>
      <x:c r="K49" s="331" t="str">
        <x:v>PF44-006</x:v>
      </x:c>
      <x:c r="L49" s="317" t="str">
        <x:v>Gelb</x:v>
      </x:c>
      <x:c r="M49" s="332" t="str">
        <x:v>bei Gelegenheit / im Sammel-Geocode</x:v>
      </x:c>
    </x:row>
    <x:row r="50">
      <x:c r="A50" s="331" t="str">
        <x:v>Final 4.4.x</x:v>
      </x:c>
      <x:c r="B50" s="333" t="str">
        <x:v>MITTEL</x:v>
      </x:c>
      <x:c r="C50" s="331" t="str">
        <x:v>InReha – Reha-Management / berufliche Integration</x:v>
      </x:c>
      <x:c r="D50" s="331" t="str">
        <x:v>Arbeitsvermittlung / Reha-Integration</x:v>
      </x:c>
      <x:c r="E50" s="331" t="str">
        <x:v>Frahmredder 14 22393 Hamburg</x:v>
      </x:c>
      <x:c r="F50" s="331" t="str">
        <x:v>Hamburg</x:v>
      </x:c>
      <x:c r="G50" s="331" t="str">
        <x:v>Sitzadresse geprüft; bundesweiter Dienst</x:v>
      </x:c>
      <x:c r="H50" s="331" t="str">
        <x:v>Kein Pin – Such-/Serviceeintrag kontrollieren</x:v>
      </x:c>
      <x:c r="I50" s="331" t="str">
        <x:v>A+; besonders hoher BG-/UV-Bezug.</x:v>
      </x:c>
      <x:c r="J50" s="331" t="str">
        <x:v>Überregionaler Dienst – HQ nicht für Distanz-/Umkreisranking</x:v>
      </x:c>
      <x:c r="K50" s="331" t="str">
        <x:v>AV44-001</x:v>
      </x:c>
      <x:c r="L50" s="317" t="str">
        <x:v>Gelb</x:v>
      </x:c>
      <x:c r="M50" s="332" t="str">
        <x:v>bei Gelegenheit / im Sammel-Geocode</x:v>
      </x:c>
    </x:row>
    <x:row r="51">
      <x:c r="A51" s="331" t="str">
        <x:v>Final 4.4.x</x:v>
      </x:c>
      <x:c r="B51" s="333" t="str">
        <x:v>MITTEL</x:v>
      </x:c>
      <x:c r="C51" s="331" t="str">
        <x:v>IHR Rehabilitations-Dienst GmbH</x:v>
      </x:c>
      <x:c r="D51" s="331" t="str">
        <x:v>Arbeitsvermittlung / Reha-Integration</x:v>
      </x:c>
      <x:c r="E51" s="331" t="str">
        <x:v>Theodor-Heuss-Ring 52 50668 Köln</x:v>
      </x:c>
      <x:c r="F51" s="331" t="str">
        <x:v>Köln</x:v>
      </x:c>
      <x:c r="G51" s="331" t="str">
        <x:v>Sitzadresse geprüft; bundesweiter Dienst</x:v>
      </x:c>
      <x:c r="H51" s="331" t="str">
        <x:v>Kein Pin – Such-/Serviceeintrag kontrollieren</x:v>
      </x:c>
      <x:c r="I51" s="331" t="str">
        <x:v>A+; umfassender LTA-/Integrationsdienst.</x:v>
      </x:c>
      <x:c r="J51" s="331" t="str">
        <x:v>Überregionaler Dienst – HQ nicht für Distanz-/Umkreisranking</x:v>
      </x:c>
      <x:c r="K51" s="331" t="str">
        <x:v>AV44-004</x:v>
      </x:c>
      <x:c r="L51" s="317" t="str">
        <x:v>Gelb</x:v>
      </x:c>
      <x:c r="M51" s="332" t="str">
        <x:v>bei Gelegenheit / im Sammel-Geocode</x:v>
      </x:c>
    </x:row>
    <x:row r="52">
      <x:c r="A52" s="331" t="str">
        <x:v>Final 4.4.x</x:v>
      </x:c>
      <x:c r="B52" s="333" t="str">
        <x:v>MITTEL</x:v>
      </x:c>
      <x:c r="C52" s="331" t="str">
        <x:v>RehaCare – Reha-Management / berufliche Integration / Pflege</x:v>
      </x:c>
      <x:c r="D52" s="331" t="str">
        <x:v>Reha-Management / berufliche Integration / Pflege</x:v>
      </x:c>
      <x:c r="E52" s="331" t="str">
        <x:v>Kapuzinerstraße 9D 80337 München</x:v>
      </x:c>
      <x:c r="F52" s="331" t="str">
        <x:v>München</x:v>
      </x:c>
      <x:c r="G52" s="331" t="str">
        <x:v>Sitzadresse geprüft; bundesweiter Dienst</x:v>
      </x:c>
      <x:c r="H52" s="331" t="str">
        <x:v>Kein Pin – Such-/Serviceeintrag kontrollieren</x:v>
      </x:c>
      <x:c r="I52" s="331" t="str">
        <x:v>A+; als ein logischer Anbieter cross-taggen, keine Dublette Pflege/Arbeitsvermittlung.</x:v>
      </x:c>
      <x:c r="J52" s="331" t="str">
        <x:v>Überregionaler Dienst – HQ nicht für Distanz-/Umkreisranking</x:v>
      </x:c>
      <x:c r="K52" s="331" t="str">
        <x:v>AV44-003</x:v>
      </x:c>
      <x:c r="L52" s="317" t="str">
        <x:v>Gelb</x:v>
      </x:c>
      <x:c r="M52" s="332" t="str">
        <x:v>bei Gelegenheit / im Sammel-Geocode</x:v>
      </x:c>
    </x:row>
    <x:row r="53">
      <x:c r="A53" s="331" t="str">
        <x:v>Final 4.4.x</x:v>
      </x:c>
      <x:c r="B53" s="333" t="str">
        <x:v>MITTEL</x:v>
      </x:c>
      <x:c r="C53" s="331" t="str">
        <x:v>ReIntra GmbH</x:v>
      </x:c>
      <x:c r="D53" s="331" t="str">
        <x:v>Arbeitsvermittlung / Reha-Integration</x:v>
      </x:c>
      <x:c r="E53" s="331" t="str">
        <x:v>Bahnhofstraße 16 85774 Unterföhring</x:v>
      </x:c>
      <x:c r="F53" s="331" t="str">
        <x:v>Unterföhring</x:v>
      </x:c>
      <x:c r="G53" s="331" t="str">
        <x:v>Sitzadresse geprüft; überregionaler Dienst</x:v>
      </x:c>
      <x:c r="H53" s="331" t="str">
        <x:v>Kein Pin – Such-/Serviceeintrag kontrollieren</x:v>
      </x:c>
      <x:c r="I53" s="331" t="str">
        <x:v>A; versicherungsnah, konkrete UV-/BG-Beauftragung im Einzelfall prüfen.</x:v>
      </x:c>
      <x:c r="J53" s="331" t="str">
        <x:v>Überregionaler Dienst – HQ nicht für Distanz-/Umkreisranking</x:v>
      </x:c>
      <x:c r="K53" s="331" t="str">
        <x:v>AV44-005</x:v>
      </x:c>
      <x:c r="L53" s="317" t="str">
        <x:v>Gelb</x:v>
      </x:c>
      <x:c r="M53" s="332" t="str">
        <x:v>bei Gelegenheit / im Sammel-Geocode</x:v>
      </x:c>
    </x:row>
    <x:row r="54">
      <x:c r="A54" s="331" t="str">
        <x:v>Final 4.4.x</x:v>
      </x:c>
      <x:c r="B54" s="333" t="str">
        <x:v>MITTEL</x:v>
      </x:c>
      <x:c r="C54" s="331" t="str">
        <x:v>Reinecker Vision GmbH</x:v>
      </x:c>
      <x:c r="D54" s="331" t="str">
        <x:v>Technische Arbeitsplatzanpassung</x:v>
      </x:c>
      <x:c r="E54" s="331" t="str">
        <x:v>Sandwiesenstraße 19 64665 Alsbach-Hähnlein</x:v>
      </x:c>
      <x:c r="F54" s="331" t="str">
        <x:v>Alsbach-Hähnlein</x:v>
      </x:c>
      <x:c r="G54" s="331" t="str">
        <x:v>Adresse/Kontakt geprüft; numerische Hauskoordinate noch nicht separat verifiziert</x:v>
      </x:c>
      <x:c r="H54" s="331" t="str">
        <x:v>Sammel-Geocode / anschließend Sichtkontrolle</x:v>
      </x:c>
      <x:c r="I54" s="331" t="str">
        <x:v>Hauptsitz als Kartenpunkt; Servicecenter Erlenweg 3+5 ggf. später als Zusatzstandort.</x:v>
      </x:c>
      <x:c r="J54" s="331" t="str">
        <x:v>Kartenpunkt – Adresse geprüft</x:v>
      </x:c>
      <x:c r="K54" s="331" t="str">
        <x:v>T-037</x:v>
      </x:c>
      <x:c r="L54" s="317" t="str">
        <x:v>Gelb</x:v>
      </x:c>
      <x:c r="M54" s="332" t="str">
        <x:v>bei Gelegenheit / im Sammel-Geocode</x:v>
      </x:c>
    </x:row>
    <x:row r="55">
      <x:c r="A55" s="331" t="str">
        <x:v>Final 4.4.x</x:v>
      </x:c>
      <x:c r="B55" s="333" t="str">
        <x:v>MITTEL</x:v>
      </x:c>
      <x:c r="C55" s="331" t="str">
        <x:v>German Tools GmbH</x:v>
      </x:c>
      <x:c r="D55" s="331" t="str">
        <x:v>Technische Arbeitsplatzanpassung</x:v>
      </x:c>
      <x:c r="E55" s="331" t="str">
        <x:v>Boschstraße 3 59609 Anröchte</x:v>
      </x:c>
      <x:c r="F55" s="331" t="str">
        <x:v>Anröchte</x:v>
      </x:c>
      <x:c r="G55" s="331" t="str">
        <x:v>Adresse/Kontakt geprüft; numerische Hauskoordinate noch nicht separat verifiziert</x:v>
      </x:c>
      <x:c r="H55" s="331" t="str">
        <x:v>Sammel-Geocode / anschließend Sichtkontrolle</x:v>
      </x:c>
      <x:c r="I55" s="331" t="str">
        <x:v>Aktuelle Adresse; Umzug seit 2025 berücksichtigt.</x:v>
      </x:c>
      <x:c r="J55" s="331" t="str">
        <x:v>Kartenpunkt – Adresse geprüft</x:v>
      </x:c>
      <x:c r="K55" s="331" t="str">
        <x:v>T-018</x:v>
      </x:c>
      <x:c r="L55" s="317" t="str">
        <x:v>Gelb</x:v>
      </x:c>
      <x:c r="M55" s="332" t="str">
        <x:v>bei Gelegenheit / im Sammel-Geocode</x:v>
      </x:c>
    </x:row>
    <x:row r="56">
      <x:c r="A56" s="331" t="str">
        <x:v>Final 4.4.x</x:v>
      </x:c>
      <x:c r="B56" s="333" t="str">
        <x:v>MITTEL</x:v>
      </x:c>
      <x:c r="C56" s="331" t="str">
        <x:v>HOLZ automation GmbH</x:v>
      </x:c>
      <x:c r="D56" s="331" t="str">
        <x:v>Technische Arbeitsplatzanpassung</x:v>
      </x:c>
      <x:c r="E56" s="331" t="str">
        <x:v>Donaustraße 23 71522 Backnang</x:v>
      </x:c>
      <x:c r="F56" s="331" t="str">
        <x:v>Backnang</x:v>
      </x:c>
      <x:c r="G56" s="331" t="str">
        <x:v>Adresse/Kontakt geprüft; numerische Hauskoordinate noch nicht separat verifiziert</x:v>
      </x:c>
      <x:c r="H56" s="331" t="str">
        <x:v>Sammel-Geocode / anschließend Sichtkontrolle</x:v>
      </x:c>
      <x:c r="I56" s="331" t="str">
        <x:v>Standort Backnang-Waldrems verifiziert.</x:v>
      </x:c>
      <x:c r="J56" s="331" t="str">
        <x:v>Kartenpunkt – Adresse geprüft</x:v>
      </x:c>
      <x:c r="K56" s="331" t="str">
        <x:v>T-031</x:v>
      </x:c>
      <x:c r="L56" s="317" t="str">
        <x:v>Gelb</x:v>
      </x:c>
      <x:c r="M56" s="332" t="str">
        <x:v>bei Gelegenheit / im Sammel-Geocode</x:v>
      </x:c>
    </x:row>
    <x:row r="57">
      <x:c r="A57" s="331" t="str">
        <x:v>Final 4.4.x</x:v>
      </x:c>
      <x:c r="B57" s="333" t="str">
        <x:v>MITTEL</x:v>
      </x:c>
      <x:c r="C57" s="331" t="str">
        <x:v>HUNIC GmbH</x:v>
      </x:c>
      <x:c r="D57" s="331" t="str">
        <x:v>Technische Arbeitsplatzanpassung</x:v>
      </x:c>
      <x:c r="E57" s="331" t="str">
        <x:v>Bergerweg 51 72270 Baiersbronn</x:v>
      </x:c>
      <x:c r="F57" s="331" t="str">
        <x:v>Baiersbronn</x:v>
      </x:c>
      <x:c r="G57" s="331" t="str">
        <x:v>Adresse/Kontakt geprüft; numerische Hauskoordinate noch nicht separat verifiziert</x:v>
      </x:c>
      <x:c r="H57" s="331" t="str">
        <x:v>Sammel-Geocode / anschließend Sichtkontrolle</x:v>
      </x:c>
      <x:c r="I57" s="331" t="str">
        <x:v>Standort verifiziert.</x:v>
      </x:c>
      <x:c r="J57" s="331" t="str">
        <x:v>Kartenpunkt – Adresse geprüft</x:v>
      </x:c>
      <x:c r="K57" s="331" t="str">
        <x:v>T-021</x:v>
      </x:c>
      <x:c r="L57" s="317" t="str">
        <x:v>Gelb</x:v>
      </x:c>
      <x:c r="M57" s="332" t="str">
        <x:v>bei Gelegenheit / im Sammel-Geocode</x:v>
      </x:c>
    </x:row>
    <x:row r="58">
      <x:c r="A58" s="331" t="str">
        <x:v>Final 4.4.x</x:v>
      </x:c>
      <x:c r="B58" s="333" t="str">
        <x:v>MITTEL</x:v>
      </x:c>
      <x:c r="C58" s="331" t="str">
        <x:v>SPS Automation GmbH</x:v>
      </x:c>
      <x:c r="D58" s="331" t="str">
        <x:v>Technische Arbeitsplatzanpassung</x:v>
      </x:c>
      <x:c r="E58" s="331" t="str">
        <x:v>Langen-Morgenstraße 17 69488 Birkenau</x:v>
      </x:c>
      <x:c r="F58" s="331" t="str">
        <x:v>Birkenau</x:v>
      </x:c>
      <x:c r="G58" s="331" t="str">
        <x:v>Adresse aktuell widersprüchlich; vor finaler Geocodierung manuell bestätigen</x:v>
      </x:c>
      <x:c r="H58" s="331" t="str">
        <x:v>Sammel-Geocode / anschließend Sichtkontrolle</x:v>
      </x:c>
      <x:c r="I58" s="331" t="str">
        <x:v>Website nennt operativ Nr. 17; Impressum enthält zugleich Nr. 19. Vor produktivem Geocode einmal manuell gegenprüfen.</x:v>
      </x:c>
      <x:c r="J58" s="331" t="str">
        <x:v>Kartenpunkt – Geo-Warnung</x:v>
      </x:c>
      <x:c r="K58" s="331" t="str">
        <x:v>T-024</x:v>
      </x:c>
      <x:c r="L58" s="317" t="str">
        <x:v>Gelb</x:v>
      </x:c>
      <x:c r="M58" s="332" t="str">
        <x:v>bei Gelegenheit / im Sammel-Geocode</x:v>
      </x:c>
    </x:row>
    <x:row r="59">
      <x:c r="A59" s="331" t="str">
        <x:v>Final 4.4.x</x:v>
      </x:c>
      <x:c r="B59" s="333" t="str">
        <x:v>MITTEL</x:v>
      </x:c>
      <x:c r="C59" s="331" t="str">
        <x:v>ims Handhabungstechnik GmbH</x:v>
      </x:c>
      <x:c r="D59" s="331" t="str">
        <x:v>Technische Arbeitsplatzanpassung</x:v>
      </x:c>
      <x:c r="E59" s="331" t="str">
        <x:v>Langenmorgen 2/1 75015 Bretten</x:v>
      </x:c>
      <x:c r="F59" s="331" t="str">
        <x:v>Bretten</x:v>
      </x:c>
      <x:c r="G59" s="331" t="str">
        <x:v>Adresse/Kontakt geprüft; numerische Hauskoordinate noch nicht separat verifiziert</x:v>
      </x:c>
      <x:c r="H59" s="331" t="str">
        <x:v>Sammel-Geocode / anschließend Sichtkontrolle</x:v>
      </x:c>
      <x:c r="I59" s="331" t="str">
        <x:v>Aktuelle Firmenadresse. Alte Verzeichnisadresse Pforzheimer Str. 46 ausdrücklich verworfen.</x:v>
      </x:c>
      <x:c r="J59" s="331" t="str">
        <x:v>Kartenpunkt – Adresse geprüft</x:v>
      </x:c>
      <x:c r="K59" s="331" t="str">
        <x:v>T-006</x:v>
      </x:c>
      <x:c r="L59" s="317" t="str">
        <x:v>Gelb</x:v>
      </x:c>
      <x:c r="M59" s="332" t="str">
        <x:v>bei Gelegenheit / im Sammel-Geocode</x:v>
      </x:c>
    </x:row>
    <x:row r="60">
      <x:c r="A60" s="331" t="str">
        <x:v>Final 4.4.x</x:v>
      </x:c>
      <x:c r="B60" s="333" t="str">
        <x:v>MITTEL</x:v>
      </x:c>
      <x:c r="C60" s="331" t="str">
        <x:v>sachs products GmbH</x:v>
      </x:c>
      <x:c r="D60" s="331" t="str">
        <x:v>Technische Arbeitsplatzanpassung</x:v>
      </x:c>
      <x:c r="E60" s="331" t="str">
        <x:v>Robert-Bosch-Straße 1 78234 Engen</x:v>
      </x:c>
      <x:c r="F60" s="331" t="str">
        <x:v>Engen</x:v>
      </x:c>
      <x:c r="G60" s="331" t="str">
        <x:v>Adresse/Kontakt geprüft; numerische Hauskoordinate noch nicht separat verifiziert</x:v>
      </x:c>
      <x:c r="H60" s="331" t="str">
        <x:v>Sammel-Geocode / anschließend Sichtkontrolle</x:v>
      </x:c>
      <x:c r="I60" s="331" t="str">
        <x:v>Standort verifiziert; Handling-Vertrieb als Fachkontakt.</x:v>
      </x:c>
      <x:c r="J60" s="331" t="str">
        <x:v>Kartenpunkt – Adresse geprüft</x:v>
      </x:c>
      <x:c r="K60" s="331" t="str">
        <x:v>T-007</x:v>
      </x:c>
      <x:c r="L60" s="317" t="str">
        <x:v>Gelb</x:v>
      </x:c>
      <x:c r="M60" s="332" t="str">
        <x:v>bei Gelegenheit / im Sammel-Geocode</x:v>
      </x:c>
    </x:row>
    <x:row r="61">
      <x:c r="A61" s="331" t="str">
        <x:v>Final 4.4.x</x:v>
      </x:c>
      <x:c r="B61" s="333" t="str">
        <x:v>MITTEL</x:v>
      </x:c>
      <x:c r="C61" s="331" t="str">
        <x:v>Feinwerktechnik Ritzenthaler GmbH</x:v>
      </x:c>
      <x:c r="D61" s="331" t="str">
        <x:v>Technische Arbeitsplatzanpassung</x:v>
      </x:c>
      <x:c r="E61" s="331" t="str">
        <x:v>Staufener Straße 4 79427 Eschbach</x:v>
      </x:c>
      <x:c r="F61" s="331" t="str">
        <x:v>Eschbach</x:v>
      </x:c>
      <x:c r="G61" s="331" t="str">
        <x:v>Adresse/Kontakt geprüft; numerische Hauskoordinate noch nicht separat verifiziert</x:v>
      </x:c>
      <x:c r="H61" s="331" t="str">
        <x:v>Sammel-Geocode / anschließend Sichtkontrolle</x:v>
      </x:c>
      <x:c r="I61" s="331" t="str">
        <x:v>Sehr guter Fit: Analyse, Entwicklung, Fertigung, Vor-Ort-Montage und Retrofit aus einer Hand.</x:v>
      </x:c>
      <x:c r="J61" s="331" t="str">
        <x:v>Kartenpunkt – Adresse geprüft</x:v>
      </x:c>
      <x:c r="K61" s="331" t="str">
        <x:v>P-002</x:v>
      </x:c>
      <x:c r="L61" s="317" t="str">
        <x:v>Gelb</x:v>
      </x:c>
      <x:c r="M61" s="332" t="str">
        <x:v>bei Gelegenheit / im Sammel-Geocode</x:v>
      </x:c>
    </x:row>
    <x:row r="62">
      <x:c r="A62" s="331" t="str">
        <x:v>Final 4.4.x</x:v>
      </x:c>
      <x:c r="B62" s="333" t="str">
        <x:v>MITTEL</x:v>
      </x:c>
      <x:c r="C62" s="331" t="str">
        <x:v>Atlas Copco Industrial Technique</x:v>
      </x:c>
      <x:c r="D62" s="331" t="str">
        <x:v>Technische Arbeitsplatzanpassung</x:v>
      </x:c>
      <x:c r="E62" s="331" t="str">
        <x:v>Wetterschacht 9 45139 Essen</x:v>
      </x:c>
      <x:c r="F62" s="331" t="str">
        <x:v>Essen</x:v>
      </x:c>
      <x:c r="G62" s="331" t="str">
        <x:v>Adresse/Kontakt geprüft; numerische Hauskoordinate noch nicht separat verifiziert</x:v>
      </x:c>
      <x:c r="H62" s="331" t="str">
        <x:v>Sammel-Geocode / anschließend Sichtkontrolle</x:v>
      </x:c>
      <x:c r="I62" s="331" t="str">
        <x:v>Deutscher Industrial-Technique-Standort; Leistungsgebiet überregional.</x:v>
      </x:c>
      <x:c r="J62" s="331" t="str">
        <x:v>Kartenpunkt – Adresse geprüft</x:v>
      </x:c>
      <x:c r="K62" s="331" t="str">
        <x:v>T-019</x:v>
      </x:c>
      <x:c r="L62" s="317" t="str">
        <x:v>Gelb</x:v>
      </x:c>
      <x:c r="M62" s="332" t="str">
        <x:v>bei Gelegenheit / im Sammel-Geocode</x:v>
      </x:c>
    </x:row>
    <x:row r="63">
      <x:c r="A63" s="331" t="str">
        <x:v>Final 4.4.x</x:v>
      </x:c>
      <x:c r="B63" s="333" t="str">
        <x:v>MITTEL</x:v>
      </x:c>
      <x:c r="C63" s="331" t="str">
        <x:v>Fachdienste für Hörgeschädigte Rheinland-Pfalz</x:v>
      </x:c>
      <x:c r="D63" s="331" t="str">
        <x:v>Technische Arbeitsplatzanpassung</x:v>
      </x:c>
      <x:c r="E63" s="331" t="str">
        <x:v>Carl-Spitzweg-Straße 30 67227 Frankenthal (Pfalz)</x:v>
      </x:c>
      <x:c r="F63" s="331" t="str">
        <x:v>Frankenthal (Pfalz)</x:v>
      </x:c>
      <x:c r="G63" s="331" t="str">
        <x:v>Adresse/Kontakt geprüft; numerische Hauskoordinate noch nicht separat verifiziert</x:v>
      </x:c>
      <x:c r="H63" s="331" t="str">
        <x:v>Sammel-Geocode / anschließend Sichtkontrolle</x:v>
      </x:c>
      <x:c r="I63" s="331" t="str">
        <x:v>Standort Frankenthal verifiziert.</x:v>
      </x:c>
      <x:c r="J63" s="331" t="str">
        <x:v>Kartenpunkt – Adresse geprüft</x:v>
      </x:c>
      <x:c r="K63" s="331" t="str">
        <x:v>T-045</x:v>
      </x:c>
      <x:c r="L63" s="317" t="str">
        <x:v>Gelb</x:v>
      </x:c>
      <x:c r="M63" s="332" t="str">
        <x:v>bei Gelegenheit / im Sammel-Geocode</x:v>
      </x:c>
    </x:row>
    <x:row r="64">
      <x:c r="A64" s="331" t="str">
        <x:v>Final 4.4.x</x:v>
      </x:c>
      <x:c r="B64" s="333" t="str">
        <x:v>MITTEL</x:v>
      </x:c>
      <x:c r="C64" s="331" t="str">
        <x:v>bott GmbH &amp; Co. KG</x:v>
      </x:c>
      <x:c r="D64" s="331" t="str">
        <x:v>Technische Arbeitsplatzanpassung</x:v>
      </x:c>
      <x:c r="E64" s="331" t="str">
        <x:v>Bahnstraße 17 74405 Gaildorf</x:v>
      </x:c>
      <x:c r="F64" s="331" t="str">
        <x:v>Gaildorf</x:v>
      </x:c>
      <x:c r="G64" s="331" t="str">
        <x:v>Adresse/Kontakt geprüft; numerische Hauskoordinate noch nicht separat verifiziert</x:v>
      </x:c>
      <x:c r="H64" s="331" t="str">
        <x:v>Sammel-Geocode / anschließend Sichtkontrolle</x:v>
      </x:c>
      <x:c r="I64" s="331" t="str">
        <x:v>Standort verifiziert.</x:v>
      </x:c>
      <x:c r="J64" s="331" t="str">
        <x:v>Kartenpunkt – Adresse geprüft</x:v>
      </x:c>
      <x:c r="K64" s="331" t="str">
        <x:v>T-015</x:v>
      </x:c>
      <x:c r="L64" s="317" t="str">
        <x:v>Gelb</x:v>
      </x:c>
      <x:c r="M64" s="332" t="str">
        <x:v>bei Gelegenheit / im Sammel-Geocode</x:v>
      </x:c>
    </x:row>
    <x:row r="65">
      <x:c r="A65" s="331" t="str">
        <x:v>Final 4.4.x</x:v>
      </x:c>
      <x:c r="B65" s="333" t="str">
        <x:v>MITTEL</x:v>
      </x:c>
      <x:c r="C65" s="331" t="str">
        <x:v>AERO-LIFT Vakuumtechnik GmbH</x:v>
      </x:c>
      <x:c r="D65" s="331" t="str">
        <x:v>Technische Arbeitsplatzanpassung</x:v>
      </x:c>
      <x:c r="E65" s="331" t="str">
        <x:v>Turmstraße 1 72351 Geislingen-Binsdorf</x:v>
      </x:c>
      <x:c r="F65" s="331" t="str">
        <x:v>Geislingen-Binsdorf</x:v>
      </x:c>
      <x:c r="G65" s="331" t="str">
        <x:v>Adresse/Kontakt geprüft; numerische Hauskoordinate noch nicht separat verifiziert</x:v>
      </x:c>
      <x:c r="H65" s="331" t="str">
        <x:v>Sammel-Geocode / anschließend Sichtkontrolle</x:v>
      </x:c>
      <x:c r="I65" s="331" t="str">
        <x:v>Standort und Zentrale verifiziert.</x:v>
      </x:c>
      <x:c r="J65" s="331" t="str">
        <x:v>Kartenpunkt – Adresse geprüft</x:v>
      </x:c>
      <x:c r="K65" s="331" t="str">
        <x:v>T-005</x:v>
      </x:c>
      <x:c r="L65" s="317" t="str">
        <x:v>Gelb</x:v>
      </x:c>
      <x:c r="M65" s="332" t="str">
        <x:v>bei Gelegenheit / im Sammel-Geocode</x:v>
      </x:c>
    </x:row>
    <x:row r="66">
      <x:c r="A66" s="331" t="str">
        <x:v>Final 4.4.x</x:v>
      </x:c>
      <x:c r="B66" s="333" t="str">
        <x:v>MITTEL</x:v>
      </x:c>
      <x:c r="C66" s="331" t="str">
        <x:v>J. Schmalz GmbH</x:v>
      </x:c>
      <x:c r="D66" s="331" t="str">
        <x:v>Technische Arbeitsplatzanpassung</x:v>
      </x:c>
      <x:c r="E66" s="331" t="str">
        <x:v>Aacher Straße 29 72293 Glatten</x:v>
      </x:c>
      <x:c r="F66" s="331" t="str">
        <x:v>Glatten</x:v>
      </x:c>
      <x:c r="G66" s="331" t="str">
        <x:v>Adresse/Kontakt geprüft; numerische Hauskoordinate noch nicht separat verifiziert</x:v>
      </x:c>
      <x:c r="H66" s="331" t="str">
        <x:v>Sammel-Geocode / anschließend Sichtkontrolle</x:v>
      </x:c>
      <x:c r="I66" s="331" t="str">
        <x:v>Für Navigation nennt Schmalz Aacher Straße 29; Firmensitz Johannes-Schmalz-Straße 1.</x:v>
      </x:c>
      <x:c r="J66" s="331" t="str">
        <x:v>Kartenpunkt – Adresse geprüft</x:v>
      </x:c>
      <x:c r="K66" s="331" t="str">
        <x:v>T-003</x:v>
      </x:c>
      <x:c r="L66" s="317" t="str">
        <x:v>Gelb</x:v>
      </x:c>
      <x:c r="M66" s="332" t="str">
        <x:v>bei Gelegenheit / im Sammel-Geocode</x:v>
      </x:c>
    </x:row>
    <x:row r="67">
      <x:c r="A67" s="331" t="str">
        <x:v>Final 4.4.x</x:v>
      </x:c>
      <x:c r="B67" s="333" t="str">
        <x:v>MITTEL</x:v>
      </x:c>
      <x:c r="C67" s="331" t="str">
        <x:v>Log &amp; Consult GmbH</x:v>
      </x:c>
      <x:c r="D67" s="331" t="str">
        <x:v>Technische Arbeitsplatzanpassung</x:v>
      </x:c>
      <x:c r="E67" s="331" t="str">
        <x:v>Amsterdamerstraße 9 74081 Heilbronn</x:v>
      </x:c>
      <x:c r="F67" s="331" t="str">
        <x:v>Heilbronn</x:v>
      </x:c>
      <x:c r="G67" s="331" t="str">
        <x:v>Adresse/Kontakt geprüft; numerische Hauskoordinate noch nicht separat verifiziert</x:v>
      </x:c>
      <x:c r="H67" s="331" t="str">
        <x:v>Sammel-Geocode / anschließend Sichtkontrolle</x:v>
      </x:c>
      <x:c r="I67" s="331" t="str">
        <x:v>Klarer Fit für individuelle ergonomische Arbeitsplatz- und Materialflusslösungen.</x:v>
      </x:c>
      <x:c r="J67" s="331" t="str">
        <x:v>Kartenpunkt – Adresse geprüft</x:v>
      </x:c>
      <x:c r="K67" s="331" t="str">
        <x:v>P-004</x:v>
      </x:c>
      <x:c r="L67" s="317" t="str">
        <x:v>Gelb</x:v>
      </x:c>
      <x:c r="M67" s="332" t="str">
        <x:v>bei Gelegenheit / im Sammel-Geocode</x:v>
      </x:c>
    </x:row>
    <x:row r="68">
      <x:c r="A68" s="331" t="str">
        <x:v>Final 4.4.x</x:v>
      </x:c>
      <x:c r="B68" s="333" t="str">
        <x:v>MITTEL</x:v>
      </x:c>
      <x:c r="C68" s="331" t="str">
        <x:v>TINKA Handelsgesellschaft mbH</x:v>
      </x:c>
      <x:c r="D68" s="331" t="str">
        <x:v>Technische Arbeitsplatzanpassung</x:v>
      </x:c>
      <x:c r="E68" s="331" t="str">
        <x:v>August-Mogler-Straße 1/3 74080 Heilbronn</x:v>
      </x:c>
      <x:c r="F68" s="331" t="str">
        <x:v>Heilbronn</x:v>
      </x:c>
      <x:c r="G68" s="331" t="str">
        <x:v>Adresse/Kontakt geprüft; numerische Hauskoordinate noch nicht separat verifiziert</x:v>
      </x:c>
      <x:c r="H68" s="331" t="str">
        <x:v>Sammel-Geocode / anschließend Sichtkontrolle</x:v>
      </x:c>
      <x:c r="I68" s="331" t="str">
        <x:v>Standort verifiziert.</x:v>
      </x:c>
      <x:c r="J68" s="331" t="str">
        <x:v>Kartenpunkt – Adresse geprüft</x:v>
      </x:c>
      <x:c r="K68" s="331" t="str">
        <x:v>T-027</x:v>
      </x:c>
      <x:c r="L68" s="317" t="str">
        <x:v>Gelb</x:v>
      </x:c>
      <x:c r="M68" s="332" t="str">
        <x:v>bei Gelegenheit / im Sammel-Geocode</x:v>
      </x:c>
    </x:row>
    <x:row r="69">
      <x:c r="A69" s="331" t="str">
        <x:v>Final 4.4.x</x:v>
      </x:c>
      <x:c r="B69" s="333" t="str">
        <x:v>MITTEL</x:v>
      </x:c>
      <x:c r="C69" s="331" t="str">
        <x:v>Rauscher &amp; Reyhing GmbH</x:v>
      </x:c>
      <x:c r="D69" s="331" t="str">
        <x:v>Technische Arbeitsplatzanpassung</x:v>
      </x:c>
      <x:c r="E69" s="331" t="str">
        <x:v>Meidelstetter Straße 13 72531 Hohenstein-Bernloch</x:v>
      </x:c>
      <x:c r="F69" s="331" t="str">
        <x:v>Hohenstein-Bernloch</x:v>
      </x:c>
      <x:c r="G69" s="331" t="str">
        <x:v>Adresse/Kontakt geprüft; numerische Hauskoordinate noch nicht separat verifiziert</x:v>
      </x:c>
      <x:c r="H69" s="331" t="str">
        <x:v>Sammel-Geocode / anschließend Sichtkontrolle</x:v>
      </x:c>
      <x:c r="I69" s="331" t="str">
        <x:v>Standort verifiziert.</x:v>
      </x:c>
      <x:c r="J69" s="331" t="str">
        <x:v>Kartenpunkt – Adresse geprüft</x:v>
      </x:c>
      <x:c r="K69" s="331" t="str">
        <x:v>T-028</x:v>
      </x:c>
      <x:c r="L69" s="317" t="str">
        <x:v>Gelb</x:v>
      </x:c>
      <x:c r="M69" s="332" t="str">
        <x:v>bei Gelegenheit / im Sammel-Geocode</x:v>
      </x:c>
    </x:row>
    <x:row r="70">
      <x:c r="A70" s="331" t="str">
        <x:v>Final 4.4.x</x:v>
      </x:c>
      <x:c r="B70" s="333" t="str">
        <x:v>MITTEL</x:v>
      </x:c>
      <x:c r="C70" s="331" t="str">
        <x:v>hTRIUS GmbH</x:v>
      </x:c>
      <x:c r="D70" s="331" t="str">
        <x:v>Technische Arbeitsplatzanpassung</x:v>
      </x:c>
      <x:c r="E70" s="331" t="str">
        <x:v>Junghansstraße 16 72160 Horb am Neckar</x:v>
      </x:c>
      <x:c r="F70" s="331" t="str">
        <x:v>Horb am Neckar</x:v>
      </x:c>
      <x:c r="G70" s="331" t="str">
        <x:v>Adresse/Kontakt geprüft; numerische Hauskoordinate noch nicht separat verifiziert</x:v>
      </x:c>
      <x:c r="H70" s="331" t="str">
        <x:v>Sammel-Geocode / anschließend Sichtkontrolle</x:v>
      </x:c>
      <x:c r="I70" s="331" t="str">
        <x:v>Aktuelle Adresse nach Adressänderung 2025 verifiziert.</x:v>
      </x:c>
      <x:c r="J70" s="331" t="str">
        <x:v>Kartenpunkt – Adresse geprüft</x:v>
      </x:c>
      <x:c r="K70" s="331" t="str">
        <x:v>T-022</x:v>
      </x:c>
      <x:c r="L70" s="317" t="str">
        <x:v>Gelb</x:v>
      </x:c>
      <x:c r="M70" s="332" t="str">
        <x:v>bei Gelegenheit / im Sammel-Geocode</x:v>
      </x:c>
    </x:row>
    <x:row r="71">
      <x:c r="A71" s="331" t="str">
        <x:v>Final 4.4.x</x:v>
      </x:c>
      <x:c r="B71" s="333" t="str">
        <x:v>MITTEL</x:v>
      </x:c>
      <x:c r="C71" s="331" t="str">
        <x:v>ANKO GmbH &amp; Co. KG</x:v>
      </x:c>
      <x:c r="D71" s="331" t="str">
        <x:v>Technische Arbeitsplatzanpassung</x:v>
      </x:c>
      <x:c r="E71" s="331" t="str">
        <x:v>Litzenhardtstraße 26 76135 Karlsruhe</x:v>
      </x:c>
      <x:c r="F71" s="331" t="str">
        <x:v>Karlsruhe</x:v>
      </x:c>
      <x:c r="G71" s="331" t="str">
        <x:v>Adresse/Kontakt geprüft; numerische Hauskoordinate noch nicht separat verifiziert</x:v>
      </x:c>
      <x:c r="H71" s="331" t="str">
        <x:v>Sammel-Geocode / anschließend Sichtkontrolle</x:v>
      </x:c>
      <x:c r="I71" s="331" t="str">
        <x:v>Standort und aktuelle Kontaktdaten verifiziert.</x:v>
      </x:c>
      <x:c r="J71" s="331" t="str">
        <x:v>Kartenpunkt – Adresse geprüft</x:v>
      </x:c>
      <x:c r="K71" s="331" t="str">
        <x:v>T-026</x:v>
      </x:c>
      <x:c r="L71" s="317" t="str">
        <x:v>Gelb</x:v>
      </x:c>
      <x:c r="M71" s="332" t="str">
        <x:v>bei Gelegenheit / im Sammel-Geocode</x:v>
      </x:c>
    </x:row>
    <x:row r="72">
      <x:c r="A72" s="331" t="str">
        <x:v>Final 4.4.x</x:v>
      </x:c>
      <x:c r="B72" s="333" t="str">
        <x:v>MITTEL</x:v>
      </x:c>
      <x:c r="C72" s="331" t="str">
        <x:v>NEFF-Pressen / Röcher GmbH &amp; Co. KG</x:v>
      </x:c>
      <x:c r="D72" s="331" t="str">
        <x:v>Technische Arbeitsplatzanpassung</x:v>
      </x:c>
      <x:c r="E72" s="331" t="str">
        <x:v>In den Kuhwiesen 4 76149 Karlsruhe</x:v>
      </x:c>
      <x:c r="F72" s="331" t="str">
        <x:v>Karlsruhe</x:v>
      </x:c>
      <x:c r="G72" s="331" t="str">
        <x:v>Adresse/Kontakt geprüft; numerische Hauskoordinate noch nicht separat verifiziert</x:v>
      </x:c>
      <x:c r="H72" s="331" t="str">
        <x:v>Sammel-Geocode / anschließend Sichtkontrolle</x:v>
      </x:c>
      <x:c r="I72" s="331" t="str">
        <x:v>Standort Werk 2/NEFF verifiziert. Kein allgemeines Funktionspostfach belastbar verifiziert; Websitekontakt verwenden.</x:v>
      </x:c>
      <x:c r="J72" s="331" t="str">
        <x:v>Kartenpunkt – Adresse geprüft</x:v>
      </x:c>
      <x:c r="K72" s="331" t="str">
        <x:v>T-025</x:v>
      </x:c>
      <x:c r="L72" s="317" t="str">
        <x:v>Gelb</x:v>
      </x:c>
      <x:c r="M72" s="332" t="str">
        <x:v>bei Gelegenheit / im Sammel-Geocode</x:v>
      </x:c>
    </x:row>
    <x:row r="73">
      <x:c r="A73" s="331" t="str">
        <x:v>Final 4.4.x</x:v>
      </x:c>
      <x:c r="B73" s="333" t="str">
        <x:v>MITTEL</x:v>
      </x:c>
      <x:c r="C73" s="331" t="str">
        <x:v>EXPRESSO Deutschland GmbH &amp; Co. KG</x:v>
      </x:c>
      <x:c r="D73" s="331" t="str">
        <x:v>Technische Arbeitsplatzanpassung</x:v>
      </x:c>
      <x:c r="E73" s="331" t="str">
        <x:v>Antonius-Raab-Straße 19 34123 Kassel</x:v>
      </x:c>
      <x:c r="F73" s="331" t="str">
        <x:v>Kassel</x:v>
      </x:c>
      <x:c r="G73" s="331" t="str">
        <x:v>Adresse/Kontakt geprüft; numerische Hauskoordinate noch nicht separat verifiziert</x:v>
      </x:c>
      <x:c r="H73" s="331" t="str">
        <x:v>Sammel-Geocode / anschließend Sichtkontrolle</x:v>
      </x:c>
      <x:c r="I73" s="331" t="str">
        <x:v>Standort verifiziert.</x:v>
      </x:c>
      <x:c r="J73" s="331" t="str">
        <x:v>Kartenpunkt – Adresse geprüft</x:v>
      </x:c>
      <x:c r="K73" s="331" t="str">
        <x:v>T-010</x:v>
      </x:c>
      <x:c r="L73" s="317" t="str">
        <x:v>Gelb</x:v>
      </x:c>
      <x:c r="M73" s="332" t="str">
        <x:v>bei Gelegenheit / im Sammel-Geocode</x:v>
      </x:c>
    </x:row>
    <x:row r="74">
      <x:c r="A74" s="331" t="str">
        <x:v>Final 4.4.x</x:v>
      </x:c>
      <x:c r="B74" s="333" t="str">
        <x:v>MITTEL</x:v>
      </x:c>
      <x:c r="C74" s="331" t="str">
        <x:v>PRONOMIC GmbH</x:v>
      </x:c>
      <x:c r="D74" s="331" t="str">
        <x:v>Technische Arbeitsplatzanpassung</x:v>
      </x:c>
      <x:c r="E74" s="331" t="str">
        <x:v>Dennhäuser Straße 62 34134 Kassel</x:v>
      </x:c>
      <x:c r="F74" s="331" t="str">
        <x:v>Kassel</x:v>
      </x:c>
      <x:c r="G74" s="331" t="str">
        <x:v>Adresse/Kontakt geprüft; numerische Hauskoordinate noch nicht separat verifiziert</x:v>
      </x:c>
      <x:c r="H74" s="331" t="str">
        <x:v>Sammel-Geocode / anschließend Sichtkontrolle</x:v>
      </x:c>
      <x:c r="I74" s="331" t="str">
        <x:v>Neuer Hauptsitz/aktuelle Adresse verifiziert.</x:v>
      </x:c>
      <x:c r="J74" s="331" t="str">
        <x:v>Kartenpunkt – Adresse geprüft</x:v>
      </x:c>
      <x:c r="K74" s="331" t="str">
        <x:v>T-011</x:v>
      </x:c>
      <x:c r="L74" s="317" t="str">
        <x:v>Gelb</x:v>
      </x:c>
      <x:c r="M74" s="332" t="str">
        <x:v>bei Gelegenheit / im Sammel-Geocode</x:v>
      </x:c>
    </x:row>
    <x:row r="75">
      <x:c r="A75" s="331" t="str">
        <x:v>Final 4.4.x</x:v>
      </x:c>
      <x:c r="B75" s="333" t="str">
        <x:v>MITTEL</x:v>
      </x:c>
      <x:c r="C75" s="331" t="str">
        <x:v>Reinhold Beck Maschinenbau GmbH</x:v>
      </x:c>
      <x:c r="D75" s="331" t="str">
        <x:v>Technische Arbeitsplatzanpassung</x:v>
      </x:c>
      <x:c r="E75" s="331" t="str">
        <x:v>Im Grund 23 72505 Krauchenwies-Bittelschieß</x:v>
      </x:c>
      <x:c r="F75" s="331" t="str">
        <x:v>Krauchenwies-Bittelschieß</x:v>
      </x:c>
      <x:c r="G75" s="331" t="str">
        <x:v>Adresse/Kontakt geprüft; numerische Hauskoordinate noch nicht separat verifiziert</x:v>
      </x:c>
      <x:c r="H75" s="331" t="str">
        <x:v>Sammel-Geocode / anschließend Sichtkontrolle</x:v>
      </x:c>
      <x:c r="I75" s="331" t="str">
        <x:v>Standort verifiziert.</x:v>
      </x:c>
      <x:c r="J75" s="331" t="str">
        <x:v>Kartenpunkt – Adresse geprüft</x:v>
      </x:c>
      <x:c r="K75" s="331" t="str">
        <x:v>T-012</x:v>
      </x:c>
      <x:c r="L75" s="317" t="str">
        <x:v>Gelb</x:v>
      </x:c>
      <x:c r="M75" s="332" t="str">
        <x:v>bei Gelegenheit / im Sammel-Geocode</x:v>
      </x:c>
    </x:row>
    <x:row r="76">
      <x:c r="A76" s="331" t="str">
        <x:v>Final 4.4.x</x:v>
      </x:c>
      <x:c r="B76" s="333" t="str">
        <x:v>MITTEL</x:v>
      </x:c>
      <x:c r="C76" s="331" t="str">
        <x:v>PETec GmbH</x:v>
      </x:c>
      <x:c r="D76" s="331" t="str">
        <x:v>Technische Arbeitsplatzanpassung</x:v>
      </x:c>
      <x:c r="E76" s="331" t="str">
        <x:v>Zum Osterfeld 6 59872 Meschede</x:v>
      </x:c>
      <x:c r="F76" s="331" t="str">
        <x:v>Meschede</x:v>
      </x:c>
      <x:c r="G76" s="331" t="str">
        <x:v>Adresse/Kontakt geprüft; numerische Hauskoordinate noch nicht separat verifiziert</x:v>
      </x:c>
      <x:c r="H76" s="331" t="str">
        <x:v>Sammel-Geocode / anschließend Sichtkontrolle</x:v>
      </x:c>
      <x:c r="I76" s="331" t="str">
        <x:v>Spezialanbieter für Schwerlast-/Schweißfälle; überregional und fallbezogen priorisieren.</x:v>
      </x:c>
      <x:c r="J76" s="331" t="str">
        <x:v>Kartenpunkt – Adresse geprüft</x:v>
      </x:c>
      <x:c r="K76" s="331" t="str">
        <x:v>P-006</x:v>
      </x:c>
      <x:c r="L76" s="317" t="str">
        <x:v>Gelb</x:v>
      </x:c>
      <x:c r="M76" s="332" t="str">
        <x:v>bei Gelegenheit / im Sammel-Geocode</x:v>
      </x:c>
    </x:row>
    <x:row r="77">
      <x:c r="A77" s="331" t="str">
        <x:v>Final 4.4.x</x:v>
      </x:c>
      <x:c r="B77" s="333" t="str">
        <x:v>MITTEL</x:v>
      </x:c>
      <x:c r="C77" s="331" t="str">
        <x:v>Bimos / Interstuhl Group</x:v>
      </x:c>
      <x:c r="D77" s="331" t="str">
        <x:v>Technische Arbeitsplatzanpassung</x:v>
      </x:c>
      <x:c r="E77" s="331" t="str">
        <x:v>Brühlstraße 21 72469 Meßstetten-Tieringen</x:v>
      </x:c>
      <x:c r="F77" s="331" t="str">
        <x:v>Meßstetten-Tieringen</x:v>
      </x:c>
      <x:c r="G77" s="331" t="str">
        <x:v>Adresse/Kontakt geprüft; numerische Hauskoordinate noch nicht separat verifiziert</x:v>
      </x:c>
      <x:c r="H77" s="331" t="str">
        <x:v>Sammel-Geocode / anschließend Sichtkontrolle</x:v>
      </x:c>
      <x:c r="I77" s="331" t="str">
        <x:v>Bimos/Interstuhl-Standort verifiziert.</x:v>
      </x:c>
      <x:c r="J77" s="331" t="str">
        <x:v>Kartenpunkt – Adresse geprüft</x:v>
      </x:c>
      <x:c r="K77" s="331" t="str">
        <x:v>T-020</x:v>
      </x:c>
      <x:c r="L77" s="317" t="str">
        <x:v>Gelb</x:v>
      </x:c>
      <x:c r="M77" s="332" t="str">
        <x:v>bei Gelegenheit / im Sammel-Geocode</x:v>
      </x:c>
    </x:row>
    <x:row r="78">
      <x:c r="A78" s="331" t="str">
        <x:v>Final 4.4.x</x:v>
      </x:c>
      <x:c r="B78" s="333" t="str">
        <x:v>MITTEL</x:v>
      </x:c>
      <x:c r="C78" s="331" t="str">
        <x:v>ZASCHE handling GmbH</x:v>
      </x:c>
      <x:c r="D78" s="331" t="str">
        <x:v>Technische Arbeitsplatzanpassung</x:v>
      </x:c>
      <x:c r="E78" s="331" t="str">
        <x:v>Markham Straße 13 86720 Nördlingen</x:v>
      </x:c>
      <x:c r="F78" s="331" t="str">
        <x:v>Nördlingen</x:v>
      </x:c>
      <x:c r="G78" s="331" t="str">
        <x:v>Adresse/Kontakt geprüft; numerische Hauskoordinate noch nicht separat verifiziert</x:v>
      </x:c>
      <x:c r="H78" s="331" t="str">
        <x:v>Sammel-Geocode / anschließend Sichtkontrolle</x:v>
      </x:c>
      <x:c r="I78" s="331" t="str">
        <x:v>Aktuelle Adresse verifiziert; frühere Gewerbestraße nicht verwenden.</x:v>
      </x:c>
      <x:c r="J78" s="331" t="str">
        <x:v>Kartenpunkt – Adresse geprüft</x:v>
      </x:c>
      <x:c r="K78" s="331" t="str">
        <x:v>T-009</x:v>
      </x:c>
      <x:c r="L78" s="317" t="str">
        <x:v>Gelb</x:v>
      </x:c>
      <x:c r="M78" s="332" t="str">
        <x:v>bei Gelegenheit / im Sammel-Geocode</x:v>
      </x:c>
    </x:row>
    <x:row r="79">
      <x:c r="A79" s="331" t="str">
        <x:v>Final 4.4.x</x:v>
      </x:c>
      <x:c r="B79" s="333" t="str">
        <x:v>MITTEL</x:v>
      </x:c>
      <x:c r="C79" s="331" t="str">
        <x:v>BeeWaTec AG</x:v>
      </x:c>
      <x:c r="D79" s="331" t="str">
        <x:v>Technische Arbeitsplatzanpassung</x:v>
      </x:c>
      <x:c r="E79" s="331" t="str">
        <x:v>Kunstmühlestraße 16 72793 Pfullingen</x:v>
      </x:c>
      <x:c r="F79" s="331" t="str">
        <x:v>Pfullingen</x:v>
      </x:c>
      <x:c r="G79" s="331" t="str">
        <x:v>Adresse/Kontakt geprüft; numerische Hauskoordinate noch nicht separat verifiziert</x:v>
      </x:c>
      <x:c r="H79" s="331" t="str">
        <x:v>Sammel-Geocode / anschließend Sichtkontrolle</x:v>
      </x:c>
      <x:c r="I79" s="331" t="str">
        <x:v>Standort verifiziert.</x:v>
      </x:c>
      <x:c r="J79" s="331" t="str">
        <x:v>Kartenpunkt – Adresse geprüft</x:v>
      </x:c>
      <x:c r="K79" s="331" t="str">
        <x:v>T-014</x:v>
      </x:c>
      <x:c r="L79" s="317" t="str">
        <x:v>Gelb</x:v>
      </x:c>
      <x:c r="M79" s="332" t="str">
        <x:v>bei Gelegenheit / im Sammel-Geocode</x:v>
      </x:c>
    </x:row>
    <x:row r="80">
      <x:c r="A80" s="331" t="str">
        <x:v>Final 4.4.x</x:v>
      </x:c>
      <x:c r="B80" s="333" t="str">
        <x:v>MITTEL</x:v>
      </x:c>
      <x:c r="C80" s="331" t="str">
        <x:v>WERMA Signaltechnik GmbH + Co. KG</x:v>
      </x:c>
      <x:c r="D80" s="331" t="str">
        <x:v>Technische Arbeitsplatzanpassung</x:v>
      </x:c>
      <x:c r="E80" s="331" t="str">
        <x:v>Erich-Marquardt-Straße 1 78604 Rietheim-Weilheim</x:v>
      </x:c>
      <x:c r="F80" s="331" t="str">
        <x:v>Rietheim-Weilheim</x:v>
      </x:c>
      <x:c r="G80" s="331" t="str">
        <x:v>Adresse/Kontakt geprüft; numerische Hauskoordinate noch nicht separat verifiziert</x:v>
      </x:c>
      <x:c r="H80" s="331" t="str">
        <x:v>Sammel-Geocode / anschließend Sichtkontrolle</x:v>
      </x:c>
      <x:c r="I80" s="331" t="str">
        <x:v>Aktuelle öffentliche HQ-Adresse. Alte/abweichende Dürbheimer Str. 15 nicht als Kartenpunkt verwenden.</x:v>
      </x:c>
      <x:c r="J80" s="331" t="str">
        <x:v>Kartenpunkt – Adresse geprüft</x:v>
      </x:c>
      <x:c r="K80" s="331" t="str">
        <x:v>T-032</x:v>
      </x:c>
      <x:c r="L80" s="317" t="str">
        <x:v>Gelb</x:v>
      </x:c>
      <x:c r="M80" s="332" t="str">
        <x:v>bei Gelegenheit / im Sammel-Geocode</x:v>
      </x:c>
    </x:row>
    <x:row r="81">
      <x:c r="A81" s="331" t="str">
        <x:v>Final 4.4.x</x:v>
      </x:c>
      <x:c r="B81" s="333" t="str">
        <x:v>MITTEL</x:v>
      </x:c>
      <x:c r="C81" s="331" t="str">
        <x:v>Blickle Räder+Rollen GmbH u. Co. KG / ErgoMove</x:v>
      </x:c>
      <x:c r="D81" s="331" t="str">
        <x:v>Technische Arbeitsplatzanpassung</x:v>
      </x:c>
      <x:c r="E81" s="331" t="str">
        <x:v>Heinrich-Blickle-Straße 1 72348 Rosenfeld</x:v>
      </x:c>
      <x:c r="F81" s="331" t="str">
        <x:v>Rosenfeld</x:v>
      </x:c>
      <x:c r="G81" s="331" t="str">
        <x:v>Adresse/Kontakt geprüft; numerische Hauskoordinate noch nicht separat verifiziert</x:v>
      </x:c>
      <x:c r="H81" s="331" t="str">
        <x:v>Sammel-Geocode / anschließend Sichtkontrolle</x:v>
      </x:c>
      <x:c r="I81" s="331" t="str">
        <x:v>ErgoMove-Fachkontakt verifiziert.</x:v>
      </x:c>
      <x:c r="J81" s="331" t="str">
        <x:v>Kartenpunkt – Adresse geprüft</x:v>
      </x:c>
      <x:c r="K81" s="331" t="str">
        <x:v>T-016</x:v>
      </x:c>
      <x:c r="L81" s="317" t="str">
        <x:v>Gelb</x:v>
      </x:c>
      <x:c r="M81" s="332" t="str">
        <x:v>bei Gelegenheit / im Sammel-Geocode</x:v>
      </x:c>
    </x:row>
    <x:row r="82">
      <x:c r="A82" s="331" t="str">
        <x:v>Final 4.4.x</x:v>
      </x:c>
      <x:c r="B82" s="333" t="str">
        <x:v>MITTEL</x:v>
      </x:c>
      <x:c r="C82" s="331" t="str">
        <x:v>HDC Huttelmaier Retrofit</x:v>
      </x:c>
      <x:c r="D82" s="331" t="str">
        <x:v>Technische Arbeitsplatzanpassung</x:v>
      </x:c>
      <x:c r="E82" s="331" t="str">
        <x:v>Winterbacher Straße 66 73614 Schorndorf</x:v>
      </x:c>
      <x:c r="F82" s="331" t="str">
        <x:v>Schorndorf</x:v>
      </x:c>
      <x:c r="G82" s="331" t="str">
        <x:v>Adresse/Kontakt geprüft; numerische Hauskoordinate noch nicht separat verifiziert</x:v>
      </x:c>
      <x:c r="H82" s="331" t="str">
        <x:v>Sammel-Geocode / anschließend Sichtkontrolle</x:v>
      </x:c>
      <x:c r="I82" s="331" t="str">
        <x:v>Standort verifiziert.</x:v>
      </x:c>
      <x:c r="J82" s="331" t="str">
        <x:v>Kartenpunkt – Adresse geprüft</x:v>
      </x:c>
      <x:c r="K82" s="331" t="str">
        <x:v>T-023</x:v>
      </x:c>
      <x:c r="L82" s="317" t="str">
        <x:v>Gelb</x:v>
      </x:c>
      <x:c r="M82" s="332" t="str">
        <x:v>bei Gelegenheit / im Sammel-Geocode</x:v>
      </x:c>
    </x:row>
    <x:row r="83">
      <x:c r="A83" s="331" t="str">
        <x:v>Final 4.4.x</x:v>
      </x:c>
      <x:c r="B83" s="333" t="str">
        <x:v>MITTEL</x:v>
      </x:c>
      <x:c r="C83" s="331" t="str">
        <x:v>F.H. Papenmeier GmbH &amp; Co. KG</x:v>
      </x:c>
      <x:c r="D83" s="331" t="str">
        <x:v>Technische Arbeitsplatzanpassung</x:v>
      </x:c>
      <x:c r="E83" s="331" t="str">
        <x:v>Talweg 2 58239 Schwerte</x:v>
      </x:c>
      <x:c r="F83" s="331" t="str">
        <x:v>Schwerte</x:v>
      </x:c>
      <x:c r="G83" s="331" t="str">
        <x:v>Adresse/Kontakt geprüft; numerische Hauskoordinate noch nicht separat verifiziert</x:v>
      </x:c>
      <x:c r="H83" s="331" t="str">
        <x:v>Sammel-Geocode / anschließend Sichtkontrolle</x:v>
      </x:c>
      <x:c r="I83" s="331" t="str">
        <x:v>Unternehmensstandort verifiziert; Rehatechnik überregional.</x:v>
      </x:c>
      <x:c r="J83" s="331" t="str">
        <x:v>Kartenpunkt – Adresse geprüft</x:v>
      </x:c>
      <x:c r="K83" s="331" t="str">
        <x:v>T-039</x:v>
      </x:c>
      <x:c r="L83" s="317" t="str">
        <x:v>Gelb</x:v>
      </x:c>
      <x:c r="M83" s="332" t="str">
        <x:v>bei Gelegenheit / im Sammel-Geocode</x:v>
      </x:c>
    </x:row>
    <x:row r="84">
      <x:c r="A84" s="331" t="str">
        <x:v>Final 4.4.x</x:v>
      </x:c>
      <x:c r="B84" s="333" t="str">
        <x:v>MITTEL</x:v>
      </x:c>
      <x:c r="C84" s="331" t="str">
        <x:v>Carl Stahl / Kromer</x:v>
      </x:c>
      <x:c r="D84" s="331" t="str">
        <x:v>Technische Arbeitsplatzanpassung</x:v>
      </x:c>
      <x:c r="E84" s="331" t="str">
        <x:v>Tobelstraße 2 73079 Süßen</x:v>
      </x:c>
      <x:c r="F84" s="331" t="str">
        <x:v>Süßen</x:v>
      </x:c>
      <x:c r="G84" s="331" t="str">
        <x:v>Adresse/Kontakt geprüft; numerische Hauskoordinate noch nicht separat verifiziert</x:v>
      </x:c>
      <x:c r="H84" s="331" t="str">
        <x:v>Sammel-Geocode / anschließend Sichtkontrolle</x:v>
      </x:c>
      <x:c r="I84" s="331" t="str">
        <x:v>Standort verifiziert; überregional einsetzbar.</x:v>
      </x:c>
      <x:c r="J84" s="331" t="str">
        <x:v>Kartenpunkt – Adresse geprüft</x:v>
      </x:c>
      <x:c r="K84" s="331" t="str">
        <x:v>T-017</x:v>
      </x:c>
      <x:c r="L84" s="317" t="str">
        <x:v>Gelb</x:v>
      </x:c>
      <x:c r="M84" s="332" t="str">
        <x:v>bei Gelegenheit / im Sammel-Geocode</x:v>
      </x:c>
    </x:row>
    <x:row r="85">
      <x:c r="A85" s="331" t="str">
        <x:v>Final 4.4.x</x:v>
      </x:c>
      <x:c r="B85" s="333" t="str">
        <x:v>MITTEL</x:v>
      </x:c>
      <x:c r="C85" s="331" t="str">
        <x:v>BARTH GmbH</x:v>
      </x:c>
      <x:c r="D85" s="331" t="str">
        <x:v>Technische Arbeitsplatzanpassung</x:v>
      </x:c>
      <x:c r="E85" s="331" t="str">
        <x:v>Gerhard-Meister-Straße 5 83342 Tacherting</x:v>
      </x:c>
      <x:c r="F85" s="331" t="str">
        <x:v>Tacherting</x:v>
      </x:c>
      <x:c r="G85" s="331" t="str">
        <x:v>Adresse/Kontakt geprüft; numerische Hauskoordinate noch nicht separat verifiziert</x:v>
      </x:c>
      <x:c r="H85" s="331" t="str">
        <x:v>Sammel-Geocode / anschließend Sichtkontrolle</x:v>
      </x:c>
      <x:c r="I85" s="331" t="str">
        <x:v>Standort verifiziert.</x:v>
      </x:c>
      <x:c r="J85" s="331" t="str">
        <x:v>Kartenpunkt – Adresse geprüft</x:v>
      </x:c>
      <x:c r="K85" s="331" t="str">
        <x:v>T-013</x:v>
      </x:c>
      <x:c r="L85" s="317" t="str">
        <x:v>Gelb</x:v>
      </x:c>
      <x:c r="M85" s="332" t="str">
        <x:v>bei Gelegenheit / im Sammel-Geocode</x:v>
      </x:c>
    </x:row>
    <x:row r="86">
      <x:c r="A86" s="331" t="str">
        <x:v>Final 4.4.x</x:v>
      </x:c>
      <x:c r="B86" s="333" t="str">
        <x:v>MITTEL</x:v>
      </x:c>
      <x:c r="C86" s="331" t="str">
        <x:v>Ruck GmbH &amp; Co. KG / RUCK AluConnect</x:v>
      </x:c>
      <x:c r="D86" s="331" t="str">
        <x:v>Technische Arbeitsplatzanpassung</x:v>
      </x:c>
      <x:c r="E86" s="331" t="str">
        <x:v>Kelterstraße 43 72669 Unterensingen</x:v>
      </x:c>
      <x:c r="F86" s="331" t="str">
        <x:v>Unterensingen</x:v>
      </x:c>
      <x:c r="G86" s="331" t="str">
        <x:v>Adresse/Kontakt geprüft; numerische Hauskoordinate noch nicht separat verifiziert</x:v>
      </x:c>
      <x:c r="H86" s="331" t="str">
        <x:v>Sammel-Geocode / anschließend Sichtkontrolle</x:v>
      </x:c>
      <x:c r="I86" s="331" t="str">
        <x:v>Standort/Kontakt verifiziert.</x:v>
      </x:c>
      <x:c r="J86" s="331" t="str">
        <x:v>Kartenpunkt – Adresse geprüft</x:v>
      </x:c>
      <x:c r="K86" s="331" t="str">
        <x:v>T-002</x:v>
      </x:c>
      <x:c r="L86" s="317" t="str">
        <x:v>Gelb</x:v>
      </x:c>
      <x:c r="M86" s="332" t="str">
        <x:v>bei Gelegenheit / im Sammel-Geocode</x:v>
      </x:c>
    </x:row>
    <x:row r="87">
      <x:c r="A87" s="331" t="str">
        <x:v>Final 4.4.x</x:v>
      </x:c>
      <x:c r="B87" s="333" t="str">
        <x:v>MITTEL</x:v>
      </x:c>
      <x:c r="C87" s="331" t="str">
        <x:v>ALLMATIC-Jakob Spannsysteme GmbH</x:v>
      </x:c>
      <x:c r="D87" s="331" t="str">
        <x:v>Technische Arbeitsplatzanpassung</x:v>
      </x:c>
      <x:c r="E87" s="331" t="str">
        <x:v>Jägermühle 10 87647 Unterthingau</x:v>
      </x:c>
      <x:c r="F87" s="331" t="str">
        <x:v>Unterthingau</x:v>
      </x:c>
      <x:c r="G87" s="331" t="str">
        <x:v>Adresse/Kontakt geprüft; numerische Hauskoordinate noch nicht separat verifiziert</x:v>
      </x:c>
      <x:c r="H87" s="331" t="str">
        <x:v>Sammel-Geocode / anschließend Sichtkontrolle</x:v>
      </x:c>
      <x:c r="I87" s="331" t="str">
        <x:v>Standort verifiziert.</x:v>
      </x:c>
      <x:c r="J87" s="331" t="str">
        <x:v>Kartenpunkt – Adresse geprüft</x:v>
      </x:c>
      <x:c r="K87" s="331" t="str">
        <x:v>T-034</x:v>
      </x:c>
      <x:c r="L87" s="317" t="str">
        <x:v>Gelb</x:v>
      </x:c>
      <x:c r="M87" s="332" t="str">
        <x:v>bei Gelegenheit / im Sammel-Geocode</x:v>
      </x:c>
    </x:row>
    <x:row r="88">
      <x:c r="A88" s="331" t="str">
        <x:v>Final 4.4.x</x:v>
      </x:c>
      <x:c r="B88" s="333" t="str">
        <x:v>MITTEL</x:v>
      </x:c>
      <x:c r="C88" s="331" t="str">
        <x:v>Berufsförderungswerk Würzburg</x:v>
      </x:c>
      <x:c r="D88" s="331" t="str">
        <x:v>Technische Arbeitsplatzanpassung</x:v>
      </x:c>
      <x:c r="E88" s="331" t="str">
        <x:v>Helen-Keller-Straße 5 97209 Veitshöchheim</x:v>
      </x:c>
      <x:c r="F88" s="331" t="str">
        <x:v>Veitshöchheim</x:v>
      </x:c>
      <x:c r="G88" s="331" t="str">
        <x:v>Adresse/Kontakt geprüft; numerische Hauskoordinate noch nicht separat verifiziert</x:v>
      </x:c>
      <x:c r="H88" s="331" t="str">
        <x:v>Sammel-Geocode / anschließend Sichtkontrolle</x:v>
      </x:c>
      <x:c r="I88" s="331" t="str">
        <x:v>Standort verifiziert.</x:v>
      </x:c>
      <x:c r="J88" s="331" t="str">
        <x:v>Kartenpunkt – Adresse geprüft</x:v>
      </x:c>
      <x:c r="K88" s="331" t="str">
        <x:v>T-041</x:v>
      </x:c>
      <x:c r="L88" s="317" t="str">
        <x:v>Gelb</x:v>
      </x:c>
      <x:c r="M88" s="332" t="str">
        <x:v>bei Gelegenheit / im Sammel-Geocode</x:v>
      </x:c>
    </x:row>
    <x:row r="89">
      <x:c r="A89" s="331" t="str">
        <x:v>Final 4.4.x</x:v>
      </x:c>
      <x:c r="B89" s="333" t="str">
        <x:v>MITTEL</x:v>
      </x:c>
      <x:c r="C89" s="331" t="str">
        <x:v>HUMANTECHNIK GmbH</x:v>
      </x:c>
      <x:c r="D89" s="331" t="str">
        <x:v>Technische Arbeitsplatzanpassung</x:v>
      </x:c>
      <x:c r="E89" s="331" t="str">
        <x:v>Im Wörth 25 79576 Weil am Rhein</x:v>
      </x:c>
      <x:c r="F89" s="331" t="str">
        <x:v>Weil am Rhein</x:v>
      </x:c>
      <x:c r="G89" s="331" t="str">
        <x:v>Adresse/Kontakt geprüft; numerische Hauskoordinate noch nicht separat verifiziert</x:v>
      </x:c>
      <x:c r="H89" s="331" t="str">
        <x:v>Sammel-Geocode / anschließend Sichtkontrolle</x:v>
      </x:c>
      <x:c r="I89" s="331" t="str">
        <x:v>Standort verifiziert.</x:v>
      </x:c>
      <x:c r="J89" s="331" t="str">
        <x:v>Kartenpunkt – Adresse geprüft</x:v>
      </x:c>
      <x:c r="K89" s="331" t="str">
        <x:v>T-038</x:v>
      </x:c>
      <x:c r="L89" s="317" t="str">
        <x:v>Gelb</x:v>
      </x:c>
      <x:c r="M89" s="332" t="str">
        <x:v>bei Gelegenheit / im Sammel-Geocode</x:v>
      </x:c>
    </x:row>
    <x:row r="90">
      <x:c r="A90" s="331" t="str">
        <x:v>Final 4.4.x</x:v>
      </x:c>
      <x:c r="B90" s="333" t="str">
        <x:v>MITTEL</x:v>
      </x:c>
      <x:c r="C90" s="331" t="str">
        <x:v>Or BIT EDV – Technik für Menschen</x:v>
      </x:c>
      <x:c r="D90" s="331" t="str">
        <x:v>Technische Arbeitsplatzanpassung</x:v>
      </x:c>
      <x:c r="E90" s="331" t="str">
        <x:v>Alte Hauptstraße 9 28844 Weyhe</x:v>
      </x:c>
      <x:c r="F90" s="331" t="str">
        <x:v>Weyhe</x:v>
      </x:c>
      <x:c r="G90" s="331" t="str">
        <x:v>Adresse/Kontakt geprüft; numerische Hauskoordinate noch nicht separat verifiziert</x:v>
      </x:c>
      <x:c r="H90" s="331" t="str">
        <x:v>Sammel-Geocode / anschließend Sichtkontrolle</x:v>
      </x:c>
      <x:c r="I90" s="331" t="str">
        <x:v>Standort verifiziert; überregional.</x:v>
      </x:c>
      <x:c r="J90" s="331" t="str">
        <x:v>Kartenpunkt – Adresse geprüft</x:v>
      </x:c>
      <x:c r="K90" s="331" t="str">
        <x:v>T-040</x:v>
      </x:c>
      <x:c r="L90" s="317" t="str">
        <x:v>Gelb</x:v>
      </x:c>
      <x:c r="M90" s="332" t="str">
        <x:v>bei Gelegenheit / im Sammel-Geocode</x:v>
      </x:c>
    </x:row>
    <x:row r="91">
      <x:c r="A91" s="331" t="str">
        <x:v>Final 4.4.x</x:v>
      </x:c>
      <x:c r="B91" s="333" t="str">
        <x:v>MITTEL</x:v>
      </x:c>
      <x:c r="C91" s="331" t="str">
        <x:v>Schmersal / tec.nicum</x:v>
      </x:c>
      <x:c r="D91" s="331" t="str">
        <x:v>Technische Arbeitsplatzanpassung</x:v>
      </x:c>
      <x:c r="E91" s="331" t="str">
        <x:v>Möddinghofe 30 42279 Wuppertal</x:v>
      </x:c>
      <x:c r="F91" s="331" t="str">
        <x:v>Wuppertal</x:v>
      </x:c>
      <x:c r="G91" s="331" t="str">
        <x:v>Adresse/Kontakt geprüft; numerische Hauskoordinate noch nicht separat verifiziert</x:v>
      </x:c>
      <x:c r="H91" s="331" t="str">
        <x:v>Sammel-Geocode / anschließend Sichtkontrolle</x:v>
      </x:c>
      <x:c r="I91" s="331" t="str">
        <x:v>Schmersal/tec.nicum Wuppertal als Kartenstandort; Einsatz überregional.</x:v>
      </x:c>
      <x:c r="J91" s="331" t="str">
        <x:v>Kartenpunkt – Adresse geprüft</x:v>
      </x:c>
      <x:c r="K91" s="331" t="str">
        <x:v>T-029</x:v>
      </x:c>
      <x:c r="L91" s="317" t="str">
        <x:v>Gelb</x:v>
      </x:c>
      <x:c r="M91" s="332" t="str">
        <x:v>bei Gelegenheit / im Sammel-Geocode</x:v>
      </x:c>
    </x:row>
    <x:row r="92">
      <x:c r="A92" s="335" t="str">
        <x:v>Final 4.4.x</x:v>
      </x:c>
      <x:c r="B92" s="337" t="str">
        <x:v>NIEDRIG</x:v>
      </x:c>
      <x:c r="C92" s="335" t="str">
        <x:v>CBE Rhein-Neckar – Leimen</x:v>
      </x:c>
      <x:c r="D92" s="335" t="str">
        <x:v>Arbeitsvermittlung / Jobcoaching</x:v>
      </x:c>
      <x:c r="E92" s="335" t="str">
        <x:v>Kurpfalzstraße 27 69181 Leimen</x:v>
      </x:c>
      <x:c r="F92" s="335" t="str">
        <x:v>Leimen</x:v>
      </x:c>
      <x:c r="G92" s="335" t="str">
        <x:v>Adresse/Kontakt geprüft; numerische Hauskoordinate offen</x:v>
      </x:c>
      <x:c r="H92" s="335" t="str">
        <x:v>Manuell geokodieren / Pin prüfen</x:v>
      </x:c>
      <x:c r="I92" s="335" t="str">
        <x:v>B; wohnortnahe Ergänzung Heidelberg/Rhein-Neckar.</x:v>
      </x:c>
      <x:c r="J92" s="335" t="str">
        <x:v>Regionaler Kartenpunkt – nach Geocode-Freigabe</x:v>
      </x:c>
      <x:c r="K92" s="335" t="str">
        <x:v>AV44-013</x:v>
      </x:c>
      <x:c r="L92" s="338" t="str">
        <x:v>Blau</x:v>
      </x:c>
      <x:c r="M92" s="336" t="str">
        <x:v>nur Stichprobe</x:v>
      </x:c>
    </x:row>
    <x:row r="93">
      <x:c r="A93" s="335" t="str">
        <x:v>Final 4.4.x</x:v>
      </x:c>
      <x:c r="B93" s="337" t="str">
        <x:v>NIEDRIG</x:v>
      </x:c>
      <x:c r="C93" s="335" t="str">
        <x:v>WOT Work Opportunities Trainings – Ludwigshafen</x:v>
      </x:c>
      <x:c r="D93" s="335" t="str">
        <x:v>Arbeitsvermittlung / Jobcoaching</x:v>
      </x:c>
      <x:c r="E93" s="335" t="str">
        <x:v>Bismarckstraße 41 67059 Ludwigshafen am Rhein</x:v>
      </x:c>
      <x:c r="F93" s="335" t="str">
        <x:v>Ludwigshafen am Rhein</x:v>
      </x:c>
      <x:c r="G93" s="335" t="str">
        <x:v>Standortadresse geprüft; numerische Hauskoordinate offen</x:v>
      </x:c>
      <x:c r="H93" s="335" t="str">
        <x:v>Manuell geokodieren / Pin prüfen</x:v>
      </x:c>
      <x:c r="I93" s="335" t="str">
        <x:v>B; ergänzender AVGS-/Jobcoaching-Anbieter, nicht als BG-Spezialist darstellen.</x:v>
      </x:c>
      <x:c r="J93" s="335" t="str">
        <x:v>Regionaler Kartenpunkt – nach Geocode-Freigabe</x:v>
      </x:c>
      <x:c r="K93" s="335" t="str">
        <x:v>AV44-011</x:v>
      </x:c>
      <x:c r="L93" s="338" t="str">
        <x:v>Blau</x:v>
      </x:c>
      <x:c r="M93" s="336" t="str">
        <x:v>nur Stichprobe</x:v>
      </x:c>
    </x:row>
    <x:row r="94">
      <x:c r="A94" s="335" t="str">
        <x:v>Final 4.4.x</x:v>
      </x:c>
      <x:c r="B94" s="337" t="str">
        <x:v>NIEDRIG</x:v>
      </x:c>
      <x:c r="C94" s="335" t="str">
        <x:v>WOT Work Opportunities Trainings – Mannheim</x:v>
      </x:c>
      <x:c r="D94" s="335" t="str">
        <x:v>Arbeitsvermittlung / Jobcoaching</x:v>
      </x:c>
      <x:c r="E94" s="335" t="str">
        <x:v>G7, 22 68159 Mannheim</x:v>
      </x:c>
      <x:c r="F94" s="335" t="str">
        <x:v>Mannheim</x:v>
      </x:c>
      <x:c r="G94" s="335" t="str">
        <x:v>Standortadresse geprüft; numerische Hauskoordinate offen</x:v>
      </x:c>
      <x:c r="H94" s="335" t="str">
        <x:v>Manuell geokodieren / Pin prüfen</x:v>
      </x:c>
      <x:c r="I94" s="335" t="str">
        <x:v>B; zweiter regionaler Standort.</x:v>
      </x:c>
      <x:c r="J94" s="335" t="str">
        <x:v>Regionaler Kartenpunkt – nach Geocode-Freigabe</x:v>
      </x:c>
      <x:c r="K94" s="335" t="str">
        <x:v>AV44-012</x:v>
      </x:c>
      <x:c r="L94" s="338" t="str">
        <x:v>Blau</x:v>
      </x:c>
      <x:c r="M94" s="336" t="str">
        <x:v>nur Stichprobe</x:v>
      </x:c>
    </x:row>
    <x:row r="95">
      <x:c r="A95" s="335" t="str">
        <x:v>Final 4.4.x</x:v>
      </x:c>
      <x:c r="B95" s="337" t="str">
        <x:v>NIEDRIG</x:v>
      </x:c>
      <x:c r="C95" s="335" t="str">
        <x:v>ORGAMed Dortmund GmbH – BG-Pflegegutachten</x:v>
      </x:c>
      <x:c r="D95" s="335" t="str">
        <x:v>Pflegeberatung / Pflegegutachten</x:v>
      </x:c>
      <x:c r="E95" s="335" t="str">
        <x:v>Breierspfad 159 44309 Dortmund</x:v>
      </x:c>
      <x:c r="F95" s="335" t="str">
        <x:v>Dortmund</x:v>
      </x:c>
      <x:c r="G95" s="335" t="str">
        <x:v>Kontakt-/Sitzadresse geprüft; HQ nicht als regionale Versorgungsnähe interpretieren</x:v>
      </x:c>
      <x:c r="H95" s="335" t="str">
        <x:v>Kein Pin – Such-/Serviceeintrag kontrollieren</x:v>
      </x:c>
      <x:c r="I95" s="335" t="str">
        <x:v>B; fachlich klarer BG-Bezug, aber kein regionaler Südwest-Hauptstandort.</x:v>
      </x:c>
      <x:c r="J95" s="335" t="str">
        <x:v>Überregionaler Dienst – HQ nicht für Distanz-/Umkreisranking</x:v>
      </x:c>
      <x:c r="K95" s="335" t="str">
        <x:v>PF44-008</x:v>
      </x:c>
      <x:c r="L95" s="338" t="str">
        <x:v>Blau</x:v>
      </x:c>
      <x:c r="M95" s="336" t="str">
        <x:v>nur Stichprobe</x:v>
      </x:c>
    </x:row>
    <x:row r="96">
      <x:c r="A96" s="335" t="str">
        <x:v>Final 4.4.x</x:v>
      </x:c>
      <x:c r="B96" s="337" t="str">
        <x:v>NIEDRIG</x:v>
      </x:c>
      <x:c r="C96" s="335" t="str">
        <x:v>INQUA Institut – Mannheim / Online</x:v>
      </x:c>
      <x:c r="D96" s="335" t="str">
        <x:v>Arbeitsvermittlung / Jobcoaching</x:v>
      </x:c>
      <x:c r="E96" s="335" t="str">
        <x:v>Mannheim / Online</x:v>
      </x:c>
      <x:c r="F96" s="335" t="str">
        <x:v>Mannheim / Online</x:v>
      </x:c>
      <x:c r="G96" s="335" t="str">
        <x:v>Mannheim-Angebot bestätigt; konkrete öffentliche Mannheim-Hausadresse nicht belastbar übernommen</x:v>
      </x:c>
      <x:c r="H96" s="335" t="str">
        <x:v>Kein Pin – Such-/Serviceeintrag kontrollieren</x:v>
      </x:c>
      <x:c r="I96" s="335" t="str">
        <x:v>B; keine Berliner HQ-Koordinate für Mannheim-Service verwenden.</x:v>
      </x:c>
      <x:c r="J96" s="335" t="str">
        <x:v>Serviceeintrag Mannheim/Online – kein künstlicher Kartenpunkt</x:v>
      </x:c>
      <x:c r="K96" s="335" t="str">
        <x:v>AV44-014</x:v>
      </x:c>
      <x:c r="L96" s="338" t="str">
        <x:v>Blau</x:v>
      </x:c>
      <x:c r="M96" s="336" t="str">
        <x:v>nur Stichprobe</x:v>
      </x:c>
    </x:row>
    <x:row r="97">
      <x:c r="A97" s="335" t="str">
        <x:v>Final 4.4.x</x:v>
      </x:c>
      <x:c r="B97" s="337" t="str">
        <x:v>NIEDRIG</x:v>
      </x:c>
      <x:c r="C97" s="335" t="str">
        <x:v>JobCoaching Jetzt! – Reha Coaching</x:v>
      </x:c>
      <x:c r="D97" s="335" t="str">
        <x:v>Arbeitsvermittlung / Jobcoaching</x:v>
      </x:c>
      <x:c r="E97" s="335" t="str">
        <x:v>Berliner Straße 145 14467 Potsdam</x:v>
      </x:c>
      <x:c r="F97" s="335" t="str">
        <x:v>Potsdam</x:v>
      </x:c>
      <x:c r="G97" s="335" t="str">
        <x:v>Sitzadresse geprüft; überregionaler Dienst</x:v>
      </x:c>
      <x:c r="H97" s="335" t="str">
        <x:v>Kein Pin – Such-/Serviceeintrag kontrollieren</x:v>
      </x:c>
      <x:c r="I97" s="335" t="str">
        <x:v>B; als ergänzender Coachingdienst, nicht als BG-Spezialist.</x:v>
      </x:c>
      <x:c r="J97" s="335" t="str">
        <x:v>Überregionaler Dienst – HQ nicht für Distanz-/Umkreisranking</x:v>
      </x:c>
      <x:c r="K97" s="335" t="str">
        <x:v>AV44-015</x:v>
      </x:c>
      <x:c r="L97" s="338" t="str">
        <x:v>Blau</x:v>
      </x:c>
      <x:c r="M97" s="336" t="str">
        <x:v>nur Stichprobe</x:v>
      </x:c>
    </x:row>
    <x:row r="98">
      <x:c r="A98" s="331" t="str">
        <x:v>Final 4.4.x</x:v>
      </x:c>
      <x:c r="B98" s="333" t="str">
        <x:v>NIEDRIG</x:v>
      </x:c>
      <x:c r="C98" s="331" t="str">
        <x:v>AGIL Rehabilitationstechnik</x:v>
      </x:c>
      <x:c r="D98" s="331" t="str">
        <x:v>Technische Arbeitsplatzanpassung</x:v>
      </x:c>
      <x:c r="E98" s="331" t="str">
        <x:v>Am Taubenfeld 14/1 69123 Heidelberg</x:v>
      </x:c>
      <x:c r="F98" s="331" t="str">
        <x:v>Heidelberg</x:v>
      </x:c>
      <x:c r="G98" s="331" t="str">
        <x:v>Adresse/Kontakt geprüft; numerische Hauskoordinate noch nicht separat verifiziert</x:v>
      </x:c>
      <x:c r="H98" s="331" t="str">
        <x:v>Sammel-Geocode / anschließend Sichtkontrolle</x:v>
      </x:c>
      <x:c r="I98" s="331" t="str">
        <x:v>Nicht als primären Industrie-Arbeitsplatzberater führen; als Ergänzungspartner bei komplexer Mobilitäts-/Steuerungstechnik.</x:v>
      </x:c>
      <x:c r="J98" s="331" t="str">
        <x:v>Kartenpunkt – Adresse geprüft</x:v>
      </x:c>
      <x:c r="K98" s="331" t="str">
        <x:v>P-005</x:v>
      </x:c>
      <x:c r="L98" s="317" t="str">
        <x:v>Gelb</x:v>
      </x:c>
      <x:c r="M98" s="332" t="str">
        <x:v>bei Gelegenheit / im Sammel-Geocode</x:v>
      </x:c>
    </x:row>
    <x:row r="99">
      <x:c r="A99" s="331" t="str">
        <x:v>Final 4.4.x</x:v>
      </x:c>
      <x:c r="B99" s="333" t="str">
        <x:v>NIEDRIG</x:v>
      </x:c>
      <x:c r="C99" s="331" t="str">
        <x:v>Grabert Aluformguss GmbH</x:v>
      </x:c>
      <x:c r="D99" s="331" t="str">
        <x:v>Technische Arbeitsplatzanpassung</x:v>
      </x:c>
      <x:c r="E99" s="331" t="str">
        <x:v>Salzstraße 153 74076 Heilbronn</x:v>
      </x:c>
      <x:c r="F99" s="331" t="str">
        <x:v>Heilbronn</x:v>
      </x:c>
      <x:c r="G99" s="331" t="str">
        <x:v>Adresse/Kontakt geprüft; numerische Hauskoordinate noch nicht separat verifiziert</x:v>
      </x:c>
      <x:c r="H99" s="331" t="str">
        <x:v>Sammel-Geocode / anschließend Sichtkontrolle</x:v>
      </x:c>
      <x:c r="I99" s="331" t="str">
        <x:v>Als projektbezogener technischer Umsetzer aufnehmen; Reha-Einzelfallbezug nicht ausdrücklich beworben.</x:v>
      </x:c>
      <x:c r="J99" s="331" t="str">
        <x:v>Kartenpunkt – Adresse geprüft</x:v>
      </x:c>
      <x:c r="K99" s="331" t="str">
        <x:v>P-003</x:v>
      </x:c>
      <x:c r="L99" s="317" t="str">
        <x:v>Gelb</x:v>
      </x:c>
      <x:c r="M99" s="332" t="str">
        <x:v>bei Gelegenheit / im Sammel-Geocode</x:v>
      </x:c>
    </x:row>
  </x:sheetData>
  <x:mergeCells>
    <x:mergeCell ref="A1:K1"/>
    <x:mergeCell ref="A2:K2"/>
    <x:mergeCell ref="A1:M1"/>
    <x:mergeCell ref="A2:M2"/>
  </x:mergeCells>
  <x:conditionalFormatting sqref="B5:B99">
    <x:cfRule type="expression" dxfId="30" priority="1">
      <x:formula>B5="HOCH"</x:formula>
    </x:cfRule>
    <x:cfRule type="expression" dxfId="31" priority="2">
      <x:formula>B5="MITTEL"</x:formula>
    </x:cfRule>
  </x:conditionalFormatting>
  <x:pageMargins left="0.7" right="0.7" top="0.75" bottom="0.75" header="0.3" footer="0.3"/>
  <x:tableParts count="2">
    <x:tablePart xmlns:r="http://schemas.openxmlformats.org/officeDocument/2006/relationships" r:id="R46babbe7ef524be1"/>
    <x:tablePart xmlns:r="http://schemas.openxmlformats.org/officeDocument/2006/relationships" r:id="R5b0dfb6929f84764"/>
  </x:tableParts>
</x:worksheet>
</file>

<file path=xl/worksheets/sheet39.xml><?xml version="1.0" encoding="utf-8"?>
<x:worksheet xmlns:x="http://schemas.openxmlformats.org/spreadsheetml/2006/main">
  <x:sheetFormatPr defaultRowHeight="15"/>
  <x:cols>
    <x:col min="1" max="1" width="42" hidden="0" customWidth="1"/>
    <x:col min="2" max="2" width="30" hidden="0" customWidth="1"/>
    <x:col min="3" max="3" width="42" hidden="0" customWidth="1"/>
    <x:col min="4" max="4" width="22" hidden="0" customWidth="1"/>
    <x:col min="5" max="5" width="44" hidden="0" customWidth="1"/>
    <x:col min="6" max="6" width="55" hidden="0" customWidth="1"/>
    <x:col min="7" max="7" width="16" hidden="0" customWidth="1"/>
    <x:col min="8" max="8" width="12" hidden="0" customWidth="1"/>
    <x:col min="9" max="9" width="16" hidden="0" customWidth="1"/>
    <x:col min="10" max="10" width="12" hidden="0" customWidth="1"/>
  </x:cols>
  <x:sheetData>
    <x:row r="1">
      <x:c r="A1" s="341" t="str">
        <x:v>Karte – jetzt manuell: farblich priorisierte Abschlussliste</x:v>
      </x:c>
      <x:c r="B1" s="341"/>
      <x:c r="C1" s="341"/>
      <x:c r="D1" s="341"/>
      <x:c r="E1" s="341"/>
      <x:c r="F1" s="341"/>
      <x:c r="G1" s="341"/>
      <x:c r="H1" s="341"/>
      <x:c r="I1" s="341"/>
      <x:c r="J1" s="341"/>
    </x:row>
    <x:row r="2">
      <x:c r="A2" s="334" t="str">
        <x:v>Direkte Arbeitsansicht: Rot = sofort korrigieren, Orange = Marker/Geocode setzen, Gelb = Funktion oder Darstellung testen.</x:v>
      </x:c>
      <x:c r="B2" s="334"/>
      <x:c r="C2" s="334"/>
      <x:c r="D2" s="334"/>
      <x:c r="E2" s="334"/>
      <x:c r="F2" s="334"/>
      <x:c r="G2" s="334"/>
      <x:c r="H2" s="334"/>
      <x:c r="I2" s="334"/>
      <x:c r="J2" s="321"/>
    </x:row>
    <x:row r="3">
      <x:c r="A3" s="295"/>
      <x:c r="B3" s="295"/>
      <x:c r="C3" s="295"/>
      <x:c r="D3" s="295"/>
      <x:c r="E3" s="295"/>
      <x:c r="F3" s="295"/>
      <x:c r="G3" s="295"/>
      <x:c r="H3" s="295"/>
      <x:c r="I3" s="295"/>
    </x:row>
    <x:row r="4">
      <x:c r="A4" s="342" t="str">
        <x:v>Einrichtung</x:v>
      </x:c>
      <x:c r="B4" s="342" t="str">
        <x:v>Bereich</x:v>
      </x:c>
      <x:c r="C4" s="342" t="str">
        <x:v>Adresse</x:v>
      </x:c>
      <x:c r="D4" s="342" t="str">
        <x:v>Ort</x:v>
      </x:c>
      <x:c r="E4" s="342" t="str">
        <x:v>Was tun?</x:v>
      </x:c>
      <x:c r="F4" s="342" t="str">
        <x:v>Warum wichtig?</x:v>
      </x:c>
      <x:c r="G4" s="342" t="str">
        <x:v>Stand</x:v>
      </x:c>
      <x:c r="H4" s="342" t="str">
        <x:v>Priorität</x:v>
      </x:c>
      <x:c r="I4" s="342" t="str">
        <x:v>ID</x:v>
      </x:c>
      <x:c r="J4" s="311" t="str">
        <x:v>Ampel</x:v>
      </x:c>
    </x:row>
    <x:row r="5">
      <x:c r="A5" s="378" t="str">
        <x:v>Arbeitsmedizin Speyer – Dr. med. Stephanie Grabs</x:v>
      </x:c>
      <x:c r="B5" s="378" t="str">
        <x:v>Arbeitsmedizin</x:v>
      </x:c>
      <x:c r="C5" s="378" t="str">
        <x:v>Eselsdamm 46, 67346 Speyer</x:v>
      </x:c>
      <x:c r="D5" s="378" t="str">
        <x:v>Speyer</x:v>
      </x:c>
      <x:c r="E5" s="378" t="str">
        <x:v>ERLEDIGT – korrigiert und neu geokodiert</x:v>
      </x:c>
      <x:c r="F5" s="378" t="str">
        <x:v>Hauspunkt und Regionszuordnung Pfalz / Rheinhessen geprüft.</x:v>
      </x:c>
      <x:c r="G5" s="378" t="str">
        <x:v>4.5.1</x:v>
      </x:c>
      <x:c r="H5" s="379" t="str">
        <x:v>ERLEDIGT</x:v>
      </x:c>
      <x:c r="I5" s="378" t="n">
        <x:v>125</x:v>
      </x:c>
      <x:c r="J5" s="380" t="str">
        <x:v>Grün</x:v>
      </x:c>
    </x:row>
    <x:row r="6">
      <x:c r="A6" s="327" t="str">
        <x:v>Reha-Zentrum HESS Pforzheim</x:v>
      </x:c>
      <x:c r="B6" s="327" t="str">
        <x:v>EAP, ABMR, EFL / FCE</x:v>
      </x:c>
      <x:c r="C6" s="327" t="str">
        <x:v>Industriestraße 45 75217 Birkenfeld bei Pforzheim</x:v>
      </x:c>
      <x:c r="D6" s="327" t="str">
        <x:v>Birkenfeld bei Pforzheim</x:v>
      </x:c>
      <x:c r="E6" s="327" t="str">
        <x:v>Hauspunkt manuell setzen</x:v>
      </x:c>
      <x:c r="F6" s="327" t="str">
        <x:v>Reha-Zentrum HESS ist EAP/ABMR/EFL-relevant; sinnvoller manueller Kartenpunkt.</x:v>
      </x:c>
      <x:c r="G6" s="327" t="str">
        <x:v>Produktiv 4.3</x:v>
      </x:c>
      <x:c r="H6" s="329" t="str">
        <x:v>HOCH</x:v>
      </x:c>
      <x:c r="I6" s="327" t="n">
        <x:v>311</x:v>
      </x:c>
      <x:c r="J6" s="315" t="str">
        <x:v>Orange</x:v>
      </x:c>
    </x:row>
    <x:row r="7">
      <x:c r="A7" s="327" t="str">
        <x:v>MfB-Schuhmann GmbH</x:v>
      </x:c>
      <x:c r="B7" s="327" t="str">
        <x:v>Leistungen zur Teilhabe am Arbeitsleben (LTA), Kfz-Hilfe / Mobilität</x:v>
      </x:c>
      <x:c r="C7" s="327" t="str">
        <x:v>Bahnbrückenstraße 1 76703 Kraichtal</x:v>
      </x:c>
      <x:c r="D7" s="327" t="str">
        <x:v>Kraichtal</x:v>
      </x:c>
      <x:c r="E7" s="327" t="str">
        <x:v>Hauspunkt manuell setzen</x:v>
      </x:c>
      <x:c r="F7" s="327" t="str">
        <x:v>MfB-Schuhmann ist für LTA/Kfz-Hilfe operativ relevant.</x:v>
      </x:c>
      <x:c r="G7" s="327" t="str">
        <x:v>Produktiv 4.3</x:v>
      </x:c>
      <x:c r="H7" s="329" t="str">
        <x:v>HOCH</x:v>
      </x:c>
      <x:c r="I7" s="327" t="n">
        <x:v>322</x:v>
      </x:c>
      <x:c r="J7" s="315" t="str">
        <x:v>Orange</x:v>
      </x:c>
    </x:row>
    <x:row r="8">
      <x:c r="A8" s="327" t="str">
        <x:v>MEDIAN Reha-Zentrum Wiesbaden-Sonnenberg</x:v>
      </x:c>
      <x:c r="B8" s="327" t="str">
        <x:v>BGSW, Stationäre Reha</x:v>
      </x:c>
      <x:c r="C8" s="327" t="str">
        <x:v>Leibnizstr. 23/25 65191 Wiesbaden</x:v>
      </x:c>
      <x:c r="D8" s="327" t="str">
        <x:v>Wiesbaden</x:v>
      </x:c>
      <x:c r="E8" s="327" t="str">
        <x:v>Hauspunkt manuell setzen</x:v>
      </x:c>
      <x:c r="F8" s="327" t="str">
        <x:v>BGSW-Standort; für Distanz-/Umkreissuche besonders relevant.</x:v>
      </x:c>
      <x:c r="G8" s="327" t="str">
        <x:v>Produktiv 4.3</x:v>
      </x:c>
      <x:c r="H8" s="329" t="str">
        <x:v>HOCH</x:v>
      </x:c>
      <x:c r="I8" s="327" t="n">
        <x:v>440</x:v>
      </x:c>
      <x:c r="J8" s="315" t="str">
        <x:v>Orange</x:v>
      </x:c>
    </x:row>
    <x:row r="9">
      <x:c r="A9" s="327" t="str">
        <x:v>Berufsförderungswerk Frankfurt am Main e.V. – Bad Vilbel</x:v>
      </x:c>
      <x:c r="B9" s="327" t="str">
        <x:v>Berufliche Reha</x:v>
      </x:c>
      <x:c r="C9" s="327" t="str">
        <x:v>Huizener Straße 60 61118 Bad Vilbel</x:v>
      </x:c>
      <x:c r="D9" s="327" t="str">
        <x:v>Bad Vilbel</x:v>
      </x:c>
      <x:c r="E9" s="327" t="str">
        <x:v>Manuell geokodieren / Pin prüfen</x:v>
      </x:c>
      <x:c r="F9" s="327" t="str">
        <x:v>Bad Vilbel verbindlich aufnehmen. Regionalcenter Kassel ausdrücklich nicht in den Kartenbestand übernehmen.</x:v>
      </x:c>
      <x:c r="G9" s="327" t="str">
        <x:v>Final 4.4.x</x:v>
      </x:c>
      <x:c r="H9" s="329" t="str">
        <x:v>HOCH</x:v>
      </x:c>
      <x:c r="I9" s="327" t="str">
        <x:v>BR44-001</x:v>
      </x:c>
      <x:c r="J9" s="315" t="str">
        <x:v>Orange</x:v>
      </x:c>
    </x:row>
    <x:row r="10">
      <x:c r="A10" s="327" t="str">
        <x:v>KVJS – Technischer Beratungsdienst Integrationsamt</x:v>
      </x:c>
      <x:c r="B10" s="327" t="str">
        <x:v>Technische Arbeitsplatzanpassung</x:v>
      </x:c>
      <x:c r="C10" s="327" t="str">
        <x:v>Kaiser-Joseph-Straße 170 79098 Freiburg im Breisgau</x:v>
      </x:c>
      <x:c r="D10" s="327" t="str">
        <x:v>Freiburg im Breisgau</x:v>
      </x:c>
      <x:c r="E10" s="327" t="str">
        <x:v>Manuell geokodieren / Pin prüfen</x:v>
      </x:c>
      <x:c r="F10" s="327" t="str">
        <x:v>KVJS-Standort Freiburg.</x:v>
      </x:c>
      <x:c r="G10" s="327" t="str">
        <x:v>Final 4.4.x</x:v>
      </x:c>
      <x:c r="H10" s="329" t="str">
        <x:v>HOCH</x:v>
      </x:c>
      <x:c r="I10" s="327" t="str">
        <x:v>T-042-FR</x:v>
      </x:c>
      <x:c r="J10" s="315" t="str">
        <x:v>Orange</x:v>
      </x:c>
    </x:row>
    <x:row r="11">
      <x:c r="A11" s="327" t="str">
        <x:v>KVJS – Technischer Beratungsdienst Integrationsamt</x:v>
      </x:c>
      <x:c r="B11" s="327" t="str">
        <x:v>Technische Arbeitsplatzanpassung</x:v>
      </x:c>
      <x:c r="C11" s="327" t="str">
        <x:v>Erzbergerstraße 119 76133 Karlsruhe</x:v>
      </x:c>
      <x:c r="D11" s="327" t="str">
        <x:v>Karlsruhe</x:v>
      </x:c>
      <x:c r="E11" s="327" t="str">
        <x:v>Manuell geokodieren / Pin prüfen</x:v>
      </x:c>
      <x:c r="F11" s="327" t="str">
        <x:v>KVJS-Standort Karlsruhe.</x:v>
      </x:c>
      <x:c r="G11" s="327" t="str">
        <x:v>Final 4.4.x</x:v>
      </x:c>
      <x:c r="H11" s="329" t="str">
        <x:v>HOCH</x:v>
      </x:c>
      <x:c r="I11" s="327" t="str">
        <x:v>T-042-KA</x:v>
      </x:c>
      <x:c r="J11" s="315" t="str">
        <x:v>Orange</x:v>
      </x:c>
    </x:row>
    <x:row r="12">
      <x:c r="A12" s="327" t="str">
        <x:v>LSJV Rheinland-Pfalz – Technischer Beratungsdienst Integrationsamt</x:v>
      </x:c>
      <x:c r="B12" s="327" t="str">
        <x:v>Technische Arbeitsplatzanpassung</x:v>
      </x:c>
      <x:c r="C12" s="327" t="str">
        <x:v>Rheinallee 97-101 55118 Mainz</x:v>
      </x:c>
      <x:c r="D12" s="327" t="str">
        <x:v>Mainz</x:v>
      </x:c>
      <x:c r="E12" s="327" t="str">
        <x:v>Manuell geokodieren / Pin prüfen</x:v>
      </x:c>
      <x:c r="F12" s="327" t="str">
        <x:v>Integrationsamt/Technischer Beratungsdienst Mainz als Kartenpunkt.</x:v>
      </x:c>
      <x:c r="G12" s="327" t="str">
        <x:v>Final 4.4.x</x:v>
      </x:c>
      <x:c r="H12" s="329" t="str">
        <x:v>HOCH</x:v>
      </x:c>
      <x:c r="I12" s="327" t="str">
        <x:v>T-043</x:v>
      </x:c>
      <x:c r="J12" s="315" t="str">
        <x:v>Orange</x:v>
      </x:c>
    </x:row>
    <x:row r="13">
      <x:c r="A13" s="327" t="str">
        <x:v>Zentrum für Nervenheilkunde Mannheim (ZNS)</x:v>
      </x:c>
      <x:c r="B13" s="327" t="str">
        <x:v>Neurologisch-psychiatrische Praxen</x:v>
      </x:c>
      <x:c r="C13" s="327" t="str">
        <x:v>E2, 15 68159 Mannheim</x:v>
      </x:c>
      <x:c r="D13" s="327" t="str">
        <x:v>Mannheim</x:v>
      </x:c>
      <x:c r="E13" s="327" t="str">
        <x:v>Manuell geokodieren / Pin prüfen</x:v>
      </x:c>
      <x:c r="F13" s="327" t="str">
        <x:v>A+; große Mehrarztstruktur, schließt Mannheim-Lücke.</x:v>
      </x:c>
      <x:c r="G13" s="327" t="str">
        <x:v>Final 4.4.x</x:v>
      </x:c>
      <x:c r="H13" s="329" t="str">
        <x:v>HOCH</x:v>
      </x:c>
      <x:c r="I13" s="327" t="str">
        <x:v>NP44-008</x:v>
      </x:c>
      <x:c r="J13" s="315" t="str">
        <x:v>Orange</x:v>
      </x:c>
    </x:row>
    <x:row r="14">
      <x:c r="A14" s="327" t="str">
        <x:v>CAMAS Integration &amp; Consulting – Nierstein</x:v>
      </x:c>
      <x:c r="B14" s="327" t="str">
        <x:v>Arbeitsvermittlung / Reha-Integration</x:v>
      </x:c>
      <x:c r="C14" s="327" t="str">
        <x:v>Mainzer Straße 44 55283 Nierstein</x:v>
      </x:c>
      <x:c r="D14" s="327" t="str">
        <x:v>Nierstein</x:v>
      </x:c>
      <x:c r="E14" s="327" t="str">
        <x:v>Manuell geokodieren / Pin prüfen</x:v>
      </x:c>
      <x:c r="F14" s="327" t="str">
        <x:v>A+; regionaler Südwest-Standort mit Versicherungs-/Reha-Bezug.</x:v>
      </x:c>
      <x:c r="G14" s="327" t="str">
        <x:v>Final 4.4.x</x:v>
      </x:c>
      <x:c r="H14" s="329" t="str">
        <x:v>HOCH</x:v>
      </x:c>
      <x:c r="I14" s="327" t="str">
        <x:v>AV44-002</x:v>
      </x:c>
      <x:c r="J14" s="315" t="str">
        <x:v>Orange</x:v>
      </x:c>
    </x:row>
    <x:row r="15">
      <x:c r="A15" s="327" t="str">
        <x:v>pebb zwei gmbh – Ober-Hilbersheim</x:v>
      </x:c>
      <x:c r="B15" s="327" t="str">
        <x:v>Berufliche Reha / Arbeitsvermittlung</x:v>
      </x:c>
      <x:c r="C15" s="327" t="str">
        <x:v>Sprendlinger Straße 20a 55437 Ober-Hilbersheim</x:v>
      </x:c>
      <x:c r="D15" s="327" t="str">
        <x:v>Ober-Hilbersheim</x:v>
      </x:c>
      <x:c r="E15" s="327" t="str">
        <x:v>Manuell geokodieren / Pin prüfen</x:v>
      </x:c>
      <x:c r="F15" s="327" t="str">
        <x:v>Besonders relevant als Reha-Arbeitsvermittler; nicht mit pebb gmbh zusammenziehen.</x:v>
      </x:c>
      <x:c r="G15" s="327" t="str">
        <x:v>Final 4.4.x</x:v>
      </x:c>
      <x:c r="H15" s="329" t="str">
        <x:v>HOCH</x:v>
      </x:c>
      <x:c r="I15" s="327" t="str">
        <x:v>CO44-002</x:v>
      </x:c>
      <x:c r="J15" s="315" t="str">
        <x:v>Orange</x:v>
      </x:c>
    </x:row>
    <x:row r="16">
      <x:c r="A16" s="327" t="str">
        <x:v>Pilz GmbH &amp; Co. KG</x:v>
      </x:c>
      <x:c r="B16" s="327" t="str">
        <x:v>Technische Arbeitsplatzanpassung</x:v>
      </x:c>
      <x:c r="C16" s="327" t="str">
        <x:v>Felix-Wankel-Straße 2 73760 Ostfildern</x:v>
      </x:c>
      <x:c r="D16" s="327" t="str">
        <x:v>Ostfildern</x:v>
      </x:c>
      <x:c r="E16" s="327" t="str">
        <x:v>Manuell geokodieren / Pin prüfen</x:v>
      </x:c>
      <x:c r="F16" s="327" t="str">
        <x:v>Standort verifiziert.</x:v>
      </x:c>
      <x:c r="G16" s="327" t="str">
        <x:v>Final 4.4.x</x:v>
      </x:c>
      <x:c r="H16" s="329" t="str">
        <x:v>HOCH</x:v>
      </x:c>
      <x:c r="I16" s="327" t="str">
        <x:v>T-033</x:v>
      </x:c>
      <x:c r="J16" s="315" t="str">
        <x:v>Orange</x:v>
      </x:c>
    </x:row>
    <x:row r="17">
      <x:c r="A17" s="327" t="str">
        <x:v>KVJS – Technischer Beratungsdienst Integrationsamt</x:v>
      </x:c>
      <x:c r="B17" s="327" t="str">
        <x:v>Technische Arbeitsplatzanpassung</x:v>
      </x:c>
      <x:c r="C17" s="327" t="str">
        <x:v>Lindenspürstraße 39 70176 Stuttgart</x:v>
      </x:c>
      <x:c r="D17" s="327" t="str">
        <x:v>Stuttgart</x:v>
      </x:c>
      <x:c r="E17" s="327" t="str">
        <x:v>Manuell geokodieren / Pin prüfen</x:v>
      </x:c>
      <x:c r="F17" s="327" t="str">
        <x:v>KVJS-Standort Stuttgart.</x:v>
      </x:c>
      <x:c r="G17" s="327" t="str">
        <x:v>Final 4.4.x</x:v>
      </x:c>
      <x:c r="H17" s="329" t="str">
        <x:v>HOCH</x:v>
      </x:c>
      <x:c r="I17" s="327" t="str">
        <x:v>T-042-ST</x:v>
      </x:c>
      <x:c r="J17" s="315" t="str">
        <x:v>Orange</x:v>
      </x:c>
    </x:row>
    <x:row r="18">
      <x:c r="A18" s="327" t="str">
        <x:v>Faude Tec GmbH</x:v>
      </x:c>
      <x:c r="B18" s="327" t="str">
        <x:v>Technische Arbeitsplatzanpassung</x:v>
      </x:c>
      <x:c r="C18" s="327" t="str">
        <x:v>Robert-Mayer-Straße 3 73660 Urbach</x:v>
      </x:c>
      <x:c r="D18" s="327" t="str">
        <x:v>Urbach</x:v>
      </x:c>
      <x:c r="E18" s="327" t="str">
        <x:v>Manuell geokodieren / Pin prüfen</x:v>
      </x:c>
      <x:c r="F18" s="327" t="str">
        <x:v>Für Karte Besucheradresse Urbach verwenden; Börtlingen (Ödweilerhof 3) ist Rechnungsadresse.</x:v>
      </x:c>
      <x:c r="G18" s="327" t="str">
        <x:v>Final 4.4.x</x:v>
      </x:c>
      <x:c r="H18" s="329" t="str">
        <x:v>HOCH</x:v>
      </x:c>
      <x:c r="I18" s="327" t="str">
        <x:v>T-030</x:v>
      </x:c>
      <x:c r="J18" s="315" t="str">
        <x:v>Orange</x:v>
      </x:c>
    </x:row>
    <x:row r="19">
      <x:c r="A19" s="327" t="str">
        <x:v>Humanelektronik GmbH</x:v>
      </x:c>
      <x:c r="B19" s="327" t="str">
        <x:v>Technische Arbeitsplatzanpassung</x:v>
      </x:c>
      <x:c r="C19" s="327" t="str">
        <x:v>Weinsheimer Straße 57a 67547 Worms</x:v>
      </x:c>
      <x:c r="D19" s="327" t="str">
        <x:v>Worms</x:v>
      </x:c>
      <x:c r="E19" s="327" t="str">
        <x:v>Manuell geokodieren / Pin prüfen</x:v>
      </x:c>
      <x:c r="F19" s="327" t="str">
        <x:v>Standort verifiziert.</x:v>
      </x:c>
      <x:c r="G19" s="327" t="str">
        <x:v>Final 4.4.x</x:v>
      </x:c>
      <x:c r="H19" s="329" t="str">
        <x:v>HOCH</x:v>
      </x:c>
      <x:c r="I19" s="327" t="str">
        <x:v>T-035</x:v>
      </x:c>
      <x:c r="J19" s="315" t="str">
        <x:v>Orange</x:v>
      </x:c>
    </x:row>
    <x:row r="20">
      <x:c r="A20" s="327" t="str">
        <x:v>Meier &amp; Schütte GmbH &amp; Co. KG</x:v>
      </x:c>
      <x:c r="B20" s="327" t="str">
        <x:v>Technische Arbeitsplatzanpassung</x:v>
      </x:c>
      <x:c r="C20" s="327" t="str">
        <x:v>Weinsheimer Straße 57a 67547 Worms</x:v>
      </x:c>
      <x:c r="D20" s="327" t="str">
        <x:v>Worms</x:v>
      </x:c>
      <x:c r="E20" s="327" t="str">
        <x:v>Manuell geokodieren / Pin prüfen</x:v>
      </x:c>
      <x:c r="F20" s="327" t="str">
        <x:v>Standort verifiziert; gleicher Gebäudestandort wie Humanelektronik möglich.</x:v>
      </x:c>
      <x:c r="G20" s="327" t="str">
        <x:v>Final 4.4.x</x:v>
      </x:c>
      <x:c r="H20" s="329" t="str">
        <x:v>HOCH</x:v>
      </x:c>
      <x:c r="I20" s="327" t="str">
        <x:v>T-036</x:v>
      </x:c>
      <x:c r="J20" s="315" t="str">
        <x:v>Orange</x:v>
      </x:c>
    </x:row>
    <x:row r="21">
      <x:c r="A21" s="327" t="str">
        <x:v>Pflegesachverständige Kristina Braun</x:v>
      </x:c>
      <x:c r="B21" s="327" t="str">
        <x:v>Pflegeberatung / Pflegegutachten</x:v>
      </x:c>
      <x:c r="C21" s="327" t="str">
        <x:v>In den Hofgärten 2 67551 Worms</x:v>
      </x:c>
      <x:c r="D21" s="327" t="str">
        <x:v>Worms</x:v>
      </x:c>
      <x:c r="E21" s="327" t="str">
        <x:v>Manuell geokodieren / Pin prüfen</x:v>
      </x:c>
      <x:c r="F21" s="327" t="str">
        <x:v>A+ wegen ausdrücklichem SGB-VII-/BG-Bezug.</x:v>
      </x:c>
      <x:c r="G21" s="327" t="str">
        <x:v>Final 4.4.x</x:v>
      </x:c>
      <x:c r="H21" s="329" t="str">
        <x:v>HOCH</x:v>
      </x:c>
      <x:c r="I21" s="327" t="str">
        <x:v>PF44-002</x:v>
      </x:c>
      <x:c r="J21" s="315" t="str">
        <x:v>Orange</x:v>
      </x:c>
    </x:row>
    <x:row r="22">
      <x:c r="A22" s="331" t="str">
        <x:v>BG Unfallklinik Frankfurt – Pflegefachberatung / Pflegebegutachtung</x:v>
      </x:c>
      <x:c r="B22" s="331" t="str">
        <x:v>Pflegeberatung / Pflegegutachten</x:v>
      </x:c>
      <x:c r="C22" s="331" t="str">
        <x:v>Friedberger Landstraße 430 60389 Frankfurt am Main</x:v>
      </x:c>
      <x:c r="D22" s="331" t="str">
        <x:v>Frankfurt am Main</x:v>
      </x:c>
      <x:c r="E22" s="331" t="str">
        <x:v>Bestand nach Merge visuell kontrollieren</x:v>
      </x:c>
      <x:c r="F22" s="331" t="str">
        <x:v>A+; Pflegebegutachtung ausdrücklich im UVT-Auftrag.</x:v>
      </x:c>
      <x:c r="G22" s="331" t="str">
        <x:v>Final 4.4.x</x:v>
      </x:c>
      <x:c r="H22" s="333" t="str">
        <x:v>HOCH</x:v>
      </x:c>
      <x:c r="I22" s="331" t="str">
        <x:v>PF44-004</x:v>
      </x:c>
      <x:c r="J22" s="317" t="str">
        <x:v>Gelb</x:v>
      </x:c>
    </x:row>
    <x:row r="23">
      <x:c r="A23" s="331" t="str">
        <x:v>BG Klinik Ludwigshafen – Pflegefachberatung / Pflegegutachten</x:v>
      </x:c>
      <x:c r="B23" s="331" t="str">
        <x:v>Pflegeberatung / Pflegegutachten</x:v>
      </x:c>
      <x:c r="C23" s="331" t="str">
        <x:v>Ludwig-Guttmann-Straße 13 67071 Ludwigshafen am Rhein</x:v>
      </x:c>
      <x:c r="D23" s="331" t="str">
        <x:v>Ludwigshafen am Rhein</x:v>
      </x:c>
      <x:c r="E23" s="331" t="str">
        <x:v>Bestand nach Merge visuell kontrollieren</x:v>
      </x:c>
      <x:c r="F23" s="331" t="str">
        <x:v>Pflegefachberatung als direkt anwählbare Leistung/Direktkontakt am Klinikdatensatz.</x:v>
      </x:c>
      <x:c r="G23" s="331" t="str">
        <x:v>Final 4.4.x</x:v>
      </x:c>
      <x:c r="H23" s="333" t="str">
        <x:v>HOCH</x:v>
      </x:c>
      <x:c r="I23" s="331" t="str">
        <x:v>PF44-003</x:v>
      </x:c>
      <x:c r="J23" s="317" t="str">
        <x:v>Gelb</x:v>
      </x:c>
    </x:row>
    <x:row r="24">
      <x:c r="A24" s="331" t="str">
        <x:v>BG Klinik Tübingen – Pflegefachberatung / Pflegegutachten</x:v>
      </x:c>
      <x:c r="B24" s="331" t="str">
        <x:v>Pflegeberatung / Pflegegutachten</x:v>
      </x:c>
      <x:c r="C24" s="331" t="str">
        <x:v>Schnarrenbergstraße 95 72076 Tübingen</x:v>
      </x:c>
      <x:c r="D24" s="331" t="str">
        <x:v>Tübingen</x:v>
      </x:c>
      <x:c r="E24" s="331" t="str">
        <x:v>Bestand nach Merge visuell kontrollieren</x:v>
      </x:c>
      <x:c r="F24" s="331" t="str">
        <x:v>A+; direkte Pflegefachberatung/Pflegegutachten für UVT.</x:v>
      </x:c>
      <x:c r="G24" s="331" t="str">
        <x:v>Final 4.4.x</x:v>
      </x:c>
      <x:c r="H24" s="333" t="str">
        <x:v>HOCH</x:v>
      </x:c>
      <x:c r="I24" s="331" t="str">
        <x:v>PF44-005</x:v>
      </x:c>
      <x:c r="J24" s="317" t="str">
        <x:v>Gelb</x:v>
      </x:c>
    </x:row>
    <x:row r="25">
      <x:c r="A25" s="323" t="str">
        <x:v>Seniorenzentrum Storchenpark Speyer</x:v>
      </x:c>
      <x:c r="B25" s="323" t="str">
        <x:v>Neurologie Phase F</x:v>
      </x:c>
      <x:c r="C25" s="323" t="str"/>
      <x:c r="D25" s="323" t="str">
        <x:v>Speyer</x:v>
      </x:c>
      <x:c r="E25" s="323" t="str">
        <x:v>Nach Merge prüfen: nicht mehr als Phase F sichtbar</x:v>
      </x:c>
      <x:c r="F25" s="323" t="str">
        <x:v>Verbindliche Ausschlussentscheidung</x:v>
      </x:c>
      <x:c r="G25" s="323" t="str">
        <x:v>Final 4.4.x</x:v>
      </x:c>
      <x:c r="H25" s="325" t="str">
        <x:v>HOCH</x:v>
      </x:c>
      <x:c r="I25" s="323" t="str">
        <x:v>Regel</x:v>
      </x:c>
      <x:c r="J25" s="313" t="str">
        <x:v>Rot</x:v>
      </x:c>
    </x:row>
    <x:row r="26">
      <x:c r="A26" s="323" t="str">
        <x:v>BFW Frankfurt – Kassel</x:v>
      </x:c>
      <x:c r="B26" s="323" t="str">
        <x:v>Berufliche Reha</x:v>
      </x:c>
      <x:c r="C26" s="323" t="str"/>
      <x:c r="D26" s="323" t="str">
        <x:v>Kassel</x:v>
      </x:c>
      <x:c r="E26" s="323" t="str">
        <x:v>Nach Merge prüfen: kein Karten-/Suchtreffer aus BFW-Komplex</x:v>
      </x:c>
      <x:c r="F26" s="323" t="str">
        <x:v>Bad Vilbel ist der verbindliche Standort</x:v>
      </x:c>
      <x:c r="G26" s="323" t="str">
        <x:v>Final 4.4.x</x:v>
      </x:c>
      <x:c r="H26" s="325" t="str">
        <x:v>HOCH</x:v>
      </x:c>
      <x:c r="I26" s="323" t="str">
        <x:v>Regel</x:v>
      </x:c>
      <x:c r="J26" s="313" t="str">
        <x:v>Rot</x:v>
      </x:c>
    </x:row>
    <x:row r="27">
      <x:c r="A27" s="331" t="str">
        <x:v>BG Klinik Ludwigshafen – Pflegefachberatung</x:v>
      </x:c>
      <x:c r="B27" s="331" t="str">
        <x:v>Pflegeberatung</x:v>
      </x:c>
      <x:c r="C27" s="331" t="str"/>
      <x:c r="D27" s="331" t="str">
        <x:v>Ludwigshafen</x:v>
      </x:c>
      <x:c r="E27" s="331" t="str">
        <x:v>Als Subservice am Klinik-Pin testen, kein Doppelmarker</x:v>
      </x:c>
      <x:c r="F27" s="331" t="str">
        <x:v>Pflegeberatung soll auffindbar sein ohne zweiten Klinik-Pin</x:v>
      </x:c>
      <x:c r="G27" s="331" t="str">
        <x:v>Final 4.4.x</x:v>
      </x:c>
      <x:c r="H27" s="333" t="str">
        <x:v>HOCH</x:v>
      </x:c>
      <x:c r="I27" s="331" t="str">
        <x:v>PF44-003</x:v>
      </x:c>
      <x:c r="J27" s="317" t="str">
        <x:v>Gelb</x:v>
      </x:c>
    </x:row>
    <x:row r="28">
      <x:c r="A28" s="331" t="str">
        <x:v>BG Unfallklinik Frankfurt – Pflegefachberatung</x:v>
      </x:c>
      <x:c r="B28" s="331" t="str">
        <x:v>Pflegeberatung</x:v>
      </x:c>
      <x:c r="C28" s="331" t="str"/>
      <x:c r="D28" s="331" t="str">
        <x:v>Frankfurt</x:v>
      </x:c>
      <x:c r="E28" s="331" t="str">
        <x:v>Als Subservice am Klinik-Pin testen, kein Doppelmarker</x:v>
      </x:c>
      <x:c r="F28" s="331" t="str">
        <x:v>Pflegebegutachtung UVT soll separat suchbar sein</x:v>
      </x:c>
      <x:c r="G28" s="331" t="str">
        <x:v>Final 4.4.x</x:v>
      </x:c>
      <x:c r="H28" s="333" t="str">
        <x:v>HOCH</x:v>
      </x:c>
      <x:c r="I28" s="331" t="str">
        <x:v>PF44-004</x:v>
      </x:c>
      <x:c r="J28" s="317" t="str">
        <x:v>Gelb</x:v>
      </x:c>
    </x:row>
    <x:row r="29">
      <x:c r="A29" s="331" t="str">
        <x:v>BG Klinik Tübingen – Pflegefachberatung</x:v>
      </x:c>
      <x:c r="B29" s="331" t="str">
        <x:v>Pflegeberatung</x:v>
      </x:c>
      <x:c r="C29" s="331" t="str"/>
      <x:c r="D29" s="331" t="str">
        <x:v>Tübingen</x:v>
      </x:c>
      <x:c r="E29" s="331" t="str">
        <x:v>Als Subservice am Klinik-Pin testen, kein Doppelmarker</x:v>
      </x:c>
      <x:c r="F29" s="331" t="str">
        <x:v>Pflegegutachten/Pflegefachberatung separat suchbar</x:v>
      </x:c>
      <x:c r="G29" s="331" t="str">
        <x:v>Final 4.4.x</x:v>
      </x:c>
      <x:c r="H29" s="333" t="str">
        <x:v>HOCH</x:v>
      </x:c>
      <x:c r="I29" s="331" t="str">
        <x:v>PF44-005</x:v>
      </x:c>
      <x:c r="J29" s="317" t="str">
        <x:v>Gelb</x:v>
      </x:c>
    </x:row>
    <x:row r="30">
      <x:c r="A30" s="331" t="str">
        <x:v>Filter NeuroCE / Neurologie</x:v>
      </x:c>
      <x:c r="B30" s="331" t="str">
        <x:v>UX</x:v>
      </x:c>
      <x:c r="C30" s="331" t="str"/>
      <x:c r="D30" s="331" t="str"/>
      <x:c r="E30" s="331" t="str">
        <x:v>Einzeltreffer und kleine Treffergruppen testen</x:v>
      </x:c>
      <x:c r="F30" s="331" t="str">
        <x:v>Kein Europa-/Weltzoom</x:v>
      </x:c>
      <x:c r="G30" s="331" t="str">
        <x:v>Final 4.4.x</x:v>
      </x:c>
      <x:c r="H30" s="333" t="str">
        <x:v>HOCH</x:v>
      </x:c>
      <x:c r="I30" s="331" t="str">
        <x:v>UX</x:v>
      </x:c>
      <x:c r="J30" s="317" t="str">
        <x:v>Gelb</x:v>
      </x:c>
    </x:row>
    <x:row r="31">
      <x:c r="A31" s="331" t="str">
        <x:v>Filter Schmerztherapie</x:v>
      </x:c>
      <x:c r="B31" s="331" t="str">
        <x:v>UX</x:v>
      </x:c>
      <x:c r="C31" s="331" t="str"/>
      <x:c r="D31" s="331" t="str"/>
      <x:c r="E31" s="331" t="str">
        <x:v>Einzeltreffer und kleine Treffergruppen testen</x:v>
      </x:c>
      <x:c r="F31" s="331" t="str">
        <x:v>Kein Europa-/Weltzoom</x:v>
      </x:c>
      <x:c r="G31" s="331" t="str">
        <x:v>Final 4.4.x</x:v>
      </x:c>
      <x:c r="H31" s="333" t="str">
        <x:v>HOCH</x:v>
      </x:c>
      <x:c r="I31" s="331" t="str">
        <x:v>UX</x:v>
      </x:c>
      <x:c r="J31" s="317" t="str">
        <x:v>Gelb</x:v>
      </x:c>
    </x:row>
    <x:row r="33">
      <x:c r="A33" s="311" t="str">
        <x:v>Farblegende</x:v>
      </x:c>
      <x:c r="B33" s="311"/>
      <x:c r="C33" s="311"/>
      <x:c r="D33" s="311"/>
      <x:c r="E33" s="311"/>
      <x:c r="F33" s="311"/>
      <x:c r="G33" s="311"/>
      <x:c r="H33" s="311"/>
      <x:c r="I33" s="311"/>
      <x:c r="J33" s="311"/>
    </x:row>
    <x:row r="34">
      <x:c r="A34" s="312" t="str">
        <x:v>ROT</x:v>
      </x:c>
      <x:c r="B34" s="312" t="str">
        <x:v>Sofort korrigieren / Ausschlussfehler vermeiden</x:v>
      </x:c>
      <x:c r="D34" s="321" t="str">
        <x:v>Empfohlene Reihenfolge: 1) Rot, 2) Orange, 3) Gelb. Wenn diese farblich markierten Punkte passen, ist der Kartenbestand 4.4.x abgeschlossen.</x:v>
      </x:c>
      <x:c r="E34" s="321"/>
      <x:c r="F34" s="321"/>
      <x:c r="G34" s="321"/>
      <x:c r="H34" s="321"/>
      <x:c r="I34" s="321"/>
      <x:c r="J34" s="321"/>
    </x:row>
    <x:row r="35">
      <x:c r="A35" s="314" t="str">
        <x:v>ORANGE</x:v>
      </x:c>
      <x:c r="B35" s="314" t="str">
        <x:v>Manuell geokodieren / Hauspunkt setzen / Marker prüfen</x:v>
      </x:c>
      <x:c r="D35" s="321"/>
      <x:c r="E35" s="321"/>
      <x:c r="F35" s="321"/>
      <x:c r="G35" s="321"/>
      <x:c r="H35" s="321"/>
      <x:c r="I35" s="321"/>
      <x:c r="J35" s="321"/>
    </x:row>
    <x:row r="36">
      <x:c r="A36" s="316" t="str">
        <x:v>GELB</x:v>
      </x:c>
      <x:c r="B36" s="316" t="str">
        <x:v>Funktionsprüfung / Suchbarkeit / kein Doppel-Pin</x:v>
      </x:c>
      <x:c r="D36" s="321"/>
      <x:c r="E36" s="321"/>
      <x:c r="F36" s="321"/>
      <x:c r="G36" s="321"/>
      <x:c r="H36" s="321"/>
      <x:c r="I36" s="321"/>
      <x:c r="J36" s="321"/>
    </x:row>
  </x:sheetData>
  <x:mergeCells>
    <x:mergeCell ref="A1:I1"/>
    <x:mergeCell ref="A2:I2"/>
    <x:mergeCell ref="A33:J33"/>
    <x:mergeCell ref="D34:J36"/>
    <x:mergeCell ref="A1:J1"/>
    <x:mergeCell ref="A2:J2"/>
  </x:mergeCells>
  <x:conditionalFormatting sqref="H5:H31">
    <x:cfRule type="expression" dxfId="32" priority="1">
      <x:formula>H5="HOCH"</x:formula>
    </x:cfRule>
  </x:conditionalFormatting>
  <x:pageMargins left="0.7" right="0.7" top="0.75" bottom="0.75" header="0.3" footer="0.3"/>
  <x:tableParts count="1">
    <x:tablePart xmlns:r="http://schemas.openxmlformats.org/officeDocument/2006/relationships" r:id="Rd9defb77d3e64071"/>
  </x:tableParts>
</x:worksheet>
</file>

<file path=xl/worksheets/sheet40.xml><?xml version="1.0" encoding="utf-8"?>
<x:worksheet xmlns:x="http://schemas.openxmlformats.org/spreadsheetml/2006/main">
  <x:sheetFormatPr defaultRowHeight="15"/>
  <x:cols>
    <x:col min="1" max="1" width="9" hidden="0" customWidth="1"/>
    <x:col min="2" max="2" width="22" hidden="0" customWidth="1"/>
    <x:col min="3" max="3" width="34" hidden="0" customWidth="1"/>
    <x:col min="4" max="4" width="28" hidden="0" customWidth="1"/>
    <x:col min="5" max="5" width="24" hidden="0" customWidth="1"/>
    <x:col min="6" max="6" width="30" hidden="0" customWidth="1"/>
    <x:col min="7" max="7" width="42" hidden="0" customWidth="1"/>
    <x:col min="8" max="8" width="25" hidden="0" customWidth="1"/>
    <x:col min="9" max="9" width="10" hidden="0" customWidth="1"/>
    <x:col min="10" max="10" width="22" hidden="0" customWidth="1"/>
    <x:col min="11" max="11" width="18" hidden="0" customWidth="1"/>
    <x:col min="12" max="12" width="18" hidden="0" customWidth="1"/>
    <x:col min="13" max="13" width="28" hidden="0" customWidth="1"/>
    <x:col min="14" max="14" width="34" hidden="0" customWidth="1"/>
    <x:col min="15" max="15" width="28" hidden="0" customWidth="1"/>
    <x:col min="16" max="16" width="34" hidden="0" customWidth="1"/>
    <x:col min="17" max="17" width="42" hidden="0" customWidth="1"/>
  </x:cols>
  <x:sheetData>
    <x:row r="1" ht="28" customHeight="1">
      <x:c r="A1" s="354" t="str">
        <x:v>Fahrrad-/Spezialradanpassung – finaler Ergänzungsbestand 4.4.x</x:v>
      </x:c>
      <x:c r="B1" s="354"/>
      <x:c r="C1" s="354"/>
      <x:c r="D1" s="354"/>
      <x:c r="E1" s="354"/>
      <x:c r="F1" s="354"/>
      <x:c r="G1" s="354"/>
      <x:c r="H1" s="354"/>
      <x:c r="I1" s="354"/>
      <x:c r="J1" s="354"/>
      <x:c r="K1" s="354"/>
      <x:c r="L1" s="354"/>
      <x:c r="M1" s="354"/>
      <x:c r="N1" s="354"/>
      <x:c r="O1" s="354"/>
      <x:c r="P1" s="354"/>
      <x:c r="Q1" s="354"/>
    </x:row>
    <x:row r="2" ht="34" customHeight="1">
      <x:c r="A2" s="358" t="str">
        <x:v>Aufnahme ausschließlich spezialisierter Anbieter/Hersteller mit belastbarem Handicap-, Reha-, Therapierad- oder individueller Anpassungsleistung; normale Fahrradläden ohne Spezialkompetenz bleiben ausgeschlossen.</x:v>
      </x:c>
      <x:c r="B2" s="358"/>
      <x:c r="C2" s="358"/>
      <x:c r="D2" s="358"/>
      <x:c r="E2" s="358"/>
      <x:c r="F2" s="358"/>
      <x:c r="G2" s="358"/>
      <x:c r="H2" s="358"/>
      <x:c r="I2" s="358"/>
      <x:c r="J2" s="358"/>
      <x:c r="K2" s="358"/>
      <x:c r="L2" s="358"/>
      <x:c r="M2" s="358"/>
      <x:c r="N2" s="358"/>
      <x:c r="O2" s="358"/>
      <x:c r="P2" s="358"/>
      <x:c r="Q2" s="358"/>
    </x:row>
    <x:row r="3">
      <x:c r="A3" s="30"/>
      <x:c r="B3" s="30"/>
      <x:c r="C3" s="30"/>
      <x:c r="D3" s="30"/>
      <x:c r="E3" s="30"/>
      <x:c r="F3" s="30"/>
      <x:c r="G3" s="30"/>
      <x:c r="H3" s="30"/>
      <x:c r="I3" s="30"/>
      <x:c r="J3" s="30"/>
      <x:c r="K3" s="30"/>
      <x:c r="L3" s="30"/>
      <x:c r="M3" s="30"/>
      <x:c r="N3" s="30"/>
      <x:c r="O3" s="30"/>
      <x:c r="P3" s="30"/>
      <x:c r="Q3" s="30"/>
    </x:row>
    <x:row r="4" ht="30" customHeight="1">
      <x:c r="A4" s="362" t="str">
        <x:v>Priorität</x:v>
      </x:c>
      <x:c r="B4" s="362" t="str">
        <x:v>Status</x:v>
      </x:c>
      <x:c r="C4" s="362" t="str">
        <x:v>Anbieter</x:v>
      </x:c>
      <x:c r="D4" s="362" t="str">
        <x:v>Typ</x:v>
      </x:c>
      <x:c r="E4" s="362" t="str">
        <x:v>Ort/Region</x:v>
      </x:c>
      <x:c r="F4" s="362" t="str">
        <x:v>Zielgruppe / Indikation</x:v>
      </x:c>
      <x:c r="G4" s="362" t="str">
        <x:v>Leistungen / Anpassungen</x:v>
      </x:c>
      <x:c r="H4" s="362" t="str">
        <x:v>Straße</x:v>
      </x:c>
      <x:c r="I4" s="362" t="str">
        <x:v>PLZ</x:v>
      </x:c>
      <x:c r="J4" s="362" t="str">
        <x:v>Ort</x:v>
      </x:c>
      <x:c r="K4" s="362" t="str">
        <x:v>Bundesland</x:v>
      </x:c>
      <x:c r="L4" s="362" t="str">
        <x:v>Telefon</x:v>
      </x:c>
      <x:c r="M4" s="362" t="str">
        <x:v>E-Mail</x:v>
      </x:c>
      <x:c r="N4" s="362" t="str">
        <x:v>Website</x:v>
      </x:c>
      <x:c r="O4" s="362" t="str">
        <x:v>Kartenmodus</x:v>
      </x:c>
      <x:c r="P4" s="362" t="str">
        <x:v>Geo-Status</x:v>
      </x:c>
      <x:c r="Q4" s="362" t="str">
        <x:v>Hinweis</x:v>
      </x:c>
    </x:row>
    <x:row r="5" ht="58" customHeight="1">
      <x:c r="A5" s="348" t="str">
        <x:v>A+</x:v>
      </x:c>
      <x:c r="B5" s="348" t="str">
        <x:v>Neuaufnahme 31.08.2026</x:v>
      </x:c>
      <x:c r="C5" s="348" t="str">
        <x:v>HP Velotechnik GmbH &amp; Co. KG</x:v>
      </x:c>
      <x:c r="D5" s="348" t="str">
        <x:v>Reha-/Spezialradhersteller</x:v>
      </x:c>
      <x:c r="E5" s="348" t="str">
        <x:v>Rhein-Main + überregional über Fachhändler</x:v>
      </x:c>
      <x:c r="F5" s="348" t="str">
        <x:v>Arm-/Handausfall; Hemiparese; Gleichgewicht; Rollstuhl/Mobilität; funktionelle Einschränkungen</x:v>
      </x:c>
      <x:c r="G5" s="348" t="str">
        <x:v>Einhandbedienung für Schaltung/Bremsen; Reha-/Therapiezubehör; Handauflagen; Handantrieb Hands-On-Cycle; individuell konfigurierbare Trikes.</x:v>
      </x:c>
      <x:c r="H5" s="348" t="str">
        <x:v>Kapellenstraße 49</x:v>
      </x:c>
      <x:c r="I5" s="348" t="str">
        <x:v>65830</x:v>
      </x:c>
      <x:c r="J5" s="348" t="str">
        <x:v>Kriftel</x:v>
      </x:c>
      <x:c r="K5" s="348" t="str">
        <x:v>Hessen</x:v>
      </x:c>
      <x:c r="L5" s="348" t="str">
        <x:v>+49 6192 97992-0</x:v>
      </x:c>
      <x:c r="M5" s="348" t="str">
        <x:v>mail@hpvelotechnik.com</x:v>
      </x:c>
      <x:c r="N5" s="348" t="str">
        <x:v>https://www.hpvelotechnik.com/de/liegeraeder-trikes/liegerad-zubehoer/reha-und-therapie-medizinische-hilfsmittel-und-zubehoer-fuer-besondere-beduerfnisse/</x:v>
      </x:c>
      <x:c r="O5" s="348" t="str">
        <x:v>Hersteller-Kartenpunkt – Bezug für Endkunden über Fachhändler</x:v>
      </x:c>
      <x:c r="P5" s="348" t="str">
        <x:v>Adresse/Kontakt geprüft; numerische Hauskoordinate offen</x:v>
      </x:c>
      <x:c r="Q5" s="348" t="str">
        <x:v>A+ wegen dokumentierter Einhandbedienung und Reha-/Therapieoptionen; Hersteller verkauft Räder primär über Fachhändler.</x:v>
      </x:c>
    </x:row>
    <x:row r="6" ht="58" customHeight="1">
      <x:c r="A6" s="348" t="str">
        <x:v>A+</x:v>
      </x:c>
      <x:c r="B6" s="348" t="str">
        <x:v>Neuaufnahme 31.08.2026</x:v>
      </x:c>
      <x:c r="C6" s="348" t="str">
        <x:v>HEIM – Dreiradzentrum Neckaralb</x:v>
      </x:c>
      <x:c r="D6" s="348" t="str">
        <x:v>Regionaler Spezialrad-Fachbetrieb</x:v>
      </x:c>
      <x:c r="E6" s="348" t="str">
        <x:v>Neckar-Alb / Stuttgart / Südwest</x:v>
      </x:c>
      <x:c r="F6" s="348" t="str">
        <x:v>Arm-/Handausfall; Hemiparese; Gleichgewicht; Rollstuhl/Mobilität; funktionelle Einschränkungen</x:v>
      </x:c>
      <x:c r="G6" s="348" t="str">
        <x:v>Beratung und Probefahrt; individuelle Anpassung von Sitz, Lenker, Pedalen und Haltesystemen; E-Unterstützung; Umbauten; Werkstatt, Wartung und Service.</x:v>
      </x:c>
      <x:c r="H6" s="348" t="str">
        <x:v>Bertha-Benz-Straße 1</x:v>
      </x:c>
      <x:c r="I6" s="348" t="str">
        <x:v>72141</x:v>
      </x:c>
      <x:c r="J6" s="348" t="str">
        <x:v>Walddorfhäslach</x:v>
      </x:c>
      <x:c r="K6" s="348" t="str">
        <x:v>Baden-Württemberg</x:v>
      </x:c>
      <x:c r="L6" s="348" t="str">
        <x:v>07127 3041</x:v>
      </x:c>
      <x:c r="M6" s="348" t="str">
        <x:v>info@dreiradcenter.de</x:v>
      </x:c>
      <x:c r="N6" s="348" t="str">
        <x:v>https://dreiradcenter.de/</x:v>
      </x:c>
      <x:c r="O6" s="348" t="str">
        <x:v>Regionaler Kartenpunkt – nach Geocode-Freigabe</x:v>
      </x:c>
      <x:c r="P6" s="348" t="str">
        <x:v>Adresse/Kontakt geprüft; numerische Hauskoordinate offen</x:v>
      </x:c>
      <x:c r="Q6" s="348" t="str">
        <x:v>A+ als regionaler Fachbetrieb mit ausdrücklich individuellen Anpassungen, Umbauunterstützung und Werkstattservice.</x:v>
      </x:c>
    </x:row>
    <x:row r="7" ht="58" customHeight="1">
      <x:c r="A7" s="348" t="str">
        <x:v>A</x:v>
      </x:c>
      <x:c r="B7" s="348" t="str">
        <x:v>Neuaufnahme 31.08.2026</x:v>
      </x:c>
      <x:c r="C7" s="348" t="str">
        <x:v>Alb-Store – Eislingen</x:v>
      </x:c>
      <x:c r="D7" s="348" t="str">
        <x:v>Spezialrad-/Reha-Fachbetrieb</x:v>
      </x:c>
      <x:c r="E7" s="348" t="str">
        <x:v>Göppingen / Stuttgart-Ost / überregional</x:v>
      </x:c>
      <x:c r="F7" s="348" t="str">
        <x:v>Arm-/Handausfall; Hemiparese; Gleichgewicht; Rollstuhl/Mobilität; funktionelle Einschränkungen</x:v>
      </x:c>
      <x:c r="G7" s="348" t="str">
        <x:v>Dreiräder für Erwachsene; Handbike-/Rollstuhl-Zubehör; Elektroantriebe; Therapieräder/BerkelBike; Probefahrt; individuelle Konfiguration.</x:v>
      </x:c>
      <x:c r="H7" s="348" t="str">
        <x:v>Kornbergstraße 6</x:v>
      </x:c>
      <x:c r="I7" s="348" t="str">
        <x:v>73054</x:v>
      </x:c>
      <x:c r="J7" s="348" t="str">
        <x:v>Eislingen/Fils</x:v>
      </x:c>
      <x:c r="K7" s="348" t="str">
        <x:v>Baden-Württemberg</x:v>
      </x:c>
      <x:c r="L7" s="348" t="str">
        <x:v>07161 87845</x:v>
      </x:c>
      <x:c r="M7" s="348" t="str">
        <x:v>info@alb-store.de</x:v>
      </x:c>
      <x:c r="N7" s="348" t="str">
        <x:v>https://www.alb-store.de/produkte/</x:v>
      </x:c>
      <x:c r="O7" s="348" t="str">
        <x:v>Regionaler Kartenpunkt – nach Geocode-Freigabe</x:v>
      </x:c>
      <x:c r="P7" s="348" t="str">
        <x:v>Leistungsangebot primär geprüft; Adresse über Fachhändlerverzeichnis bestätigt; numerische Hauskoordinate offen</x:v>
      </x:c>
      <x:c r="Q7" s="348" t="str">
        <x:v>Keine normale Fahrradhandlung als Füllpunkt: Aufnahme wegen ausgewiesenem Handicap-/Therapierad-, Handbike- und Rollstuhl-Zubehörangebot.</x:v>
      </x:c>
    </x:row>
    <x:row r="8" ht="58" customHeight="1">
      <x:c r="A8" s="348" t="str">
        <x:v>A</x:v>
      </x:c>
      <x:c r="B8" s="348" t="str">
        <x:v>Neuaufnahme 31.08.2026</x:v>
      </x:c>
      <x:c r="C8" s="348" t="str">
        <x:v>Dreirad-Zentrum Heidelberg</x:v>
      </x:c>
      <x:c r="D8" s="348" t="str">
        <x:v>Regionaler Dreirad-Spezialist</x:v>
      </x:c>
      <x:c r="E8" s="348" t="str">
        <x:v>Rhein-Neckar</x:v>
      </x:c>
      <x:c r="F8" s="348" t="str">
        <x:v>Arm-/Handausfall; Hemiparese; Gleichgewicht; Rollstuhl/Mobilität; funktionelle Einschränkungen</x:v>
      </x:c>
      <x:c r="G8" s="348" t="str">
        <x:v>Bedarfsorientierte Dreiradauswahl; Probefahrt; individuelle Zubehör-/Ausstattungsanpassung; Werkstatt und Service; Abhol-/Lieferservice.</x:v>
      </x:c>
      <x:c r="H8" s="348" t="str">
        <x:v>Am Taubenfeld 31</x:v>
      </x:c>
      <x:c r="I8" s="348" t="str">
        <x:v>69123</x:v>
      </x:c>
      <x:c r="J8" s="348" t="str">
        <x:v>Heidelberg</x:v>
      </x:c>
      <x:c r="K8" s="348" t="str">
        <x:v>Baden-Württemberg</x:v>
      </x:c>
      <x:c r="L8" s="348" t="str">
        <x:v>06221 7538221</x:v>
      </x:c>
      <x:c r="M8" s="348" t="str">
        <x:v>heidelberg@dreirad-zentrum.de</x:v>
      </x:c>
      <x:c r="N8" s="348" t="str">
        <x:v>https://dreirad-zentrum.de/heidelberg/</x:v>
      </x:c>
      <x:c r="O8" s="348" t="str">
        <x:v>Regionaler Kartenpunkt – nach Geocode-Freigabe</x:v>
      </x:c>
      <x:c r="P8" s="348" t="str">
        <x:v>Standortadresse/Kontakt geprüft; numerische Hauskoordinate offen</x:v>
      </x:c>
      <x:c r="Q8" s="348" t="str">
        <x:v>Gezielter Spezialradpunkt; nicht als allgemeiner Fahrradladen kategorisieren.</x:v>
      </x:c>
    </x:row>
    <x:row r="9" ht="58" customHeight="1">
      <x:c r="A9" s="348" t="str">
        <x:v>A</x:v>
      </x:c>
      <x:c r="B9" s="348" t="str">
        <x:v>Neuaufnahme 31.08.2026</x:v>
      </x:c>
      <x:c r="C9" s="348" t="str">
        <x:v>Dreirad-Zentrum Landau</x:v>
      </x:c>
      <x:c r="D9" s="348" t="str">
        <x:v>Regionaler Dreirad-Spezialist</x:v>
      </x:c>
      <x:c r="E9" s="348" t="str">
        <x:v>Südpfalz / Vorderpfalz</x:v>
      </x:c>
      <x:c r="F9" s="348" t="str">
        <x:v>Arm-/Handausfall; Hemiparese; Gleichgewicht; Rollstuhl/Mobilität; funktionelle Einschränkungen</x:v>
      </x:c>
      <x:c r="G9" s="348" t="str">
        <x:v>Dreiradberatung für Menschen mit Einschränkungen; Probefahrt; individuelle Zubehör-/Ausstattungsoptionen; Werkstatt und Service; Abhol-/Lieferservice.</x:v>
      </x:c>
      <x:c r="H9" s="348" t="str">
        <x:v>Albert-Einstein-Straße 18 a</x:v>
      </x:c>
      <x:c r="I9" s="348" t="str">
        <x:v>76829</x:v>
      </x:c>
      <x:c r="J9" s="348" t="str">
        <x:v>Landau in der Pfalz</x:v>
      </x:c>
      <x:c r="K9" s="348" t="str">
        <x:v>Rheinland-Pfalz</x:v>
      </x:c>
      <x:c r="L9" s="348" t="str">
        <x:v>06341 9677866</x:v>
      </x:c>
      <x:c r="M9" s="348" t="str">
        <x:v>landau@dreirad-zentrum.de</x:v>
      </x:c>
      <x:c r="N9" s="348" t="str">
        <x:v>https://dreirad-zentrum.de/landau/</x:v>
      </x:c>
      <x:c r="O9" s="348" t="str">
        <x:v>Regionaler Kartenpunkt – nach Geocode-Freigabe</x:v>
      </x:c>
      <x:c r="P9" s="348" t="str">
        <x:v>Standortadresse/Kontakt geprüft; numerische Hauskoordinate offen</x:v>
      </x:c>
      <x:c r="Q9" s="348" t="str">
        <x:v>Regionale Spezialrad-Ergänzung Südpfalz.</x:v>
      </x:c>
    </x:row>
    <x:row r="10" ht="58" customHeight="1">
      <x:c r="A10" s="348" t="str">
        <x:v>A</x:v>
      </x:c>
      <x:c r="B10" s="348" t="str">
        <x:v>Neuaufnahme 31.08.2026</x:v>
      </x:c>
      <x:c r="C10" s="348" t="str">
        <x:v>Dreirad-Zentrum Karlsruhe</x:v>
      </x:c>
      <x:c r="D10" s="348" t="str">
        <x:v>Regionaler Dreirad-Spezialist</x:v>
      </x:c>
      <x:c r="E10" s="348" t="str">
        <x:v>Karlsruhe / Nordbaden</x:v>
      </x:c>
      <x:c r="F10" s="348" t="str">
        <x:v>Arm-/Handausfall; Hemiparese; Gleichgewicht; Rollstuhl/Mobilität; funktionelle Einschränkungen</x:v>
      </x:c>
      <x:c r="G10" s="348" t="str">
        <x:v>Dreiradberatung; Probefahrt; individuelle Zubehör-/Ausstattungsanpassungen; Werkstatt/Service; Abhol-/Lieferservice.</x:v>
      </x:c>
      <x:c r="H10" s="348" t="str">
        <x:v>Siemensstraße 2b</x:v>
      </x:c>
      <x:c r="I10" s="348" t="str">
        <x:v>76287</x:v>
      </x:c>
      <x:c r="J10" s="348" t="str">
        <x:v>Rheinstetten</x:v>
      </x:c>
      <x:c r="K10" s="348" t="str">
        <x:v>Baden-Württemberg</x:v>
      </x:c>
      <x:c r="L10" s="348" t="str">
        <x:v>07242 9397911</x:v>
      </x:c>
      <x:c r="M10" s="348" t="str">
        <x:v>karlsruhe@dreirad-zentrum.de</x:v>
      </x:c>
      <x:c r="N10" s="348" t="str">
        <x:v>https://dreirad-zentrum.de/karlsruhe/</x:v>
      </x:c>
      <x:c r="O10" s="348" t="str">
        <x:v>Regionaler Kartenpunkt – nach Geocode-Freigabe</x:v>
      </x:c>
      <x:c r="P10" s="348" t="str">
        <x:v>Standortadresse/Kontakt geprüft; numerische Hauskoordinate offen</x:v>
      </x:c>
      <x:c r="Q10" s="348" t="str">
        <x:v>Kartenname Karlsruhe beibehalten; tatsächlicher Standort Rheinstetten.</x:v>
      </x:c>
    </x:row>
    <x:row r="11" ht="58" customHeight="1">
      <x:c r="A11" s="348" t="str">
        <x:v>A</x:v>
      </x:c>
      <x:c r="B11" s="348" t="str">
        <x:v>Neuaufnahme 31.08.2026</x:v>
      </x:c>
      <x:c r="C11" s="348" t="str">
        <x:v>Dreirad-Zentrum Heilbronn</x:v>
      </x:c>
      <x:c r="D11" s="348" t="str">
        <x:v>Regionaler Dreirad-Spezialist</x:v>
      </x:c>
      <x:c r="E11" s="348" t="str">
        <x:v>Heilbronn-Franken</x:v>
      </x:c>
      <x:c r="F11" s="348" t="str">
        <x:v>Arm-/Handausfall; Hemiparese; Gleichgewicht; Rollstuhl/Mobilität; funktionelle Einschränkungen</x:v>
      </x:c>
      <x:c r="G11" s="348" t="str">
        <x:v>Dreiradberatung; Probefahrt; Anpassung über Zubehör/Ausstattung; Werkstatt, Wartung, Reparatur und Inspektion.</x:v>
      </x:c>
      <x:c r="H11" s="348" t="str">
        <x:v>Silcherstraße 23</x:v>
      </x:c>
      <x:c r="I11" s="348" t="str">
        <x:v>74172</x:v>
      </x:c>
      <x:c r="J11" s="348" t="str">
        <x:v>Neckarsulm</x:v>
      </x:c>
      <x:c r="K11" s="348" t="str">
        <x:v>Baden-Württemberg</x:v>
      </x:c>
      <x:c r="L11" s="348" t="str">
        <x:v>07132 3406672</x:v>
      </x:c>
      <x:c r="M11" s="348" t="str">
        <x:v>heilbronn@emotion-technologies.de</x:v>
      </x:c>
      <x:c r="N11" s="348" t="str">
        <x:v>https://dreirad-zentrum.de/heilbronn/</x:v>
      </x:c>
      <x:c r="O11" s="348" t="str">
        <x:v>Regionaler Kartenpunkt – nach Geocode-Freigabe</x:v>
      </x:c>
      <x:c r="P11" s="348" t="str">
        <x:v>Standortadresse/Kontakt geprüft; numerische Hauskoordinate offen</x:v>
      </x:c>
      <x:c r="Q11" s="348" t="str">
        <x:v>Kartenname Heilbronn; Standort Neckarsulm-Obereisesheim.</x:v>
      </x:c>
    </x:row>
    <x:row r="12" ht="58" customHeight="1">
      <x:c r="A12" s="348" t="str">
        <x:v>A</x:v>
      </x:c>
      <x:c r="B12" s="348" t="str">
        <x:v>Neuaufnahme 31.08.2026</x:v>
      </x:c>
      <x:c r="C12" s="348" t="str">
        <x:v>Dreirad-Zentrum Frankfurt</x:v>
      </x:c>
      <x:c r="D12" s="348" t="str">
        <x:v>Regionaler Dreirad-Spezialist</x:v>
      </x:c>
      <x:c r="E12" s="348" t="str">
        <x:v>Frankfurt / Rhein-Main</x:v>
      </x:c>
      <x:c r="F12" s="348" t="str">
        <x:v>Arm-/Handausfall; Hemiparese; Gleichgewicht; Rollstuhl/Mobilität; funktionelle Einschränkungen</x:v>
      </x:c>
      <x:c r="G12" s="348" t="str">
        <x:v>Dreiradberatung; Probefahrt; individuelle Ausstattung; Werkstattservice; Abhol-/Lieferservice.</x:v>
      </x:c>
      <x:c r="H12" s="348" t="str">
        <x:v>Berner Straße 107a</x:v>
      </x:c>
      <x:c r="I12" s="348" t="str">
        <x:v>60437</x:v>
      </x:c>
      <x:c r="J12" s="348" t="str">
        <x:v>Frankfurt am Main</x:v>
      </x:c>
      <x:c r="K12" s="348" t="str">
        <x:v>Hessen</x:v>
      </x:c>
      <x:c r="L12" s="348" t="str">
        <x:v>069 247522570</x:v>
      </x:c>
      <x:c r="M12" s="348" t="str">
        <x:v>frankfurt@dreirad-zentrum.de</x:v>
      </x:c>
      <x:c r="N12" s="348" t="str">
        <x:v>https://dreirad-zentrum.de/frankfurt/</x:v>
      </x:c>
      <x:c r="O12" s="348" t="str">
        <x:v>Regionaler Kartenpunkt – nach Geocode-Freigabe</x:v>
      </x:c>
      <x:c r="P12" s="348" t="str">
        <x:v>Standortadresse/Kontakt geprüft; numerische Hauskoordinate offen</x:v>
      </x:c>
      <x:c r="Q12" s="348" t="str">
        <x:v>Regionaler Rhein-Main-Punkt; Frankfurt-Nieder-Eschbach.</x:v>
      </x:c>
    </x:row>
    <x:row r="13" ht="58" customHeight="1">
      <x:c r="A13" s="348" t="str">
        <x:v>A+</x:v>
      </x:c>
      <x:c r="B13" s="348" t="str">
        <x:v>Neuaufnahme 31.08.2026</x:v>
      </x:c>
      <x:c r="C13" s="348" t="str">
        <x:v>PRO ACTIV Reha-Technik GmbH</x:v>
      </x:c>
      <x:c r="D13" s="348" t="str">
        <x:v>Reha-Technik-Hersteller</x:v>
      </x:c>
      <x:c r="E13" s="348" t="str">
        <x:v>Baden-Württemberg + überregional</x:v>
      </x:c>
      <x:c r="F13" s="348" t="str">
        <x:v>Arm-/Handausfall; Hemiparese; Gleichgewicht; Rollstuhl/Mobilität; funktionelle Einschränkungen</x:v>
      </x:c>
      <x:c r="G13" s="348" t="str">
        <x:v>Adaptiv- und Kompakthandbikes; Rollstuhl-Zug-/Vorsatzgeräte; individuell konfigurierte Reha-Technik; funktionseingeschränkten-gerechte Pedelec-Optionen; Sondergriffe/-stützen.</x:v>
      </x:c>
      <x:c r="H13" s="348" t="str">
        <x:v>Im Hofstätt 11</x:v>
      </x:c>
      <x:c r="I13" s="348" t="str">
        <x:v>72359</x:v>
      </x:c>
      <x:c r="J13" s="348" t="str">
        <x:v>Dotternhausen</x:v>
      </x:c>
      <x:c r="K13" s="348" t="str">
        <x:v>Baden-Württemberg</x:v>
      </x:c>
      <x:c r="L13" s="348" t="str">
        <x:v>+49 7427 9480-0</x:v>
      </x:c>
      <x:c r="M13" s="348" t="str">
        <x:v>info@proactiv-gmbh.de</x:v>
      </x:c>
      <x:c r="N13" s="348" t="str">
        <x:v>https://www.proactiv-gmbh.de/</x:v>
      </x:c>
      <x:c r="O13" s="348" t="str">
        <x:v>Hersteller-/Fachkartenpunkt – nach Geocode-Freigabe</x:v>
      </x:c>
      <x:c r="P13" s="348" t="str">
        <x:v>Adresse/Kontakt geprüft; numerische Hauskoordinate offen</x:v>
      </x:c>
      <x:c r="Q13" s="348" t="str">
        <x:v>A+ für Handbike/Adaptivebike und individuelle Reha-Technik.</x:v>
      </x:c>
    </x:row>
    <x:row r="14" ht="58" customHeight="1">
      <x:c r="A14" s="348" t="str">
        <x:v>A+</x:v>
      </x:c>
      <x:c r="B14" s="348" t="str">
        <x:v>Neuaufnahme 31.08.2026</x:v>
      </x:c>
      <x:c r="C14" s="348" t="str">
        <x:v>HASE BIKES GmbH</x:v>
      </x:c>
      <x:c r="D14" s="348" t="str">
        <x:v>Überregionaler Technik-/Herstellerverweis</x:v>
      </x:c>
      <x:c r="E14" s="348" t="str">
        <x:v>überregional</x:v>
      </x:c>
      <x:c r="F14" s="348" t="str">
        <x:v>Arm-/Handausfall; Hemiparese; Gleichgewicht; Rollstuhl/Mobilität; funktionelle Einschränkungen</x:v>
      </x:c>
      <x:c r="G14" s="348" t="str">
        <x:v>Dokumentierte Einhandbedienung: Bremsen, Schaltung und Motorsteuerung auf einer Lenkerseite; ausdrücklich für Arm-/Handausfall, Hemiparese und Amputation; weiteres Reha-Zubehör.</x:v>
      </x:c>
      <x:c r="H14" s="348" t="str">
        <x:v>Hiberniastraße 2</x:v>
      </x:c>
      <x:c r="I14" s="348" t="str">
        <x:v>45731</x:v>
      </x:c>
      <x:c r="J14" s="348" t="str">
        <x:v>Waltrop</x:v>
      </x:c>
      <x:c r="K14" s="348" t="str">
        <x:v>Nordrhein-Westfalen</x:v>
      </x:c>
      <x:c r="L14" s="348" t="str">
        <x:v>+49 2309 9377 220</x:v>
      </x:c>
      <x:c r="M14" s="348" t="str">
        <x:v>order@hasebikes.com</x:v>
      </x:c>
      <x:c r="N14" s="348" t="str">
        <x:v>https://www.hasebikes.com/service/faq</x:v>
      </x:c>
      <x:c r="O14" s="348" t="str">
        <x:v>Kein Regionalpin – überregionaler Technikverweis</x:v>
      </x:c>
      <x:c r="P14" s="348" t="str">
        <x:v>Herstelleradresse geprüft; kein Regional-Geocode erforderlich</x:v>
      </x:c>
      <x:c r="Q14" s="348" t="str">
        <x:v>Bewusst ohne Regionalpin; zentraler Techniknachweis für Armamputation/Einhandbedienung.</x:v>
      </x:c>
    </x:row>
  </x:sheetData>
  <x:mergeCells>
    <x:mergeCell ref="A1:Q1"/>
    <x:mergeCell ref="A2:Q2"/>
  </x:mergeCells>
  <x:conditionalFormatting sqref="A5:A14">
    <x:cfRule type="expression" dxfId="35" priority="1">
      <x:formula>A5="A+"</x:formula>
    </x:cfRule>
    <x:cfRule type="expression" dxfId="36" priority="2">
      <x:formula>A5="A"</x:formula>
    </x:cfRule>
  </x:conditionalFormatting>
  <x:conditionalFormatting sqref="B5:B14">
    <x:cfRule type="expression" dxfId="37" priority="3">
      <x:formula>ISNUMBER(SEARCH("Technikverweis",B5))</x:formula>
    </x:cfRule>
  </x:conditionalFormatting>
  <x:pageMargins left="0.7" right="0.7" top="0.75" bottom="0.75" header="0.3" footer="0.3"/>
</x:worksheet>
</file>

<file path=xl/worksheets/sheet41.xml><?xml version="1.0" encoding="utf-8"?>
<x:worksheet xmlns:x="http://schemas.openxmlformats.org/spreadsheetml/2006/main">
  <x:sheetFormatPr defaultRowHeight="15"/>
  <x:cols>
    <x:col min="1" max="1" width="9" hidden="0" customWidth="1"/>
    <x:col min="2" max="2" width="26" hidden="0" customWidth="1"/>
    <x:col min="3" max="3" width="36" hidden="0" customWidth="1"/>
    <x:col min="4" max="4" width="30" hidden="0" customWidth="1"/>
    <x:col min="5" max="5" width="24" hidden="0" customWidth="1"/>
    <x:col min="6" max="6" width="30" hidden="0" customWidth="1"/>
    <x:col min="7" max="7" width="44" hidden="0" customWidth="1"/>
    <x:col min="8" max="8" width="25" hidden="0" customWidth="1"/>
    <x:col min="9" max="9" width="10" hidden="0" customWidth="1"/>
    <x:col min="10" max="10" width="22" hidden="0" customWidth="1"/>
    <x:col min="11" max="11" width="18" hidden="0" customWidth="1"/>
    <x:col min="12" max="12" width="18" hidden="0" customWidth="1"/>
    <x:col min="13" max="13" width="28" hidden="0" customWidth="1"/>
    <x:col min="14" max="14" width="34" hidden="0" customWidth="1"/>
    <x:col min="15" max="15" width="32" hidden="0" customWidth="1"/>
    <x:col min="16" max="16" width="38" hidden="0" customWidth="1"/>
    <x:col min="17" max="17" width="46" hidden="0" customWidth="1"/>
  </x:cols>
  <x:sheetData>
    <x:row r="1" ht="28" customHeight="1">
      <x:c r="A1" s="354" t="str">
        <x:v>Wohnen / technische Wohnraumanpassung – Lifttechnik 4.4.x</x:v>
      </x:c>
      <x:c r="B1" s="354"/>
      <x:c r="C1" s="354"/>
      <x:c r="D1" s="354"/>
      <x:c r="E1" s="354"/>
      <x:c r="F1" s="354"/>
      <x:c r="G1" s="354"/>
      <x:c r="H1" s="354"/>
      <x:c r="I1" s="354"/>
      <x:c r="J1" s="354"/>
      <x:c r="K1" s="354"/>
      <x:c r="L1" s="354"/>
      <x:c r="M1" s="354"/>
      <x:c r="N1" s="354"/>
      <x:c r="O1" s="354"/>
      <x:c r="P1" s="354"/>
      <x:c r="Q1" s="354"/>
    </x:row>
    <x:row r="2" ht="34" customHeight="1">
      <x:c r="A2" s="358" t="str">
        <x:v>Fachbetriebe mit Beratung/Aufmaß bzw. Planung, Montage und möglichst Wartung/Service für Treppen-, Plattform-/Rollstuhl-, Hub-, Senkrecht- und Homelifte. Reine Vermittler sind ausgeschlossen.</x:v>
      </x:c>
      <x:c r="B2" s="358"/>
      <x:c r="C2" s="358"/>
      <x:c r="D2" s="358"/>
      <x:c r="E2" s="358"/>
      <x:c r="F2" s="358"/>
      <x:c r="G2" s="358"/>
      <x:c r="H2" s="358"/>
      <x:c r="I2" s="358"/>
      <x:c r="J2" s="358"/>
      <x:c r="K2" s="358"/>
      <x:c r="L2" s="358"/>
      <x:c r="M2" s="358"/>
      <x:c r="N2" s="358"/>
      <x:c r="O2" s="358"/>
      <x:c r="P2" s="358"/>
      <x:c r="Q2" s="358"/>
    </x:row>
    <x:row r="3">
      <x:c r="A3" s="30"/>
      <x:c r="B3" s="30"/>
      <x:c r="C3" s="30"/>
      <x:c r="D3" s="30"/>
      <x:c r="E3" s="30"/>
      <x:c r="F3" s="30"/>
      <x:c r="G3" s="30"/>
      <x:c r="H3" s="30"/>
      <x:c r="I3" s="30"/>
      <x:c r="J3" s="30"/>
      <x:c r="K3" s="30"/>
      <x:c r="L3" s="30"/>
      <x:c r="M3" s="30"/>
      <x:c r="N3" s="30"/>
      <x:c r="O3" s="30"/>
      <x:c r="P3" s="30"/>
      <x:c r="Q3" s="30"/>
    </x:row>
    <x:row r="4" ht="30" customHeight="1">
      <x:c r="A4" s="362" t="str">
        <x:v>Priorität</x:v>
      </x:c>
      <x:c r="B4" s="362" t="str">
        <x:v>Status</x:v>
      </x:c>
      <x:c r="C4" s="362" t="str">
        <x:v>Anbieter</x:v>
      </x:c>
      <x:c r="D4" s="362" t="str">
        <x:v>Typ</x:v>
      </x:c>
      <x:c r="E4" s="362" t="str">
        <x:v>Ort/Region</x:v>
      </x:c>
      <x:c r="F4" s="362" t="str">
        <x:v>Zielgruppe / Indikation</x:v>
      </x:c>
      <x:c r="G4" s="362" t="str">
        <x:v>Leistungen / Anpassungen</x:v>
      </x:c>
      <x:c r="H4" s="362" t="str">
        <x:v>Straße</x:v>
      </x:c>
      <x:c r="I4" s="362" t="str">
        <x:v>PLZ</x:v>
      </x:c>
      <x:c r="J4" s="362" t="str">
        <x:v>Ort</x:v>
      </x:c>
      <x:c r="K4" s="362" t="str">
        <x:v>Bundesland</x:v>
      </x:c>
      <x:c r="L4" s="362" t="str">
        <x:v>Telefon</x:v>
      </x:c>
      <x:c r="M4" s="362" t="str">
        <x:v>E-Mail</x:v>
      </x:c>
      <x:c r="N4" s="362" t="str">
        <x:v>Website</x:v>
      </x:c>
      <x:c r="O4" s="362" t="str">
        <x:v>Kartenmodus</x:v>
      </x:c>
      <x:c r="P4" s="362" t="str">
        <x:v>Geo-Status</x:v>
      </x:c>
      <x:c r="Q4" s="362" t="str">
        <x:v>Hinweis</x:v>
      </x:c>
    </x:row>
    <x:row r="5" ht="62" customHeight="1">
      <x:c r="A5" s="348" t="str">
        <x:v>A+</x:v>
      </x:c>
      <x:c r="B5" s="348" t="str">
        <x:v>Aufnehmen</x:v>
      </x:c>
      <x:c r="C5" s="348" t="str">
        <x:v>Rabe Lifte GmbH</x:v>
      </x:c>
      <x:c r="D5" s="348" t="str">
        <x:v>Liftfachbetrieb / Planung, Montage &amp; Service</x:v>
      </x:c>
      <x:c r="E5" s="348" t="str">
        <x:v>Speyer / Vorderpfalz / Rhein-Neckar</x:v>
      </x:c>
      <x:c r="F5" s="348" t="str">
        <x:v>Barrierefreies Wohnen; Rollstuhl; eingeschränkte Treppen-/Höhenüberwindung</x:v>
      </x:c>
      <x:c r="G5" s="348" t="str">
        <x:v>Beratung vor Ort; maßgeschneiderte Liftlösung; Treppen-, Plattform- und Hublifte; Installation; Betreuung nach Kauf/Service.</x:v>
      </x:c>
      <x:c r="H5" s="348" t="str">
        <x:v>Wormser Landstraße 83A</x:v>
      </x:c>
      <x:c r="I5" s="348" t="str">
        <x:v>67346</x:v>
      </x:c>
      <x:c r="J5" s="348" t="str">
        <x:v>Speyer</x:v>
      </x:c>
      <x:c r="K5" s="348" t="str">
        <x:v>Rheinland-Pfalz</x:v>
      </x:c>
      <x:c r="L5" s="348" t="str">
        <x:v>06232 601550</x:v>
      </x:c>
      <x:c r="M5" s="348" t="str">
        <x:v>info@rabe-lifte.de</x:v>
      </x:c>
      <x:c r="N5" s="348" t="str">
        <x:v>https://www.rabe-lifte.de/</x:v>
      </x:c>
      <x:c r="O5" s="348" t="str">
        <x:v>Regionaler Kartenpunkt – nach Geocode-Freigabe</x:v>
      </x:c>
      <x:c r="P5" s="348" t="str">
        <x:v>Adresse/Kontakt geprüft; numerische Hauskoordinate offen</x:v>
      </x:c>
      <x:c r="Q5" s="348" t="str">
        <x:v>A+ regionaler Vollanbieter; keine reine Vermittlungsplattform.</x:v>
      </x:c>
    </x:row>
    <x:row r="6" ht="62" customHeight="1">
      <x:c r="A6" s="348" t="str">
        <x:v>A+</x:v>
      </x:c>
      <x:c r="B6" s="348" t="str">
        <x:v>Aufnehmen – Betriebsstatus prüfen</x:v>
      </x:c>
      <x:c r="C6" s="348" t="str">
        <x:v>Rüdiger Schmitt Treppenlifte GmbH</x:v>
      </x:c>
      <x:c r="D6" s="348" t="str">
        <x:v>Liftfachbetrieb / herstellerunabhängige Planung, Montage &amp; Service</x:v>
      </x:c>
      <x:c r="E6" s="348" t="str">
        <x:v>Rhein-Neckar / Heidelberg</x:v>
      </x:c>
      <x:c r="F6" s="348" t="str">
        <x:v>Barrierefreies Wohnen; Rollstuhl; eingeschränkte Treppen-/Höhenüberwindung</x:v>
      </x:c>
      <x:c r="G6" s="348" t="str">
        <x:v>Kostenlose Vor-Ort-Beratung; herstellerunabhängige Auswahl; genaue Planung; zertifizierte Montage; Serviceeinsätze; Sitz-/Hub- und fallbezogen Senkrechtlift-Lösungen.</x:v>
      </x:c>
      <x:c r="H6" s="348" t="str">
        <x:v>Opelstraße 14</x:v>
      </x:c>
      <x:c r="I6" s="348" t="str">
        <x:v>68789</x:v>
      </x:c>
      <x:c r="J6" s="348" t="str">
        <x:v>St. Leon-Rot</x:v>
      </x:c>
      <x:c r="K6" s="348" t="str">
        <x:v>Baden-Württemberg</x:v>
      </x:c>
      <x:c r="L6" s="348" t="str">
        <x:v>06227 8994960</x:v>
      </x:c>
      <x:c r="M6" s="348" t="str">
        <x:v>info@rs-treppenlifte.de</x:v>
      </x:c>
      <x:c r="N6" s="348" t="str">
        <x:v>https://www.rs-treppenlifte.de/</x:v>
      </x:c>
      <x:c r="O6" s="348" t="str">
        <x:v>Regionaler Kartenpunkt – Aktivstatus vor Freischaltung prüfen</x:v>
      </x:c>
      <x:c r="P6" s="348" t="str">
        <x:v>Büro-/Kontaktadresse geprüft; aktuelle Betriebsfähigkeit vor Beauftragung zusätzlich verifizieren</x:v>
      </x:c>
      <x:c r="Q6" s="348" t="str">
        <x:v>Fachlich A+; öffentliche Registerhinweise zum Unternehmensstatus sind uneinheitlich – deshalb Betriebsstatus vor Aktivschaltung prüfen.</x:v>
      </x:c>
    </x:row>
    <x:row r="7" ht="62" customHeight="1">
      <x:c r="A7" s="348" t="str">
        <x:v>A+</x:v>
      </x:c>
      <x:c r="B7" s="348" t="str">
        <x:v>Aufnehmen</x:v>
      </x:c>
      <x:c r="C7" s="348" t="str">
        <x:v>STUFENLOS Mobilität nach Maß GmbH – Lift-Zentrum Karlsruhe</x:v>
      </x:c>
      <x:c r="D7" s="348" t="str">
        <x:v>Liftzentrum / Beratung, Planung, Montage &amp; Langzeitservice</x:v>
      </x:c>
      <x:c r="E7" s="348" t="str">
        <x:v>Karlsruhe / Nordbaden / Pfalz</x:v>
      </x:c>
      <x:c r="F7" s="348" t="str">
        <x:v>Barrierefreies Wohnen; Rollstuhl; eingeschränkte Treppen-/Höhenüberwindung</x:v>
      </x:c>
      <x:c r="G7" s="348" t="str">
        <x:v>Ausstellung und Probefahrt; Vor-Ort-Aufmaß/Beratung; individuelle Konzeption; Treppen-, Rollstuhl-/Plattform-, Hebe-/Hublifte und Kleinaufzüge/Homelifte; fachgerechte Montage und langfristiger Service.</x:v>
      </x:c>
      <x:c r="H7" s="348" t="str">
        <x:v>Lorbeerweg 20</x:v>
      </x:c>
      <x:c r="I7" s="348" t="str">
        <x:v>76149</x:v>
      </x:c>
      <x:c r="J7" s="348" t="str">
        <x:v>Karlsruhe</x:v>
      </x:c>
      <x:c r="K7" s="348" t="str">
        <x:v>Baden-Württemberg</x:v>
      </x:c>
      <x:c r="L7" s="348" t="str">
        <x:v>0721 7831240</x:v>
      </x:c>
      <x:c r="M7" s="348" t="str">
        <x:v>info@stufen-los.de</x:v>
      </x:c>
      <x:c r="N7" s="348" t="str">
        <x:v>https://www.stufen-los.de/</x:v>
      </x:c>
      <x:c r="O7" s="348" t="str">
        <x:v>Regionaler Kartenpunkt – nach Geocode-Freigabe</x:v>
      </x:c>
      <x:c r="P7" s="348" t="str">
        <x:v>Adresse/Kontakt geprüft; numerische Hauskoordinate offen</x:v>
      </x:c>
      <x:c r="Q7" s="348" t="str">
        <x:v>A+ mit breitem Liftportfolio, Ausstellung, Aufmaß, Montage und Service.</x:v>
      </x:c>
    </x:row>
    <x:row r="8" ht="62" customHeight="1">
      <x:c r="A8" s="348" t="str">
        <x:v>A+</x:v>
      </x:c>
      <x:c r="B8" s="348" t="str">
        <x:v>Aufnehmen</x:v>
      </x:c>
      <x:c r="C8" s="348" t="str">
        <x:v>CAMA Lift GmbH</x:v>
      </x:c>
      <x:c r="D8" s="348" t="str">
        <x:v>Lift-/Aufzugsfachbetrieb / Planung, Montage &amp; Service</x:v>
      </x:c>
      <x:c r="E8" s="348" t="str">
        <x:v>Rhein-Main / Hessen</x:v>
      </x:c>
      <x:c r="F8" s="348" t="str">
        <x:v>Barrierefreies Wohnen; Rollstuhl; eingeschränkte Treppen-/Höhenüberwindung</x:v>
      </x:c>
      <x:c r="G8" s="348" t="str">
        <x:v>Kostenfreie Vor-Ort-Beratung; individuelle Planung/Zeichnungen; Förderhinweise; Abstimmung mit Gewerken; Aufzüge, Homelifte, Plattform-/Treppenlifte und Hubbühnen; Montage und Service durch werkgeschultes Personal.</x:v>
      </x:c>
      <x:c r="H8" s="348" t="str">
        <x:v>Max-Planck-Straße 5</x:v>
      </x:c>
      <x:c r="I8" s="348" t="str">
        <x:v>65719</x:v>
      </x:c>
      <x:c r="J8" s="348" t="str">
        <x:v>Hofheim-Wallau</x:v>
      </x:c>
      <x:c r="K8" s="348" t="str">
        <x:v>Hessen</x:v>
      </x:c>
      <x:c r="L8" s="348" t="str">
        <x:v>06122 534750</x:v>
      </x:c>
      <x:c r="M8" s="348" t="str">
        <x:v>info@cama.de</x:v>
      </x:c>
      <x:c r="N8" s="348" t="str">
        <x:v>https://www.cama.de/</x:v>
      </x:c>
      <x:c r="O8" s="348" t="str">
        <x:v>Regionaler Kartenpunkt – nach Geocode-Freigabe</x:v>
      </x:c>
      <x:c r="P8" s="348" t="str">
        <x:v>Adresse/Kontakt geprüft; numerische Hauskoordinate offen</x:v>
      </x:c>
      <x:c r="Q8" s="348" t="str">
        <x:v>A+ Rhein-Main-Vollanbieter mit Planung, Montage und Service aus einer Hand.</x:v>
      </x:c>
    </x:row>
    <x:row r="9" ht="62" customHeight="1">
      <x:c r="A9" s="348" t="str">
        <x:v>A</x:v>
      </x:c>
      <x:c r="B9" s="348" t="str">
        <x:v>Aufnehmen</x:v>
      </x:c>
      <x:c r="C9" s="348" t="str">
        <x:v>Lift Technik Franken – Peter Czieschowitz</x:v>
      </x:c>
      <x:c r="D9" s="348" t="str">
        <x:v>Liftfachbetrieb / Montage, Wartung &amp; Reparatur</x:v>
      </x:c>
      <x:c r="E9" s="348" t="str">
        <x:v>Würzburg / Unterfranken / Franken / Bayern</x:v>
      </x:c>
      <x:c r="F9" s="348" t="str">
        <x:v>Barrierefreies Wohnen; Rollstuhl; eingeschränkte Treppen-/Höhenüberwindung</x:v>
      </x:c>
      <x:c r="G9" s="348" t="str">
        <x:v>Beratung vor Ort; Lieferung und Eigenmontage; Wartung, Reparatur und Demontage; Treppen-/Sitzlifte, Hublifte, Rollstuhlhebebühnen, Plattform-/Vertikal- und Senkrechtlifte.</x:v>
      </x:c>
      <x:c r="H9" s="348" t="str">
        <x:v>Karlstraße 36</x:v>
      </x:c>
      <x:c r="I9" s="348" t="str">
        <x:v>90763</x:v>
      </x:c>
      <x:c r="J9" s="348" t="str">
        <x:v>Fürth</x:v>
      </x:c>
      <x:c r="K9" s="348" t="str">
        <x:v>Bayern</x:v>
      </x:c>
      <x:c r="L9" s="348" t="str">
        <x:v>0911 30006100</x:v>
      </x:c>
      <x:c r="M9" s="348" t="str">
        <x:v>info@lifttechnik-franken.de</x:v>
      </x:c>
      <x:c r="N9" s="348" t="str">
        <x:v>https://lifttechnik-franken.de/</x:v>
      </x:c>
      <x:c r="O9" s="348" t="str">
        <x:v>Regionaler/überregionaler Kartenpunkt – nach Geocode-Freigabe</x:v>
      </x:c>
      <x:c r="P9" s="348" t="str">
        <x:v>Adresse/Kontakt geprüft; numerische Hauskoordinate offen</x:v>
      </x:c>
      <x:c r="Q9" s="348" t="str">
        <x:v>A wegen größerer Distanz, aber gezielt relevant für Würzburg/Unterfranken; Montage, Wartung und Reparatur selbst.</x:v>
      </x:c>
    </x:row>
  </x:sheetData>
  <x:mergeCells>
    <x:mergeCell ref="A1:Q1"/>
    <x:mergeCell ref="A2:Q2"/>
  </x:mergeCells>
  <x:conditionalFormatting sqref="A5:A9">
    <x:cfRule type="expression" dxfId="38" priority="1">
      <x:formula>A5="A+"</x:formula>
    </x:cfRule>
    <x:cfRule type="expression" dxfId="39" priority="2">
      <x:formula>A5="A"</x:formula>
    </x:cfRule>
  </x:conditionalFormatting>
  <x:conditionalFormatting sqref="B5:B9">
    <x:cfRule type="expression" dxfId="40" priority="3">
      <x:formula>ISNUMBER(SEARCH("prüfen",B5))</x:formula>
    </x:cfRule>
  </x:conditionalFormatting>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36" hidden="0" customWidth="1"/>
    <x:col min="5" max="5" width="22" hidden="0" customWidth="1"/>
    <x:col min="6" max="6" width="10" hidden="0" customWidth="1"/>
    <x:col min="7" max="7" width="40" hidden="0" customWidth="1"/>
    <x:col min="8" max="8" width="36" hidden="0" customWidth="1"/>
    <x:col min="9" max="9" width="12" hidden="0" customWidth="1"/>
    <x:col min="10" max="10" width="48" hidden="0" customWidth="1"/>
  </x:cols>
  <x:sheetData>
    <x:row r="1" ht="28" customHeight="1">
      <x:c r="A1" s="354" t="str">
        <x:v>Neue Kartenpunkte 31.08.2026 – manuelle Geocoding-/Statusliste</x:v>
      </x:c>
      <x:c r="B1" s="354"/>
      <x:c r="C1" s="354"/>
      <x:c r="D1" s="354"/>
      <x:c r="E1" s="354"/>
      <x:c r="F1" s="354"/>
      <x:c r="G1" s="354"/>
      <x:c r="H1" s="354"/>
      <x:c r="I1" s="354"/>
      <x:c r="J1" s="354"/>
    </x:row>
    <x:row r="2" ht="34" customHeight="1">
      <x:c r="A2" s="358" t="str">
        <x:v>14 neue reale Karten-/Fachpunkte aus Fahrrad-/Spezialradanpassung und Lifttechnik. HASE BIKES ist bewusst nicht enthalten, da nur überregionaler Technikverweis ohne Regionalpin.</x:v>
      </x:c>
      <x:c r="B2" s="358"/>
      <x:c r="C2" s="358"/>
      <x:c r="D2" s="358"/>
      <x:c r="E2" s="358"/>
      <x:c r="F2" s="358"/>
      <x:c r="G2" s="358"/>
      <x:c r="H2" s="358"/>
      <x:c r="I2" s="358"/>
      <x:c r="J2" s="358"/>
    </x:row>
    <x:row r="4" ht="30" customHeight="1">
      <x:c r="A4" s="362" t="str">
        <x:v>ID</x:v>
      </x:c>
      <x:c r="B4" s="362" t="str">
        <x:v>Einrichtung</x:v>
      </x:c>
      <x:c r="C4" s="362" t="str">
        <x:v>Bereich</x:v>
      </x:c>
      <x:c r="D4" s="362" t="str">
        <x:v>Adresse</x:v>
      </x:c>
      <x:c r="E4" s="362" t="str">
        <x:v>Ort</x:v>
      </x:c>
      <x:c r="F4" s="362" t="str">
        <x:v>Priorität</x:v>
      </x:c>
      <x:c r="G4" s="362" t="str">
        <x:v>Geo-Status</x:v>
      </x:c>
      <x:c r="H4" s="362" t="str">
        <x:v>Manuelle Aktion</x:v>
      </x:c>
      <x:c r="I4" s="362" t="str">
        <x:v>Ampel</x:v>
      </x:c>
      <x:c r="J4" s="362" t="str">
        <x:v>Hinweis</x:v>
      </x:c>
    </x:row>
    <x:row r="5" ht="52" customHeight="1">
      <x:c r="A5" s="348" t="str">
        <x:v>RAD44-001</x:v>
      </x:c>
      <x:c r="B5" s="348" t="str">
        <x:v>HP Velotechnik GmbH &amp; Co. KG</x:v>
      </x:c>
      <x:c r="C5" s="348" t="str">
        <x:v>Fahrrad-/Spezialrad</x:v>
      </x:c>
      <x:c r="D5" s="348" t="str">
        <x:v>Kapellenstraße 49, 65830 Kriftel</x:v>
      </x:c>
      <x:c r="E5" s="348" t="str">
        <x:v>Kriftel</x:v>
      </x:c>
      <x:c r="F5" s="348" t="str">
        <x:v>A+</x:v>
      </x:c>
      <x:c r="G5" s="348" t="str">
        <x:v>Adresse/Kontakt geprüft; numerische Hauskoordinate offen</x:v>
      </x:c>
      <x:c r="H5" s="348" t="str">
        <x:v>Manuell geokodieren / Pin prüfen</x:v>
      </x:c>
      <x:c r="I5" s="348" t="str">
        <x:v>Orange</x:v>
      </x:c>
      <x:c r="J5" s="348" t="str">
        <x:v>A+ wegen dokumentierter Einhandbedienung und Reha-/Therapieoptionen; Hersteller verkauft Räder primär über Fachhändler.</x:v>
      </x:c>
    </x:row>
    <x:row r="6" ht="52" customHeight="1">
      <x:c r="A6" s="348" t="str">
        <x:v>RAD44-002</x:v>
      </x:c>
      <x:c r="B6" s="348" t="str">
        <x:v>HEIM – Dreiradzentrum Neckaralb</x:v>
      </x:c>
      <x:c r="C6" s="348" t="str">
        <x:v>Fahrrad-/Spezialrad</x:v>
      </x:c>
      <x:c r="D6" s="348" t="str">
        <x:v>Bertha-Benz-Straße 1, 72141 Walddorfhäslach</x:v>
      </x:c>
      <x:c r="E6" s="348" t="str">
        <x:v>Walddorfhäslach</x:v>
      </x:c>
      <x:c r="F6" s="348" t="str">
        <x:v>A+</x:v>
      </x:c>
      <x:c r="G6" s="348" t="str">
        <x:v>Adresse/Kontakt geprüft; numerische Hauskoordinate offen</x:v>
      </x:c>
      <x:c r="H6" s="348" t="str">
        <x:v>Manuell geokodieren / Pin prüfen</x:v>
      </x:c>
      <x:c r="I6" s="348" t="str">
        <x:v>Orange</x:v>
      </x:c>
      <x:c r="J6" s="348" t="str">
        <x:v>A+ als regionaler Fachbetrieb mit ausdrücklich individuellen Anpassungen, Umbauunterstützung und Werkstattservice.</x:v>
      </x:c>
    </x:row>
    <x:row r="7" ht="52" customHeight="1">
      <x:c r="A7" s="348" t="str">
        <x:v>RAD44-003</x:v>
      </x:c>
      <x:c r="B7" s="348" t="str">
        <x:v>Alb-Store – Eislingen</x:v>
      </x:c>
      <x:c r="C7" s="348" t="str">
        <x:v>Fahrrad-/Spezialrad</x:v>
      </x:c>
      <x:c r="D7" s="348" t="str">
        <x:v>Kornbergstraße 6, 73054 Eislingen/Fils</x:v>
      </x:c>
      <x:c r="E7" s="348" t="str">
        <x:v>Eislingen/Fils</x:v>
      </x:c>
      <x:c r="F7" s="348" t="str">
        <x:v>A</x:v>
      </x:c>
      <x:c r="G7" s="348" t="str">
        <x:v>Leistungsangebot primär geprüft; Adresse über Fachhändlerverzeichnis bestätigt; numerische Hauskoordinate offen</x:v>
      </x:c>
      <x:c r="H7" s="348" t="str">
        <x:v>Manuell geokodieren / Pin prüfen</x:v>
      </x:c>
      <x:c r="I7" s="348" t="str">
        <x:v>Orange</x:v>
      </x:c>
      <x:c r="J7" s="348" t="str">
        <x:v>Keine normale Fahrradhandlung als Füllpunkt: Aufnahme wegen ausgewiesenem Handicap-/Therapierad-, Handbike- und Rollstuhl-Zubehörangebot.</x:v>
      </x:c>
    </x:row>
    <x:row r="8" ht="52" customHeight="1">
      <x:c r="A8" s="348" t="str">
        <x:v>RAD44-004</x:v>
      </x:c>
      <x:c r="B8" s="348" t="str">
        <x:v>Dreirad-Zentrum Heidelberg</x:v>
      </x:c>
      <x:c r="C8" s="348" t="str">
        <x:v>Fahrrad-/Spezialrad</x:v>
      </x:c>
      <x:c r="D8" s="348" t="str">
        <x:v>Am Taubenfeld 31, 69123 Heidelberg</x:v>
      </x:c>
      <x:c r="E8" s="348" t="str">
        <x:v>Heidelberg</x:v>
      </x:c>
      <x:c r="F8" s="348" t="str">
        <x:v>A</x:v>
      </x:c>
      <x:c r="G8" s="348" t="str">
        <x:v>Standortadresse/Kontakt geprüft; numerische Hauskoordinate offen</x:v>
      </x:c>
      <x:c r="H8" s="348" t="str">
        <x:v>Manuell geokodieren / Pin prüfen</x:v>
      </x:c>
      <x:c r="I8" s="348" t="str">
        <x:v>Orange</x:v>
      </x:c>
      <x:c r="J8" s="348" t="str">
        <x:v>Gezielter Spezialradpunkt; nicht als allgemeiner Fahrradladen kategorisieren.</x:v>
      </x:c>
    </x:row>
    <x:row r="9" ht="52" customHeight="1">
      <x:c r="A9" s="348" t="str">
        <x:v>RAD44-005</x:v>
      </x:c>
      <x:c r="B9" s="348" t="str">
        <x:v>Dreirad-Zentrum Landau</x:v>
      </x:c>
      <x:c r="C9" s="348" t="str">
        <x:v>Fahrrad-/Spezialrad</x:v>
      </x:c>
      <x:c r="D9" s="348" t="str">
        <x:v>Albert-Einstein-Straße 18 a, 76829 Landau in der Pfalz</x:v>
      </x:c>
      <x:c r="E9" s="348" t="str">
        <x:v>Landau in der Pfalz</x:v>
      </x:c>
      <x:c r="F9" s="348" t="str">
        <x:v>A</x:v>
      </x:c>
      <x:c r="G9" s="348" t="str">
        <x:v>Standortadresse/Kontakt geprüft; numerische Hauskoordinate offen</x:v>
      </x:c>
      <x:c r="H9" s="348" t="str">
        <x:v>Manuell geokodieren / Pin prüfen</x:v>
      </x:c>
      <x:c r="I9" s="348" t="str">
        <x:v>Orange</x:v>
      </x:c>
      <x:c r="J9" s="348" t="str">
        <x:v>Regionale Spezialrad-Ergänzung Südpfalz.</x:v>
      </x:c>
    </x:row>
    <x:row r="10" ht="52" customHeight="1">
      <x:c r="A10" s="348" t="str">
        <x:v>RAD44-006</x:v>
      </x:c>
      <x:c r="B10" s="348" t="str">
        <x:v>Dreirad-Zentrum Karlsruhe</x:v>
      </x:c>
      <x:c r="C10" s="348" t="str">
        <x:v>Fahrrad-/Spezialrad</x:v>
      </x:c>
      <x:c r="D10" s="348" t="str">
        <x:v>Siemensstraße 2b, 76287 Rheinstetten</x:v>
      </x:c>
      <x:c r="E10" s="348" t="str">
        <x:v>Rheinstetten</x:v>
      </x:c>
      <x:c r="F10" s="348" t="str">
        <x:v>A</x:v>
      </x:c>
      <x:c r="G10" s="348" t="str">
        <x:v>Standortadresse/Kontakt geprüft; numerische Hauskoordinate offen</x:v>
      </x:c>
      <x:c r="H10" s="348" t="str">
        <x:v>Manuell geokodieren / Pin prüfen</x:v>
      </x:c>
      <x:c r="I10" s="348" t="str">
        <x:v>Orange</x:v>
      </x:c>
      <x:c r="J10" s="348" t="str">
        <x:v>Kartenname Karlsruhe beibehalten; tatsächlicher Standort Rheinstetten.</x:v>
      </x:c>
    </x:row>
    <x:row r="11" ht="52" customHeight="1">
      <x:c r="A11" s="348" t="str">
        <x:v>RAD44-007</x:v>
      </x:c>
      <x:c r="B11" s="348" t="str">
        <x:v>Dreirad-Zentrum Heilbronn</x:v>
      </x:c>
      <x:c r="C11" s="348" t="str">
        <x:v>Fahrrad-/Spezialrad</x:v>
      </x:c>
      <x:c r="D11" s="348" t="str">
        <x:v>Silcherstraße 23, 74172 Neckarsulm</x:v>
      </x:c>
      <x:c r="E11" s="348" t="str">
        <x:v>Neckarsulm</x:v>
      </x:c>
      <x:c r="F11" s="348" t="str">
        <x:v>A</x:v>
      </x:c>
      <x:c r="G11" s="348" t="str">
        <x:v>Standortadresse/Kontakt geprüft; numerische Hauskoordinate offen</x:v>
      </x:c>
      <x:c r="H11" s="348" t="str">
        <x:v>Manuell geokodieren / Pin prüfen</x:v>
      </x:c>
      <x:c r="I11" s="348" t="str">
        <x:v>Orange</x:v>
      </x:c>
      <x:c r="J11" s="348" t="str">
        <x:v>Kartenname Heilbronn; Standort Neckarsulm-Obereisesheim.</x:v>
      </x:c>
    </x:row>
    <x:row r="12" ht="52" customHeight="1">
      <x:c r="A12" s="348" t="str">
        <x:v>RAD44-008</x:v>
      </x:c>
      <x:c r="B12" s="348" t="str">
        <x:v>Dreirad-Zentrum Frankfurt</x:v>
      </x:c>
      <x:c r="C12" s="348" t="str">
        <x:v>Fahrrad-/Spezialrad</x:v>
      </x:c>
      <x:c r="D12" s="348" t="str">
        <x:v>Berner Straße 107a, 60437 Frankfurt am Main</x:v>
      </x:c>
      <x:c r="E12" s="348" t="str">
        <x:v>Frankfurt am Main</x:v>
      </x:c>
      <x:c r="F12" s="348" t="str">
        <x:v>A</x:v>
      </x:c>
      <x:c r="G12" s="348" t="str">
        <x:v>Standortadresse/Kontakt geprüft; numerische Hauskoordinate offen</x:v>
      </x:c>
      <x:c r="H12" s="348" t="str">
        <x:v>Manuell geokodieren / Pin prüfen</x:v>
      </x:c>
      <x:c r="I12" s="348" t="str">
        <x:v>Orange</x:v>
      </x:c>
      <x:c r="J12" s="348" t="str">
        <x:v>Regionaler Rhein-Main-Punkt; Frankfurt-Nieder-Eschbach.</x:v>
      </x:c>
    </x:row>
    <x:row r="13" ht="52" customHeight="1">
      <x:c r="A13" s="348" t="str">
        <x:v>RAD44-009</x:v>
      </x:c>
      <x:c r="B13" s="348" t="str">
        <x:v>PRO ACTIV Reha-Technik GmbH</x:v>
      </x:c>
      <x:c r="C13" s="348" t="str">
        <x:v>Fahrrad-/Spezialrad</x:v>
      </x:c>
      <x:c r="D13" s="348" t="str">
        <x:v>Im Hofstätt 11, 72359 Dotternhausen</x:v>
      </x:c>
      <x:c r="E13" s="348" t="str">
        <x:v>Dotternhausen</x:v>
      </x:c>
      <x:c r="F13" s="348" t="str">
        <x:v>A+</x:v>
      </x:c>
      <x:c r="G13" s="348" t="str">
        <x:v>Adresse/Kontakt geprüft; numerische Hauskoordinate offen</x:v>
      </x:c>
      <x:c r="H13" s="348" t="str">
        <x:v>Manuell geokodieren / Pin prüfen</x:v>
      </x:c>
      <x:c r="I13" s="348" t="str">
        <x:v>Orange</x:v>
      </x:c>
      <x:c r="J13" s="348" t="str">
        <x:v>A+ für Handbike/Adaptivebike und individuelle Reha-Technik.</x:v>
      </x:c>
    </x:row>
    <x:row r="14" ht="52" customHeight="1">
      <x:c r="A14" s="348" t="str">
        <x:v>LIFT44-001</x:v>
      </x:c>
      <x:c r="B14" s="348" t="str">
        <x:v>Rabe Lifte GmbH</x:v>
      </x:c>
      <x:c r="C14" s="348" t="str">
        <x:v>Wohnen/Lifttechnik</x:v>
      </x:c>
      <x:c r="D14" s="348" t="str">
        <x:v>Wormser Landstraße 83A, 67346 Speyer</x:v>
      </x:c>
      <x:c r="E14" s="348" t="str">
        <x:v>Speyer</x:v>
      </x:c>
      <x:c r="F14" s="348" t="str">
        <x:v>A+</x:v>
      </x:c>
      <x:c r="G14" s="348" t="str">
        <x:v>Adresse/Kontakt geprüft; numerische Hauskoordinate offen</x:v>
      </x:c>
      <x:c r="H14" s="348" t="str">
        <x:v>Manuell geokodieren / Pin prüfen</x:v>
      </x:c>
      <x:c r="I14" s="348" t="str">
        <x:v>Orange</x:v>
      </x:c>
      <x:c r="J14" s="348" t="str">
        <x:v>A+ regionaler Vollanbieter; keine reine Vermittlungsplattform.</x:v>
      </x:c>
    </x:row>
    <x:row r="15" ht="52" customHeight="1">
      <x:c r="A15" s="348" t="str">
        <x:v>LIFT44-002</x:v>
      </x:c>
      <x:c r="B15" s="348" t="str">
        <x:v>Rüdiger Schmitt Treppenlifte GmbH</x:v>
      </x:c>
      <x:c r="C15" s="348" t="str">
        <x:v>Wohnen/Lifttechnik</x:v>
      </x:c>
      <x:c r="D15" s="348" t="str">
        <x:v>Opelstraße 14, 68789 St. Leon-Rot</x:v>
      </x:c>
      <x:c r="E15" s="348" t="str">
        <x:v>St. Leon-Rot</x:v>
      </x:c>
      <x:c r="F15" s="348" t="str">
        <x:v>A+</x:v>
      </x:c>
      <x:c r="G15" s="348" t="str">
        <x:v>Büro-/Kontaktadresse geprüft; aktuelle Betriebsfähigkeit vor Beauftragung zusätzlich verifizieren</x:v>
      </x:c>
      <x:c r="H15" s="348" t="str">
        <x:v>Pin + Betriebsstatus vor Aktivschaltung prüfen</x:v>
      </x:c>
      <x:c r="I15" s="348" t="str">
        <x:v>Orange</x:v>
      </x:c>
      <x:c r="J15" s="348" t="str">
        <x:v>Fachlich A+; zusätzlich aktuellen Betriebsstatus verifizieren.</x:v>
      </x:c>
    </x:row>
    <x:row r="16" ht="52" customHeight="1">
      <x:c r="A16" s="348" t="str">
        <x:v>LIFT44-003</x:v>
      </x:c>
      <x:c r="B16" s="348" t="str">
        <x:v>STUFENLOS Mobilität nach Maß GmbH – Lift-Zentrum Karlsruhe</x:v>
      </x:c>
      <x:c r="C16" s="348" t="str">
        <x:v>Wohnen/Lifttechnik</x:v>
      </x:c>
      <x:c r="D16" s="348" t="str">
        <x:v>Lorbeerweg 20, 76149 Karlsruhe</x:v>
      </x:c>
      <x:c r="E16" s="348" t="str">
        <x:v>Karlsruhe</x:v>
      </x:c>
      <x:c r="F16" s="348" t="str">
        <x:v>A+</x:v>
      </x:c>
      <x:c r="G16" s="348" t="str">
        <x:v>Adresse/Kontakt geprüft; numerische Hauskoordinate offen</x:v>
      </x:c>
      <x:c r="H16" s="348" t="str">
        <x:v>Manuell geokodieren / Pin prüfen</x:v>
      </x:c>
      <x:c r="I16" s="348" t="str">
        <x:v>Orange</x:v>
      </x:c>
      <x:c r="J16" s="348" t="str">
        <x:v>A+ mit breitem Liftportfolio, Ausstellung, Aufmaß, Montage und Service.</x:v>
      </x:c>
    </x:row>
    <x:row r="17" ht="52" customHeight="1">
      <x:c r="A17" s="348" t="str">
        <x:v>LIFT44-004</x:v>
      </x:c>
      <x:c r="B17" s="348" t="str">
        <x:v>CAMA Lift GmbH</x:v>
      </x:c>
      <x:c r="C17" s="348" t="str">
        <x:v>Wohnen/Lifttechnik</x:v>
      </x:c>
      <x:c r="D17" s="348" t="str">
        <x:v>Max-Planck-Straße 5, 65719 Hofheim-Wallau</x:v>
      </x:c>
      <x:c r="E17" s="348" t="str">
        <x:v>Hofheim-Wallau</x:v>
      </x:c>
      <x:c r="F17" s="348" t="str">
        <x:v>A+</x:v>
      </x:c>
      <x:c r="G17" s="348" t="str">
        <x:v>Adresse/Kontakt geprüft; numerische Hauskoordinate offen</x:v>
      </x:c>
      <x:c r="H17" s="348" t="str">
        <x:v>Manuell geokodieren / Pin prüfen</x:v>
      </x:c>
      <x:c r="I17" s="348" t="str">
        <x:v>Orange</x:v>
      </x:c>
      <x:c r="J17" s="348" t="str">
        <x:v>A+ Rhein-Main-Vollanbieter mit Planung, Montage und Service aus einer Hand.</x:v>
      </x:c>
    </x:row>
    <x:row r="18" ht="52" customHeight="1">
      <x:c r="A18" s="348" t="str">
        <x:v>LIFT44-005</x:v>
      </x:c>
      <x:c r="B18" s="348" t="str">
        <x:v>Lift Technik Franken – Peter Czieschowitz</x:v>
      </x:c>
      <x:c r="C18" s="348" t="str">
        <x:v>Wohnen/Lifttechnik</x:v>
      </x:c>
      <x:c r="D18" s="348" t="str">
        <x:v>Karlstraße 36, 90763 Fürth</x:v>
      </x:c>
      <x:c r="E18" s="348" t="str">
        <x:v>Fürth</x:v>
      </x:c>
      <x:c r="F18" s="348" t="str">
        <x:v>A</x:v>
      </x:c>
      <x:c r="G18" s="348" t="str">
        <x:v>Adresse/Kontakt geprüft; numerische Hauskoordinate offen</x:v>
      </x:c>
      <x:c r="H18" s="348" t="str">
        <x:v>Manuell geokodieren / Pin prüfen</x:v>
      </x:c>
      <x:c r="I18" s="348" t="str">
        <x:v>Orange</x:v>
      </x:c>
      <x:c r="J18" s="348" t="str">
        <x:v>A wegen größerer Distanz, aber gezielt relevant für Würzburg/Unterfranken; Montage, Wartung und Reparatur selbst.</x:v>
      </x:c>
    </x:row>
  </x:sheetData>
  <x:mergeCells>
    <x:mergeCell ref="A1:J1"/>
    <x:mergeCell ref="A2:J2"/>
  </x:mergeCells>
  <x:conditionalFormatting sqref="I5:I18">
    <x:cfRule type="expression" dxfId="41" priority="1">
      <x:formula>I5="Orange"</x:formula>
    </x:cfRule>
  </x:conditionalFormatting>
  <x:conditionalFormatting sqref="F5:F18">
    <x:cfRule type="expression" dxfId="42" priority="2">
      <x:formula>F5="A+"</x:formula>
    </x:cfRule>
    <x:cfRule type="expression" dxfId="43" priority="3">
      <x:formula>F5="A"</x:formula>
    </x:cfRule>
  </x:conditionalFormatting>
  <x:pageMargins left="0.7" right="0.7" top="0.75" bottom="0.75" header="0.3" footer="0.3"/>
</x:worksheet>
</file>

<file path=xl/worksheets/sheet43.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52" hidden="0" customWidth="1"/>
  </x:cols>
  <x:sheetData>
    <x:row r="1" ht="30" customHeight="1">
      <x:c r="A1" s="375" t="str">
        <x:v>BG-RehaManager Südwest – Release 4.5.1 Komplettstand</x:v>
      </x:c>
      <x:c r="B1" s="375"/>
      <x:c r="C1" s="375"/>
      <x:c r="D1" s="375"/>
    </x:row>
    <x:row r="2" ht="28" customHeight="1">
      <x:c r="A2" s="376" t="str">
        <x:v>Karte, Großregionen, Suchlogik, Spracheingabe und Arbeitsmedizin konsolidiert</x:v>
      </x:c>
      <x:c r="B2" s="376"/>
      <x:c r="C2" s="376"/>
      <x:c r="D2" s="376"/>
    </x:row>
    <x:row r="3">
      <x:c r="A3" s="30"/>
      <x:c r="B3" s="30"/>
      <x:c r="C3" s="30"/>
      <x:c r="D3" s="30"/>
    </x:row>
    <x:row r="4">
      <x:c r="A4" s="377" t="str">
        <x:v>Merkmal</x:v>
      </x:c>
      <x:c r="B4" s="377" t="str">
        <x:v>Stand</x:v>
      </x:c>
      <x:c r="C4" s="377" t="str">
        <x:v>Status</x:v>
      </x:c>
      <x:c r="D4" s="377" t="str">
        <x:v>Hinweis</x:v>
      </x:c>
    </x:row>
    <x:row r="5" ht="34" customHeight="1">
      <x:c r="A5" s="415" t="str">
        <x:v>Webanwendung</x:v>
      </x:c>
      <x:c r="B5" s="30" t="str">
        <x:v>4.5.1</x:v>
      </x:c>
      <x:c r="C5" s="34" t="str">
        <x:v>FINAL</x:v>
      </x:c>
      <x:c r="D5" s="30" t="str">
        <x:v>Komplettstand für GitHub Pages</x:v>
      </x:c>
    </x:row>
    <x:row r="6" ht="34" customHeight="1">
      <x:c r="A6" s="415" t="str">
        <x:v>Datenmaster</x:v>
      </x:c>
      <x:c r="B6" s="30" t="str">
        <x:v>4.5.1</x:v>
      </x:c>
      <x:c r="C6" s="34" t="str">
        <x:v>FINAL</x:v>
      </x:c>
      <x:c r="D6" s="30" t="str">
        <x:v>531 eindeutige Datensätze</x:v>
      </x:c>
    </x:row>
    <x:row r="7" ht="34" customHeight="1">
      <x:c r="A7" s="415" t="str">
        <x:v>Referenzbasis</x:v>
      </x:c>
      <x:c r="B7" s="30" t="str">
        <x:v>4.4.x</x:v>
      </x:c>
      <x:c r="C7" s="34" t="str">
        <x:v>EINGEFROREN</x:v>
      </x:c>
      <x:c r="D7" s="30" t="str">
        <x:v>Historische Prüf-/Änderungsblätter bleiben dokumentiert</x:v>
      </x:c>
    </x:row>
    <x:row r="8" ht="34" customHeight="1">
      <x:c r="A8" s="415" t="str">
        <x:v>Arbeitsmedizin</x:v>
      </x:c>
      <x:c r="B8" s="30" t="str">
        <x:v>16 Datensätze</x:v>
      </x:c>
      <x:c r="C8" s="34" t="str">
        <x:v>GEPRÜFT</x:v>
      </x:c>
      <x:c r="D8" s="30" t="str">
        <x:v>Speyer: Eselsdamm 46; Hauptgruppe und Karte konsistent</x:v>
      </x:c>
    </x:row>
    <x:row r="9" ht="34" customHeight="1">
      <x:c r="A9" s="415" t="str">
        <x:v>Kartenansicht</x:v>
      </x:c>
      <x:c r="B9" s="30" t="str">
        <x:v>Südwest</x:v>
      </x:c>
      <x:c r="C9" s="34" t="str">
        <x:v>KORRIGIERT</x:v>
      </x:c>
      <x:c r="D9" s="30" t="str">
        <x:v>Regionaler Start; kein Weltkarten-Zoom; Einzeltreffer lokal</x:v>
      </x:c>
    </x:row>
    <x:row r="10" ht="34" customHeight="1">
      <x:c r="A10" s="415" t="str">
        <x:v>Großregionen</x:v>
      </x:c>
      <x:c r="B10" s="30" t="str">
        <x:v>klickbar</x:v>
      </x:c>
      <x:c r="C10" s="34" t="str">
        <x:v>UMGESETZT</x:v>
      </x:c>
      <x:c r="D10" s="30" t="str">
        <x:v>Balken öffnen die Karte; erneuter Klick setzt Region zurück</x:v>
      </x:c>
    </x:row>
    <x:row r="11" ht="34" customHeight="1">
      <x:c r="A11" s="415" t="str">
        <x:v>Spracheingabe</x:v>
      </x:c>
      <x:c r="B11" s="30" t="str">
        <x:v>de-DE</x:v>
      </x:c>
      <x:c r="C11" s="34" t="str">
        <x:v>UMGESETZT</x:v>
      </x:c>
      <x:c r="D11" s="30" t="str">
        <x:v>Einfache Diktierfunktion im Suchfeld, browserabhängig</x:v>
      </x:c>
    </x:row>
    <x:row r="12" ht="34" customHeight="1">
      <x:c r="A12" s="415" t="str">
        <x:v>Pflege-Suche</x:v>
      </x:c>
      <x:c r="B12" s="30" t="str">
        <x:v>28 Anbieter</x:v>
      </x:c>
      <x:c r="C12" s="34" t="str">
        <x:v>GEPRÜFT</x:v>
      </x:c>
      <x:c r="D12" s="30" t="str">
        <x:v>Nur Pflege / Reha-Management; keine Phase-F-Zufallstreffer</x:v>
      </x:c>
    </x:row>
    <x:row r="13" ht="34" customHeight="1">
      <x:c r="A13" s="415" t="str">
        <x:v>Wohnen</x:v>
      </x:c>
      <x:c r="B13" s="30" t="str">
        <x:v>10 Anbieter</x:v>
      </x:c>
      <x:c r="C13" s="34" t="str">
        <x:v>GEPRÜFT</x:v>
      </x:c>
      <x:c r="D13" s="30" t="str">
        <x:v>Echte Wohn-/Liftangebote; EUTB ausgeschlossen</x:v>
      </x:c>
    </x:row>
    <x:row r="14" ht="34" customHeight="1">
      <x:c r="A14" s="415" t="str">
        <x:v>EUTB</x:v>
      </x:c>
      <x:c r="B14" s="30" t="str">
        <x:v>56 Beratungsstellen</x:v>
      </x:c>
      <x:c r="C14" s="34" t="str">
        <x:v>EIGENE GRUPPE</x:v>
      </x:c>
      <x:c r="D14" s="30" t="str">
        <x:v>Von Wohnen / sozialer Teilhabe getrennt</x:v>
      </x:c>
    </x:row>
    <x:row r="15" ht="34" customHeight="1">
      <x:c r="A15" s="415" t="str">
        <x:v>Sprachbefehle 22D</x:v>
      </x:c>
      <x:c r="B15" s="30" t="str">
        <x:v>zurückgestellt</x:v>
      </x:c>
      <x:c r="C15" s="34" t="str">
        <x:v>NICHT TEIL 4.5.1</x:v>
      </x:c>
      <x:c r="D15" s="30" t="str">
        <x:v>Natürlichsprachliche Steuerung folgt in 22D</x:v>
      </x:c>
    </x:row>
  </x:sheetData>
  <x:mergeCells>
    <x:mergeCell ref="A1:D1"/>
    <x:mergeCell ref="A2:D2"/>
  </x:mergeCells>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34" hidden="0" customWidth="1"/>
    <x:col min="4" max="4" width="20" hidden="0" customWidth="1"/>
    <x:col min="5" max="5" width="28" hidden="0" customWidth="1"/>
    <x:col min="6" max="6" width="18" hidden="0" customWidth="1"/>
    <x:col min="7" max="7" width="14" hidden="0" customWidth="1"/>
    <x:col min="8" max="8" width="14" hidden="0" customWidth="1"/>
    <x:col min="9" max="9" width="34" hidden="0" customWidth="1"/>
    <x:col min="10" max="10" width="48" hidden="0" customWidth="1"/>
    <x:col min="11" max="11" width="20" hidden="0" customWidth="1"/>
  </x:cols>
  <x:sheetData>
    <x:row r="1" ht="30" customHeight="1">
      <x:c r="A1" s="388" t="str">
        <x:v>BG-RehaManager Südwest – Prüfung Arbeitsmedizin 4.5.1</x:v>
      </x:c>
      <x:c r="B1" s="388"/>
      <x:c r="C1" s="388"/>
      <x:c r="D1" s="388"/>
      <x:c r="E1" s="388"/>
      <x:c r="F1" s="388"/>
      <x:c r="G1" s="388"/>
      <x:c r="H1" s="388"/>
      <x:c r="I1" s="388"/>
      <x:c r="J1" s="388"/>
      <x:c r="K1" s="388"/>
    </x:row>
    <x:row r="2" ht="30" customHeight="1">
      <x:c r="A2" s="391" t="str">
        <x:v>16 Datensätze fachlich und technisch einheitlich zugeordnet; Speyer mit geprüftem Hauspunkt.</x:v>
      </x:c>
      <x:c r="B2" s="391"/>
      <x:c r="C2" s="391"/>
      <x:c r="D2" s="391"/>
      <x:c r="E2" s="391"/>
      <x:c r="F2" s="391"/>
      <x:c r="G2" s="391"/>
      <x:c r="H2" s="391"/>
      <x:c r="I2" s="391"/>
      <x:c r="J2" s="391"/>
      <x:c r="K2" s="391"/>
    </x:row>
    <x:row r="4" ht="34" customHeight="1">
      <x:c r="A4" s="400" t="str">
        <x:v>ID</x:v>
      </x:c>
      <x:c r="B4" s="401" t="str">
        <x:v>Einrichtung</x:v>
      </x:c>
      <x:c r="C4" s="401" t="str">
        <x:v>Adresse</x:v>
      </x:c>
      <x:c r="D4" s="401" t="str">
        <x:v>Ort</x:v>
      </x:c>
      <x:c r="E4" s="401" t="str">
        <x:v>Großregion</x:v>
      </x:c>
      <x:c r="F4" s="401" t="str">
        <x:v>Kategorie</x:v>
      </x:c>
      <x:c r="G4" s="401" t="str">
        <x:v>Breitengrad</x:v>
      </x:c>
      <x:c r="H4" s="401" t="str">
        <x:v>Längengrad</x:v>
      </x:c>
      <x:c r="I4" s="401" t="str">
        <x:v>Geo-Status</x:v>
      </x:c>
      <x:c r="J4" s="401" t="str">
        <x:v>Prüfquelle</x:v>
      </x:c>
      <x:c r="K4" s="402" t="str">
        <x:v>Ergebnis</x:v>
      </x:c>
    </x:row>
    <x:row r="5" ht="42" customHeight="1">
      <x:c r="A5" s="406" t="n">
        <x:v>125</x:v>
      </x:c>
      <x:c r="B5" s="409" t="str">
        <x:v>Arbeitsmedizin Speyer – Dr. med. Stephanie Grabs</x:v>
      </x:c>
      <x:c r="C5" s="409" t="str">
        <x:v>Eselsdamm 46, 67346 Speyer</x:v>
      </x:c>
      <x:c r="D5" s="409" t="str">
        <x:v>Speyer</x:v>
      </x:c>
      <x:c r="E5" s="409" t="str">
        <x:v>Vorderpfalz</x:v>
      </x:c>
      <x:c r="F5" s="406" t="str">
        <x:v>Arbeitsmedizin</x:v>
      </x:c>
      <x:c r="G5" s="412" t="n">
        <x:v>49.3217624</x:v>
      </x:c>
      <x:c r="H5" s="412" t="n">
        <x:v>8.4402816</x:v>
      </x:c>
      <x:c r="I5" s="409" t="str">
        <x:v>Adresse und numerische Hauskoordinate geprüft</x:v>
      </x:c>
      <x:c r="J5" s="409" t="str">
        <x:v>https://bsafb.de/betriebsaerzte/dr-med-stephanie-grabs/; https://www.aek-pfalz.de/assets/downloads/Li_betriebsarzt.pdf; https://www.arbeitsmedizin-speyer.de/</x:v>
      </x:c>
      <x:c r="K5" s="406" t="str">
        <x:v>geprüft / kartierbar</x:v>
      </x:c>
    </x:row>
    <x:row r="6" ht="42" customHeight="1">
      <x:c r="A6" s="407" t="n">
        <x:v>126</x:v>
      </x:c>
      <x:c r="B6" s="410" t="str">
        <x:v>Arbeitsmedizinischer Dienst Ludwigshafen – TÜV Rheinland</x:v>
      </x:c>
      <x:c r="C6" s="410" t="str">
        <x:v>Achtmorgenstraße 5 67065 Ludwigshafen am Rhein</x:v>
      </x:c>
      <x:c r="D6" s="410" t="str">
        <x:v>Ludwigshafen am Rhein</x:v>
      </x:c>
      <x:c r="E6" s="410" t="str">
        <x:v>Vorderpfalz</x:v>
      </x:c>
      <x:c r="F6" s="407" t="str">
        <x:v>Arbeitsmedizin</x:v>
      </x:c>
      <x:c r="G6" s="413" t="n">
        <x:v>49.4633188</x:v>
      </x:c>
      <x:c r="H6" s="413" t="n">
        <x:v>8.4162227</x:v>
      </x:c>
      <x:c r="I6" s="410" t="str">
        <x:v>adressgenau verifiziert</x:v>
      </x:c>
      <x:c r="J6" s="410" t="str">
        <x:v>https://www.tuv.com/germany/de/locationfinder/amd-ludwigshafen.html</x:v>
      </x:c>
      <x:c r="K6" s="407" t="str">
        <x:v>geprüft / kartierbar</x:v>
      </x:c>
    </x:row>
    <x:row r="7" ht="42" customHeight="1">
      <x:c r="A7" s="407" t="n">
        <x:v>130</x:v>
      </x:c>
      <x:c r="B7" s="410" t="str">
        <x:v>Arbeitsmedizinischer Dienst Würzburg – TÜV Rheinland</x:v>
      </x:c>
      <x:c r="C7" s="410" t="str">
        <x:v>Unterdürrbacher Straße 200 97080 Würzburg</x:v>
      </x:c>
      <x:c r="D7" s="410" t="str">
        <x:v>Würzburg</x:v>
      </x:c>
      <x:c r="E7" s="410" t="str">
        <x:v>Unterfranken</x:v>
      </x:c>
      <x:c r="F7" s="407" t="str">
        <x:v>Arbeitsmedizin</x:v>
      </x:c>
      <x:c r="G7" s="413" t="n">
        <x:v>49.8088641</x:v>
      </x:c>
      <x:c r="H7" s="413" t="n">
        <x:v>9.9091129</x:v>
      </x:c>
      <x:c r="I7" s="410" t="str">
        <x:v>adressgenau verifiziert</x:v>
      </x:c>
      <x:c r="J7" s="410" t="str">
        <x:v>https://www.tuv.com/austria/de/locationfinder/location-detail-page_44943.html</x:v>
      </x:c>
      <x:c r="K7" s="407" t="str">
        <x:v>geprüft / kartierbar</x:v>
      </x:c>
    </x:row>
    <x:row r="8" ht="42" customHeight="1">
      <x:c r="A8" s="407" t="n">
        <x:v>132</x:v>
      </x:c>
      <x:c r="B8" s="410" t="str">
        <x:v>Arbeitsmedizinisches Zentrum Karlsruhe (AZK)</x:v>
      </x:c>
      <x:c r="C8" s="410" t="str">
        <x:v>Zimmerstraße 6 76137 Karlsruhe</x:v>
      </x:c>
      <x:c r="D8" s="410" t="str">
        <x:v>Karlsruhe</x:v>
      </x:c>
      <x:c r="E8" s="410" t="str">
        <x:v>Karlsruhe</x:v>
      </x:c>
      <x:c r="F8" s="407" t="str">
        <x:v>Arbeitsmedizin</x:v>
      </x:c>
      <x:c r="G8" s="413" t="n">
        <x:v>49.0007215</x:v>
      </x:c>
      <x:c r="H8" s="413" t="n">
        <x:v>8.4241987</x:v>
      </x:c>
      <x:c r="I8" s="410" t="str">
        <x:v>adressgenau verifiziert</x:v>
      </x:c>
      <x:c r="J8" s="410" t="str">
        <x:v>https://arbeitsmedizinisches-zentrum-karlsruhe.de/eignungsuntersuchungen</x:v>
      </x:c>
      <x:c r="K8" s="407" t="str">
        <x:v>geprüft / kartierbar</x:v>
      </x:c>
    </x:row>
    <x:row r="9" ht="42" customHeight="1">
      <x:c r="A9" s="407" t="n">
        <x:v>127</x:v>
      </x:c>
      <x:c r="B9" s="410" t="str">
        <x:v>Betriebsärztlicher Dienst Universitätsklinikum Würzburg</x:v>
      </x:c>
      <x:c r="C9" s="410" t="str">
        <x:v>Josef-Schneider-Straße 2, Haus D4 97080 Würzburg</x:v>
      </x:c>
      <x:c r="D9" s="410" t="str">
        <x:v>Würzburg</x:v>
      </x:c>
      <x:c r="E9" s="410" t="str">
        <x:v>Unterfranken</x:v>
      </x:c>
      <x:c r="F9" s="407" t="str">
        <x:v>Arbeitsmedizin</x:v>
      </x:c>
      <x:c r="G9" s="413" t="n">
        <x:v>49.80171</x:v>
      </x:c>
      <x:c r="H9" s="413" t="n">
        <x:v>9.95666</x:v>
      </x:c>
      <x:c r="I9" s="410" t="str">
        <x:v>Haus-/Campusadresse verifiziert; Koordinate Josef-Schneider-Straße 2</x:v>
      </x:c>
      <x:c r="J9" s="410" t="str">
        <x:v>https://www.ukw.de/zentrale-einrichtungen/betriebsaerztlicher-dienst/ansprechpartner-und-anmeldung/</x:v>
      </x:c>
      <x:c r="K9" s="407" t="str">
        <x:v>geprüft / kartierbar</x:v>
      </x:c>
    </x:row>
    <x:row r="10" ht="42" customHeight="1">
      <x:c r="A10" s="407" t="n">
        <x:v>133</x:v>
      </x:c>
      <x:c r="B10" s="410" t="str">
        <x:v>DAV Arbeitsmedizin</x:v>
      </x:c>
      <x:c r="C10" s="410" t="str">
        <x:v>Karlstraße 23 74072 Heilbronn</x:v>
      </x:c>
      <x:c r="D10" s="410" t="str">
        <x:v>Heilbronn</x:v>
      </x:c>
      <x:c r="E10" s="410" t="str">
        <x:v>Heilbronn-Franken</x:v>
      </x:c>
      <x:c r="F10" s="407" t="str">
        <x:v>Arbeitsmedizin</x:v>
      </x:c>
      <x:c r="G10" s="413" t="n">
        <x:v>49.1433686</x:v>
      </x:c>
      <x:c r="H10" s="413" t="n">
        <x:v>9.2219496</x:v>
      </x:c>
      <x:c r="I10" s="410" t="str">
        <x:v>adressgenau verifiziert</x:v>
      </x:c>
      <x:c r="J10" s="410" t="str">
        <x:v>https://www.arbeitsmedizin-dav.de/</x:v>
      </x:c>
      <x:c r="K10" s="407" t="str">
        <x:v>geprüft / kartierbar</x:v>
      </x:c>
    </x:row>
    <x:row r="11" ht="42" customHeight="1">
      <x:c r="A11" s="407" t="n">
        <x:v>139</x:v>
      </x:c>
      <x:c r="B11" s="410" t="str">
        <x:v>DEKRA Zentrum Arbeitsmedizin Heilbronn</x:v>
      </x:c>
      <x:c r="C11" s="410" t="str">
        <x:v>Austr.155 74076 Heilbronn</x:v>
      </x:c>
      <x:c r="D11" s="410" t="str">
        <x:v>Heilbronn</x:v>
      </x:c>
      <x:c r="E11" s="410" t="str">
        <x:v>Heilbronn-Franken</x:v>
      </x:c>
      <x:c r="F11" s="407" t="str">
        <x:v>Arbeitsmedizin</x:v>
      </x:c>
      <x:c r="G11" s="413" t="n">
        <x:v>49.1709978</x:v>
      </x:c>
      <x:c r="H11" s="413" t="n">
        <x:v>9.2177571</x:v>
      </x:c>
      <x:c r="I11" s="410" t="str">
        <x:v>adressgenau verifiziert</x:v>
      </x:c>
      <x:c r="J11" s="410" t="str">
        <x:v>https://www.dekra.de/de/arbeitsmedizin-heilbronn/</x:v>
      </x:c>
      <x:c r="K11" s="407" t="str">
        <x:v>geprüft / kartierbar</x:v>
      </x:c>
    </x:row>
    <x:row r="12" ht="42" customHeight="1">
      <x:c r="A12" s="407" t="n">
        <x:v>136</x:v>
      </x:c>
      <x:c r="B12" s="410" t="str">
        <x:v>Dr. med. Walter Russ – Betriebsmedizin</x:v>
      </x:c>
      <x:c r="C12" s="410" t="str">
        <x:v>Thurn-und-Taxis-Platz 6 60313 Frankfurt am Main</x:v>
      </x:c>
      <x:c r="D12" s="410" t="str">
        <x:v>Frankfurt am Main</x:v>
      </x:c>
      <x:c r="E12" s="410" t="str">
        <x:v>Rhein-Main</x:v>
      </x:c>
      <x:c r="F12" s="407" t="str">
        <x:v>Arbeitsmedizin</x:v>
      </x:c>
      <x:c r="G12" s="413" t="n">
        <x:v>50.1156124</x:v>
      </x:c>
      <x:c r="H12" s="413" t="n">
        <x:v>8.68051</x:v>
      </x:c>
      <x:c r="I12" s="410" t="str">
        <x:v>adressgenau verifiziert</x:v>
      </x:c>
      <x:c r="J12" s="410" t="str">
        <x:v>https://www.betriebsarzt-russ.de</x:v>
      </x:c>
      <x:c r="K12" s="407" t="str">
        <x:v>geprüft / kartierbar</x:v>
      </x:c>
    </x:row>
    <x:row r="13" ht="42" customHeight="1">
      <x:c r="A13" s="407" t="n">
        <x:v>138</x:v>
      </x:c>
      <x:c r="B13" s="410" t="str">
        <x:v>Dr. Sabihan Günther / BAD – Betriebsmedizin Tauberbischofsheim</x:v>
      </x:c>
      <x:c r="C13" s="410" t="str">
        <x:v>Kapellenstraße 31/a 97941 Tauberbischofsheim</x:v>
      </x:c>
      <x:c r="D13" s="410" t="str">
        <x:v>Tauberbischofsheim</x:v>
      </x:c>
      <x:c r="E13" s="410" t="str">
        <x:v>Main-Tauber</x:v>
      </x:c>
      <x:c r="F13" s="407" t="str">
        <x:v>Arbeitsmedizin</x:v>
      </x:c>
      <x:c r="G13" s="413" t="n">
        <x:v>49.6310287</x:v>
      </x:c>
      <x:c r="H13" s="413" t="n">
        <x:v>9.6683947</x:v>
      </x:c>
      <x:c r="I13" s="410" t="str">
        <x:v>adressgenau verifiziert</x:v>
      </x:c>
      <x:c r="J13" s="410" t="str">
        <x:v>https://www.khtbb.de/khtbb/bildung-karriere/betriebsarzt/betriebsarzt.php</x:v>
      </x:c>
      <x:c r="K13" s="407" t="str">
        <x:v>geprüft / kartierbar</x:v>
      </x:c>
    </x:row>
    <x:row r="14" ht="42" customHeight="1">
      <x:c r="A14" s="407" t="n">
        <x:v>129</x:v>
      </x:c>
      <x:c r="B14" s="410" t="str">
        <x:v>ias Gesundheitszentrum Würzburg</x:v>
      </x:c>
      <x:c r="C14" s="410" t="str">
        <x:v>Schweinfurter Straße 7 97080 Würzburg</x:v>
      </x:c>
      <x:c r="D14" s="410" t="str">
        <x:v>Würzburg</x:v>
      </x:c>
      <x:c r="E14" s="410" t="str">
        <x:v>Unterfranken</x:v>
      </x:c>
      <x:c r="F14" s="407" t="str">
        <x:v>Arbeitsmedizin</x:v>
      </x:c>
      <x:c r="G14" s="413" t="n">
        <x:v>49.7992948</x:v>
      </x:c>
      <x:c r="H14" s="413" t="n">
        <x:v>9.9466687</x:v>
      </x:c>
      <x:c r="I14" s="410" t="str">
        <x:v>adressgenau verifiziert</x:v>
      </x:c>
      <x:c r="J14" s="410" t="str">
        <x:v>https://www.ias-gruppe.de/standort/wuerzburg-betrieblicher-gesundheitsschutz</x:v>
      </x:c>
      <x:c r="K14" s="407" t="str">
        <x:v>geprüft / kartierbar</x:v>
      </x:c>
    </x:row>
    <x:row r="15" ht="42" customHeight="1">
      <x:c r="A15" s="407" t="n">
        <x:v>135</x:v>
      </x:c>
      <x:c r="B15" s="410" t="str">
        <x:v>Institut für Arbeits-, Sozial- und Umweltmedizin – Universitätsmedizin Frankfurt</x:v>
      </x:c>
      <x:c r="C15" s="410" t="str">
        <x:v>Theodor-Stern-Kai 7 / Haus 9B 60590 Frankfurt am Main</x:v>
      </x:c>
      <x:c r="D15" s="410" t="str">
        <x:v>Frankfurt am Main</x:v>
      </x:c>
      <x:c r="E15" s="410" t="str">
        <x:v>Rhein-Main</x:v>
      </x:c>
      <x:c r="F15" s="407" t="str">
        <x:v>Arbeitsmedizin</x:v>
      </x:c>
      <x:c r="G15" s="413" t="n">
        <x:v>50.0962538</x:v>
      </x:c>
      <x:c r="H15" s="413" t="n">
        <x:v>8.6613513</x:v>
      </x:c>
      <x:c r="I15" s="410" t="str">
        <x:v>adressgenau verifiziert – Campusadresse</x:v>
      </x:c>
      <x:c r="J15" s="410" t="str">
        <x:v>https://www.unimedizin-ffm.de/</x:v>
      </x:c>
      <x:c r="K15" s="407" t="str">
        <x:v>geprüft / kartierbar</x:v>
      </x:c>
    </x:row>
    <x:row r="16" ht="42" customHeight="1">
      <x:c r="A16" s="407" t="n">
        <x:v>128</x:v>
      </x:c>
      <x:c r="B16" s="410" t="str">
        <x:v>MediProf MVZ Würzburg – Arbeits- und Betriebsmedizin</x:v>
      </x:c>
      <x:c r="C16" s="410" t="str">
        <x:v>Moskauer Ring 2 97084 Würzburg</x:v>
      </x:c>
      <x:c r="D16" s="410" t="str">
        <x:v>Würzburg</x:v>
      </x:c>
      <x:c r="E16" s="410" t="str">
        <x:v>Unterfranken</x:v>
      </x:c>
      <x:c r="F16" s="407" t="str">
        <x:v>Arbeitsmedizin</x:v>
      </x:c>
      <x:c r="G16" s="413" t="n">
        <x:v>49.7389817</x:v>
      </x:c>
      <x:c r="H16" s="413" t="n">
        <x:v>9.9598313</x:v>
      </x:c>
      <x:c r="I16" s="410" t="str">
        <x:v>adressgenau verifiziert</x:v>
      </x:c>
      <x:c r="J16" s="410" t="str">
        <x:v>https://www.mediprof-mvz.de/leistungen/arbeits-und-betriebsmedizinische-leistungen</x:v>
      </x:c>
      <x:c r="K16" s="407" t="str">
        <x:v>geprüft / kartierbar</x:v>
      </x:c>
    </x:row>
    <x:row r="17" ht="42" customHeight="1">
      <x:c r="A17" s="407" t="n">
        <x:v>131</x:v>
      </x:c>
      <x:c r="B17" s="410" t="str">
        <x:v>Praxis Dr. Jochen Leibold – Betriebsmedizin</x:v>
      </x:c>
      <x:c r="C17" s="410" t="str">
        <x:v>Zeller Straße 3 97082 Würzburg</x:v>
      </x:c>
      <x:c r="D17" s="410" t="str">
        <x:v>Würzburg</x:v>
      </x:c>
      <x:c r="E17" s="410" t="str">
        <x:v>Unterfranken</x:v>
      </x:c>
      <x:c r="F17" s="407" t="str">
        <x:v>Arbeitsmedizin</x:v>
      </x:c>
      <x:c r="G17" s="413" t="n">
        <x:v>49.7929871</x:v>
      </x:c>
      <x:c r="H17" s="413" t="n">
        <x:v>9.9238503</x:v>
      </x:c>
      <x:c r="I17" s="410" t="str">
        <x:v>adressgenau verifiziert</x:v>
      </x:c>
      <x:c r="J17" s="410" t="str">
        <x:v>https://www.jochen-leibold.de/</x:v>
      </x:c>
      <x:c r="K17" s="407" t="str">
        <x:v>geprüft / kartierbar</x:v>
      </x:c>
    </x:row>
    <x:row r="18" ht="42" customHeight="1">
      <x:c r="A18" s="407" t="n">
        <x:v>122</x:v>
      </x:c>
      <x:c r="B18" s="410" t="str">
        <x:v>Praxis für Arbeitsmedizin Seyfried</x:v>
      </x:c>
      <x:c r="C18" s="410" t="str">
        <x:v>Gerhart-Hauptmann-Straße 3 69190 Walldorf</x:v>
      </x:c>
      <x:c r="D18" s="410" t="str">
        <x:v>Walldorf</x:v>
      </x:c>
      <x:c r="E18" s="410" t="str">
        <x:v>Rhein-Neckar</x:v>
      </x:c>
      <x:c r="F18" s="407" t="str">
        <x:v>Arbeitsmedizin</x:v>
      </x:c>
      <x:c r="G18" s="413" t="n">
        <x:v>49.2996868</x:v>
      </x:c>
      <x:c r="H18" s="413" t="n">
        <x:v>8.6488152</x:v>
      </x:c>
      <x:c r="I18" s="410" t="str">
        <x:v>adressgenau verifiziert</x:v>
      </x:c>
      <x:c r="J18" s="410" t="str">
        <x:v>https://www.betriebsmedizin-heidelberg.com/</x:v>
      </x:c>
      <x:c r="K18" s="407" t="str">
        <x:v>geprüft / kartierbar</x:v>
      </x:c>
    </x:row>
    <x:row r="19" ht="42" customHeight="1">
      <x:c r="A19" s="407" t="n">
        <x:v>134</x:v>
      </x:c>
      <x:c r="B19" s="410" t="str">
        <x:v>Praxis für Betriebsmedizin Schuck</x:v>
      </x:c>
      <x:c r="C19" s="410" t="str">
        <x:v>Erlenmeyerstraße 6 63741 Aschaffenburg</x:v>
      </x:c>
      <x:c r="D19" s="410" t="str">
        <x:v>Aschaffenburg</x:v>
      </x:c>
      <x:c r="E19" s="410" t="str">
        <x:v>Bayerischer Untermain</x:v>
      </x:c>
      <x:c r="F19" s="407" t="str">
        <x:v>Arbeitsmedizin</x:v>
      </x:c>
      <x:c r="G19" s="413" t="n">
        <x:v>49.9829601</x:v>
      </x:c>
      <x:c r="H19" s="413" t="n">
        <x:v>9.1494597</x:v>
      </x:c>
      <x:c r="I19" s="410" t="str">
        <x:v>adressgenau verifiziert</x:v>
      </x:c>
      <x:c r="J19" s="410" t="str">
        <x:v>https://www.betriebsmedizin-schuck.de/eignungsuntersuchung/</x:v>
      </x:c>
      <x:c r="K19" s="407" t="str">
        <x:v>geprüft / kartierbar</x:v>
      </x:c>
    </x:row>
    <x:row r="20" ht="42" customHeight="1">
      <x:c r="A20" s="408" t="n">
        <x:v>137</x:v>
      </x:c>
      <x:c r="B20" s="411" t="str">
        <x:v>Zentrum für Arbeitsmedizin Frankfurt</x:v>
      </x:c>
      <x:c r="C20" s="411" t="str">
        <x:v>Borsigallee 24B 60388 Frankfurt am Main</x:v>
      </x:c>
      <x:c r="D20" s="411" t="str">
        <x:v>Frankfurt am Main</x:v>
      </x:c>
      <x:c r="E20" s="411" t="str">
        <x:v>Rhein-Main</x:v>
      </x:c>
      <x:c r="F20" s="408" t="str">
        <x:v>Arbeitsmedizin</x:v>
      </x:c>
      <x:c r="G20" s="414" t="n">
        <x:v>50.1377155</x:v>
      </x:c>
      <x:c r="H20" s="414" t="n">
        <x:v>8.7447586</x:v>
      </x:c>
      <x:c r="I20" s="411" t="str">
        <x:v>adressgenau verifiziert</x:v>
      </x:c>
      <x:c r="J20" s="411" t="str">
        <x:v>https://www.dekra.de/de/arbeitsmedizin-frankfurt/</x:v>
      </x:c>
      <x:c r="K20" s="408" t="str">
        <x:v>geprüft / kartierbar</x:v>
      </x:c>
    </x:row>
  </x:sheetData>
  <x:mergeCells>
    <x:mergeCell ref="A1:K1"/>
    <x:mergeCell ref="A2:K2"/>
  </x:mergeCells>
  <x:pageMargins left="0.7" right="0.7" top="0.75" bottom="0.75" header="0.3" footer="0.3"/>
</x:worksheet>
</file>